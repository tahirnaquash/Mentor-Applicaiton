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400" windowHeight="6900" firstSheet="1" activeTab="4"/>
  </bookViews>
  <sheets>
    <sheet name="workdone sheet" sheetId="1" r:id="rId1"/>
    <sheet name="Mentor report" sheetId="2" r:id="rId2"/>
    <sheet name="Attendence" sheetId="3" state="hidden" r:id="rId3"/>
    <sheet name="GRACE" sheetId="4" state="hidden" r:id="rId4"/>
    <sheet name="IA-1 MARKS" sheetId="5" r:id="rId5"/>
    <sheet name="Sheet1" sheetId="6" r:id="rId6"/>
    <sheet name="Sheet2" sheetId="7" r:id="rId7"/>
  </sheets>
  <calcPr calcId="144525"/>
  <extLst>
    <ext uri="GoogleSheetsCustomDataVersion2">
      <go:sheetsCustomData xmlns:go="http://customooxmlschemas.google.com/" r:id="" roundtripDataChecksum="om2d2n7SbDmFzjXK8GOJtIjElPzgXxQdcGWPbQcp7SQ="/>
    </ext>
  </extLst>
</workbook>
</file>

<file path=xl/calcChain.xml><?xml version="1.0" encoding="utf-8"?>
<calcChain xmlns="http://schemas.openxmlformats.org/spreadsheetml/2006/main">
  <c r="I69" i="5" l="1"/>
  <c r="H69" i="5"/>
  <c r="G69" i="5"/>
  <c r="F69" i="5"/>
  <c r="E69" i="5"/>
  <c r="D69" i="5"/>
  <c r="I68" i="5"/>
  <c r="H68" i="5"/>
  <c r="G68" i="5"/>
  <c r="G67" i="5" s="1"/>
  <c r="F68" i="5"/>
  <c r="F67" i="5" s="1"/>
  <c r="E68" i="5"/>
  <c r="D68" i="5"/>
  <c r="I67" i="5"/>
  <c r="H67" i="5"/>
  <c r="E67" i="5"/>
  <c r="D67" i="5"/>
  <c r="Q67" i="3" l="1"/>
  <c r="M67" i="3"/>
  <c r="G67" i="3"/>
  <c r="Q66" i="3"/>
  <c r="M66" i="3"/>
  <c r="G66" i="3"/>
  <c r="Q65" i="3"/>
  <c r="M65" i="3"/>
  <c r="G65" i="3"/>
  <c r="Q64" i="3"/>
  <c r="M64" i="3"/>
  <c r="G64" i="3"/>
  <c r="Q63" i="3"/>
  <c r="M63" i="3"/>
  <c r="G63" i="3"/>
  <c r="Q62" i="3"/>
  <c r="M62" i="3"/>
  <c r="G62" i="3"/>
  <c r="Q61" i="3"/>
  <c r="M61" i="3"/>
  <c r="G61" i="3"/>
  <c r="Q60" i="3"/>
  <c r="M60" i="3"/>
  <c r="G60" i="3"/>
  <c r="Q59" i="3"/>
  <c r="M59" i="3"/>
  <c r="G59" i="3"/>
  <c r="Q58" i="3"/>
  <c r="M58" i="3"/>
  <c r="G58" i="3"/>
  <c r="Q57" i="3"/>
  <c r="M57" i="3"/>
  <c r="G57" i="3"/>
  <c r="Q56" i="3"/>
  <c r="M56" i="3"/>
  <c r="G56" i="3"/>
  <c r="Q55" i="3"/>
  <c r="M55" i="3"/>
  <c r="G55" i="3"/>
  <c r="Q54" i="3"/>
  <c r="M54" i="3"/>
  <c r="G54" i="3"/>
  <c r="Q53" i="3"/>
  <c r="M53" i="3"/>
  <c r="G53" i="3"/>
  <c r="Q52" i="3"/>
  <c r="M52" i="3"/>
  <c r="G52" i="3"/>
  <c r="Q51" i="3"/>
  <c r="M51" i="3"/>
  <c r="G51" i="3"/>
  <c r="Q50" i="3"/>
  <c r="M50" i="3"/>
  <c r="G50" i="3"/>
  <c r="Q49" i="3"/>
  <c r="M49" i="3"/>
  <c r="R49" i="3" s="1"/>
  <c r="G49" i="3"/>
  <c r="Q48" i="3"/>
  <c r="M48" i="3"/>
  <c r="G48" i="3"/>
  <c r="R48" i="3" s="1"/>
  <c r="R47" i="3"/>
  <c r="Q47" i="3"/>
  <c r="M47" i="3"/>
  <c r="G47" i="3"/>
  <c r="Q46" i="3"/>
  <c r="M46" i="3"/>
  <c r="R46" i="3" s="1"/>
  <c r="G46" i="3"/>
  <c r="Q45" i="3"/>
  <c r="M45" i="3"/>
  <c r="G45" i="3"/>
  <c r="R45" i="3" s="1"/>
  <c r="R44" i="3"/>
  <c r="Q44" i="3"/>
  <c r="M44" i="3"/>
  <c r="G44" i="3"/>
  <c r="Q43" i="3"/>
  <c r="M43" i="3"/>
  <c r="R43" i="3" s="1"/>
  <c r="G43" i="3"/>
  <c r="Q42" i="3"/>
  <c r="M42" i="3"/>
  <c r="G42" i="3"/>
  <c r="R42" i="3" s="1"/>
  <c r="R41" i="3"/>
  <c r="Q41" i="3"/>
  <c r="M41" i="3"/>
  <c r="G41" i="3"/>
  <c r="Q40" i="3"/>
  <c r="M40" i="3"/>
  <c r="R40" i="3" s="1"/>
  <c r="G40" i="3"/>
  <c r="Q39" i="3"/>
  <c r="M39" i="3"/>
  <c r="G39" i="3"/>
  <c r="R39" i="3" s="1"/>
  <c r="R38" i="3"/>
  <c r="Q38" i="3"/>
  <c r="M38" i="3"/>
  <c r="G38" i="3"/>
  <c r="Q37" i="3"/>
  <c r="M37" i="3"/>
  <c r="R37" i="3" s="1"/>
  <c r="G37" i="3"/>
  <c r="Q36" i="3"/>
  <c r="M36" i="3"/>
  <c r="G36" i="3"/>
  <c r="R36" i="3" s="1"/>
  <c r="R35" i="3"/>
  <c r="Q35" i="3"/>
  <c r="M35" i="3"/>
  <c r="G35" i="3"/>
  <c r="Q34" i="3"/>
  <c r="M34" i="3"/>
  <c r="R34" i="3" s="1"/>
  <c r="G34" i="3"/>
  <c r="Q33" i="3"/>
  <c r="M33" i="3"/>
  <c r="G33" i="3"/>
  <c r="R33" i="3" s="1"/>
  <c r="R32" i="3"/>
  <c r="Q32" i="3"/>
  <c r="M32" i="3"/>
  <c r="G32" i="3"/>
  <c r="Q31" i="3"/>
  <c r="M31" i="3"/>
  <c r="R31" i="3" s="1"/>
  <c r="G31" i="3"/>
  <c r="Q30" i="3"/>
  <c r="M30" i="3"/>
  <c r="G30" i="3"/>
  <c r="R30" i="3" s="1"/>
  <c r="R29" i="3"/>
  <c r="Q29" i="3"/>
  <c r="M29" i="3"/>
  <c r="G29" i="3"/>
  <c r="Q28" i="3"/>
  <c r="M28" i="3"/>
  <c r="R28" i="3" s="1"/>
  <c r="G28" i="3"/>
  <c r="Q27" i="3"/>
  <c r="M27" i="3"/>
  <c r="G27" i="3"/>
  <c r="R27" i="3" s="1"/>
  <c r="R26" i="3"/>
  <c r="Q26" i="3"/>
  <c r="M26" i="3"/>
  <c r="G26" i="3"/>
  <c r="Q25" i="3"/>
  <c r="M25" i="3"/>
  <c r="R25" i="3" s="1"/>
  <c r="G25" i="3"/>
  <c r="Q24" i="3"/>
  <c r="M24" i="3"/>
  <c r="G24" i="3"/>
  <c r="R24" i="3" s="1"/>
  <c r="R23" i="3"/>
  <c r="Q23" i="3"/>
  <c r="M23" i="3"/>
  <c r="G23" i="3"/>
  <c r="Q22" i="3"/>
  <c r="M22" i="3"/>
  <c r="R22" i="3" s="1"/>
  <c r="G22" i="3"/>
  <c r="Q21" i="3"/>
  <c r="M21" i="3"/>
  <c r="G21" i="3"/>
  <c r="R21" i="3" s="1"/>
  <c r="R20" i="3"/>
  <c r="Q20" i="3"/>
  <c r="M20" i="3"/>
  <c r="G20" i="3"/>
  <c r="Q19" i="3"/>
  <c r="M19" i="3"/>
  <c r="R19" i="3" s="1"/>
  <c r="G19" i="3"/>
  <c r="Q18" i="3"/>
  <c r="M18" i="3"/>
  <c r="G18" i="3"/>
  <c r="R18" i="3" s="1"/>
  <c r="R17" i="3"/>
  <c r="Q17" i="3"/>
  <c r="M17" i="3"/>
  <c r="G17" i="3"/>
  <c r="Q16" i="3"/>
  <c r="M16" i="3"/>
  <c r="R16" i="3" s="1"/>
  <c r="G16" i="3"/>
  <c r="Q15" i="3"/>
  <c r="M15" i="3"/>
  <c r="G15" i="3"/>
  <c r="R15" i="3" s="1"/>
  <c r="R14" i="3"/>
  <c r="Q14" i="3"/>
  <c r="M14" i="3"/>
  <c r="G14" i="3"/>
  <c r="Q13" i="3"/>
  <c r="M13" i="3"/>
  <c r="R13" i="3" s="1"/>
  <c r="G13" i="3"/>
  <c r="Q12" i="3"/>
  <c r="M12" i="3"/>
  <c r="G12" i="3"/>
  <c r="R12" i="3" s="1"/>
  <c r="R53" i="3" l="1"/>
  <c r="R57" i="3"/>
  <c r="R61" i="3"/>
  <c r="R67" i="3"/>
  <c r="R50" i="3"/>
  <c r="R52" i="3"/>
  <c r="R54" i="3"/>
  <c r="R58" i="3"/>
  <c r="R60" i="3"/>
  <c r="R62" i="3"/>
  <c r="R64" i="3"/>
  <c r="R66" i="3"/>
  <c r="R51" i="3"/>
  <c r="R55" i="3"/>
  <c r="R59" i="3"/>
  <c r="R63" i="3"/>
  <c r="R65" i="3"/>
  <c r="R56" i="3"/>
</calcChain>
</file>

<file path=xl/sharedStrings.xml><?xml version="1.0" encoding="utf-8"?>
<sst xmlns="http://schemas.openxmlformats.org/spreadsheetml/2006/main" count="696" uniqueCount="245">
  <si>
    <t>HKBK College of Engineering</t>
  </si>
  <si>
    <t>HKBK/TL/009/2025-26</t>
  </si>
  <si>
    <t>Department of Computer Science &amp; Engineering</t>
  </si>
  <si>
    <t>MONTHLY SYLLABUS COVERAGE AND CLASS TAKEN REPORT</t>
  </si>
  <si>
    <t>Sem &amp; Sec: 3E</t>
  </si>
  <si>
    <t xml:space="preserve">Semester : ODD           </t>
  </si>
  <si>
    <t xml:space="preserve">AY 2025-26 </t>
  </si>
  <si>
    <t>As on 31/OCT/2025</t>
  </si>
  <si>
    <t>Sl No</t>
  </si>
  <si>
    <t>Subject code</t>
  </si>
  <si>
    <t>No. Class</t>
  </si>
  <si>
    <t>Modules covered</t>
  </si>
  <si>
    <t>% of Syllabus covered</t>
  </si>
  <si>
    <t>No. of assignment</t>
  </si>
  <si>
    <t>No. of Activity / Others</t>
  </si>
  <si>
    <t>Name of faculty</t>
  </si>
  <si>
    <t>Sign</t>
  </si>
  <si>
    <t>Planned</t>
  </si>
  <si>
    <t>Taken</t>
  </si>
  <si>
    <t>Issued</t>
  </si>
  <si>
    <t>Valued</t>
  </si>
  <si>
    <t>BCS301</t>
  </si>
  <si>
    <t>-</t>
  </si>
  <si>
    <t>Rashmi Y K</t>
  </si>
  <si>
    <t>RK</t>
  </si>
  <si>
    <t>BCS302</t>
  </si>
  <si>
    <t>Kavitha.D</t>
  </si>
  <si>
    <t>KA</t>
  </si>
  <si>
    <t>BCS303</t>
  </si>
  <si>
    <t>Arshiya Fathima</t>
  </si>
  <si>
    <t>AF</t>
  </si>
  <si>
    <t>BCS304</t>
  </si>
  <si>
    <t>Tahir Naquash</t>
  </si>
  <si>
    <t>TN</t>
  </si>
  <si>
    <t>BCSL305</t>
  </si>
  <si>
    <t>BCSL306A</t>
  </si>
  <si>
    <t>Dr.Sharadha KA</t>
  </si>
  <si>
    <t>SKA</t>
  </si>
  <si>
    <t>BCS358</t>
  </si>
  <si>
    <t>4 Programs</t>
  </si>
  <si>
    <t>Sheema Khanum</t>
  </si>
  <si>
    <t>SK</t>
  </si>
  <si>
    <r>
      <rPr>
        <sz val="12"/>
        <color theme="1"/>
        <rFont val="Times New Roman"/>
        <family val="1"/>
      </rPr>
      <t xml:space="preserve">Observation by Class Teacher
</t>
    </r>
    <r>
      <rPr>
        <b/>
        <sz val="12"/>
        <color theme="1"/>
        <rFont val="Times New Roman"/>
        <family val="1"/>
      </rPr>
      <t xml:space="preserve">             Syllabus Covered As Per  COE</t>
    </r>
    <r>
      <rPr>
        <sz val="12"/>
        <color theme="1"/>
        <rFont val="Times New Roman"/>
        <family val="1"/>
      </rPr>
      <t xml:space="preserve">
                                                                                                                   </t>
    </r>
    <r>
      <rPr>
        <b/>
        <sz val="12"/>
        <color theme="1"/>
        <rFont val="Times New Roman"/>
        <family val="1"/>
      </rPr>
      <t xml:space="preserve">Class Teacher  </t>
    </r>
    <r>
      <rPr>
        <sz val="12"/>
        <color theme="1"/>
        <rFont val="Times New Roman"/>
        <family val="1"/>
      </rPr>
      <t xml:space="preserve"> </t>
    </r>
  </si>
  <si>
    <r>
      <rPr>
        <sz val="12"/>
        <color theme="1"/>
        <rFont val="Times New Roman"/>
        <family val="1"/>
      </rPr>
      <t xml:space="preserve">Observation by HOD
                                                                                             </t>
    </r>
    <r>
      <rPr>
        <b/>
        <sz val="12"/>
        <color theme="1"/>
        <rFont val="Times New Roman"/>
        <family val="1"/>
      </rPr>
      <t>HOD Signature</t>
    </r>
    <r>
      <rPr>
        <sz val="12"/>
        <color theme="1"/>
        <rFont val="Times New Roman"/>
        <family val="1"/>
      </rPr>
      <t xml:space="preserve"> </t>
    </r>
  </si>
  <si>
    <r>
      <rPr>
        <sz val="12"/>
        <color theme="1"/>
        <rFont val="Times New Roman"/>
        <family val="1"/>
      </rPr>
      <t xml:space="preserve">Observation by Principal: 
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Times New Roman"/>
        <family val="1"/>
      </rPr>
      <t>PRINCIPAL</t>
    </r>
  </si>
  <si>
    <t>Department of Computer Science and Engineering</t>
  </si>
  <si>
    <t xml:space="preserve">MENTOR REPORT -1 </t>
  </si>
  <si>
    <t>Semester: III  Section : E</t>
  </si>
  <si>
    <t xml:space="preserve">Semester : ODD  </t>
  </si>
  <si>
    <t>II YEAR</t>
  </si>
  <si>
    <t xml:space="preserve">  AY 2025-26</t>
  </si>
  <si>
    <t>USN</t>
  </si>
  <si>
    <t>NAME</t>
  </si>
  <si>
    <t>Attd Avg</t>
  </si>
  <si>
    <t>Mentor Name</t>
  </si>
  <si>
    <t>Mentor comments</t>
  </si>
  <si>
    <t>1HK24CS233</t>
  </si>
  <si>
    <t>SAMBHRAMI S</t>
  </si>
  <si>
    <t>Roopa Mam</t>
  </si>
  <si>
    <t>1HK24CS234</t>
  </si>
  <si>
    <t>SAMRIDHI AGARWAL</t>
  </si>
  <si>
    <t>1HK24CS236</t>
  </si>
  <si>
    <t>SANDEEP A</t>
  </si>
  <si>
    <t>1HK24CS237</t>
  </si>
  <si>
    <t>SANGEETHA</t>
  </si>
  <si>
    <t>1HK24CS238</t>
  </si>
  <si>
    <t>SANIYA KHANUM</t>
  </si>
  <si>
    <t>1HK24CS239</t>
  </si>
  <si>
    <t>SANIYA M S</t>
  </si>
  <si>
    <t>1HK24CS240</t>
  </si>
  <si>
    <t>SANJAY P</t>
  </si>
  <si>
    <t>1HK24CS241</t>
  </si>
  <si>
    <t>SANTOSH</t>
  </si>
  <si>
    <t>1HK24CS242</t>
  </si>
  <si>
    <t>SATHVIK</t>
  </si>
  <si>
    <t>1HK24CS243</t>
  </si>
  <si>
    <t>SAVITRI NAGARAJ KUNAGI</t>
  </si>
  <si>
    <t>1HK24CS244</t>
  </si>
  <si>
    <t>SERENA JOSPHINE L</t>
  </si>
  <si>
    <t>1HK24CS245</t>
  </si>
  <si>
    <t>SHAFIULLA</t>
  </si>
  <si>
    <t>1HK24CS246</t>
  </si>
  <si>
    <t>SHAHENSHA KHATUN</t>
  </si>
  <si>
    <t>1HK24CS247</t>
  </si>
  <si>
    <t>SHAHID KHAN</t>
  </si>
  <si>
    <t>1HK24CS248</t>
  </si>
  <si>
    <t>SHAIK AHSEEM AHMED</t>
  </si>
  <si>
    <t>1HK24CS249</t>
  </si>
  <si>
    <t>SHAIK MOHAMMED RAAFI</t>
  </si>
  <si>
    <t>1HK24CS250</t>
  </si>
  <si>
    <t>SHAIK SUFIYAN</t>
  </si>
  <si>
    <t>1HK24CS252</t>
  </si>
  <si>
    <t>SHAMANTHAKA S</t>
  </si>
  <si>
    <t>1HK24CS253</t>
  </si>
  <si>
    <t>SHASHI KANT DEV</t>
  </si>
  <si>
    <t>1HK24CS254</t>
  </si>
  <si>
    <t>SHEEBA FATHIMA</t>
  </si>
  <si>
    <t>1HK24CS255</t>
  </si>
  <si>
    <t>SHIVAJI C</t>
  </si>
  <si>
    <t>1HK24CS256</t>
  </si>
  <si>
    <t>SHIVAKUMAR</t>
  </si>
  <si>
    <t>1HK24CS257</t>
  </si>
  <si>
    <t>SHIVAM VIJAURIYA YADAV</t>
  </si>
  <si>
    <t>1HK24CS258</t>
  </si>
  <si>
    <t>SHIVARAJ RAMESH NAVI</t>
  </si>
  <si>
    <t>1HK24CS259</t>
  </si>
  <si>
    <t>SHUJATH AHMED</t>
  </si>
  <si>
    <t>Dr.Sharadha Mam</t>
  </si>
  <si>
    <t>1HK24CS260</t>
  </si>
  <si>
    <t>SHWETA VITTAL JADHAV</t>
  </si>
  <si>
    <t>1HK24CS261</t>
  </si>
  <si>
    <t>SIDDARTH S GADAGIN</t>
  </si>
  <si>
    <t>1HK24CS262</t>
  </si>
  <si>
    <t>SIDDU M</t>
  </si>
  <si>
    <t>1HK24CS263</t>
  </si>
  <si>
    <t>SIDDU C</t>
  </si>
  <si>
    <t>1HK24CS264</t>
  </si>
  <si>
    <t>SIMHADRI N</t>
  </si>
  <si>
    <t>1HK24CS265</t>
  </si>
  <si>
    <t>SIRIYALA NISHAR</t>
  </si>
  <si>
    <t>1HK24CS266</t>
  </si>
  <si>
    <t>SISHAN R</t>
  </si>
  <si>
    <t>1HK24CS267</t>
  </si>
  <si>
    <t>SOUJANYA</t>
  </si>
  <si>
    <t>1HK24CS268</t>
  </si>
  <si>
    <t>SREE GOURI M</t>
  </si>
  <si>
    <t>1HK24CS269</t>
  </si>
  <si>
    <t>SRUJAN D</t>
  </si>
  <si>
    <t>1HK24CS270</t>
  </si>
  <si>
    <t>SUDEEP ITLAPUR</t>
  </si>
  <si>
    <t>1HK24CS272</t>
  </si>
  <si>
    <t>SUHAS SIDAPPA MURANAL</t>
  </si>
  <si>
    <t>1HK24CS273</t>
  </si>
  <si>
    <t>SUKAMAL BERA</t>
  </si>
  <si>
    <t>1HK24CS274</t>
  </si>
  <si>
    <t>SUKITH GOWDA N</t>
  </si>
  <si>
    <t>1HK24CS275</t>
  </si>
  <si>
    <t>SUMIT KUMAR</t>
  </si>
  <si>
    <t>1HK24CS276</t>
  </si>
  <si>
    <t>SUMIT SINGH</t>
  </si>
  <si>
    <t>1HK24CS277</t>
  </si>
  <si>
    <t>SUPREETH M M</t>
  </si>
  <si>
    <t>1HK24CS278</t>
  </si>
  <si>
    <t>SURAJ KRISHNANAND SHETTY</t>
  </si>
  <si>
    <t>1HK24CS279</t>
  </si>
  <si>
    <t>SURAJ KUMAR SINGH</t>
  </si>
  <si>
    <t>1HK24CS280</t>
  </si>
  <si>
    <t>SURUCHI BAJIMAYA</t>
  </si>
  <si>
    <t>1HK24CS281</t>
  </si>
  <si>
    <t>SUSHMA</t>
  </si>
  <si>
    <t>1HK24CS282</t>
  </si>
  <si>
    <t>SWAPNA VINOD HADAGALI</t>
  </si>
  <si>
    <t>1HK24CS283</t>
  </si>
  <si>
    <t>SWATI</t>
  </si>
  <si>
    <t>1HK24CS284</t>
  </si>
  <si>
    <t>SYED ABDULLAH ABRAR</t>
  </si>
  <si>
    <t>Krishna Meena mam</t>
  </si>
  <si>
    <t>No response from parents</t>
  </si>
  <si>
    <t>1HK24CS285</t>
  </si>
  <si>
    <t>SYED ABDUR RAHAMAN</t>
  </si>
  <si>
    <t>1HK24CS287</t>
  </si>
  <si>
    <t>SYED MOHAMMED MAAZ</t>
  </si>
  <si>
    <t>Regular and very good student</t>
  </si>
  <si>
    <t>1HK24CS288</t>
  </si>
  <si>
    <t>SYED MUZAFFER HUSSAIN</t>
  </si>
  <si>
    <t>Regular and good student 
can do much better</t>
  </si>
  <si>
    <t>1HK24CS289</t>
  </si>
  <si>
    <t>SYED SAAD SALAHUDDIN</t>
  </si>
  <si>
    <t>Spoke to his mother who 
said he was working for some 
external project so was
 irregular it seems he will be 
regular from now on.</t>
  </si>
  <si>
    <t>1HK24CS290</t>
  </si>
  <si>
    <t>SYED USMAN</t>
  </si>
  <si>
    <t>Good Student will attend the 
classes regularly further</t>
  </si>
  <si>
    <t>1HK24CS291</t>
  </si>
  <si>
    <t>T AMEEN BAKSH</t>
  </si>
  <si>
    <t>Good Student and regular</t>
  </si>
  <si>
    <t>1HK24CS228</t>
  </si>
  <si>
    <t>RUSHIL SHAM RAJU</t>
  </si>
  <si>
    <t>Dr.Sangamesh Ghani Sir</t>
  </si>
  <si>
    <t xml:space="preserve">i will try to call him. his mobl as swich off. i spoke with  his mother. health issu. </t>
  </si>
  <si>
    <t>so he was taken
 three dayes leave</t>
  </si>
  <si>
    <t>Semester: III Section : E</t>
  </si>
  <si>
    <t>Semester : ODD   AY 2025-26</t>
  </si>
  <si>
    <t>As on 31/10/2025</t>
  </si>
  <si>
    <t>No of classes taken</t>
  </si>
  <si>
    <t>5,4</t>
  </si>
  <si>
    <t>Avg</t>
  </si>
  <si>
    <t>Subject Code</t>
  </si>
  <si>
    <t>BCS358C</t>
  </si>
  <si>
    <t>Name of student</t>
  </si>
  <si>
    <t>Atnd</t>
  </si>
  <si>
    <t>%</t>
  </si>
  <si>
    <t>Faculty Sign</t>
  </si>
  <si>
    <t>Dr. Sharada K A</t>
  </si>
  <si>
    <t>Class Teacher</t>
  </si>
  <si>
    <t>HOD Signature</t>
  </si>
  <si>
    <t>Principal</t>
  </si>
  <si>
    <t>GRACE  DETAILS</t>
  </si>
  <si>
    <t>HEALTH ISSUE</t>
  </si>
  <si>
    <t>MAKE UP /NPTEL/Summer sem /OTHER EXAM</t>
  </si>
  <si>
    <t>Additional</t>
  </si>
  <si>
    <t>27,28,29 /10/25 10%</t>
  </si>
  <si>
    <t>15/9 to 18/9/25 10% (Own brothr expired)</t>
  </si>
  <si>
    <t>15, 17, 19, 22, 23/9/25 EXAM</t>
  </si>
  <si>
    <t>13 to 16/10/25 10%</t>
  </si>
  <si>
    <t>14/10/25 Consider-morning first half only - Event IEEE</t>
  </si>
  <si>
    <t>15 to 18/9/25 10%</t>
  </si>
  <si>
    <t>STATEMENT OF  IA-1 MARKS</t>
  </si>
  <si>
    <t>BCS306A</t>
  </si>
  <si>
    <t>Subject name</t>
  </si>
  <si>
    <t>Maths</t>
  </si>
  <si>
    <t>DDCO</t>
  </si>
  <si>
    <t>OS</t>
  </si>
  <si>
    <t>DSA</t>
  </si>
  <si>
    <t>Oops with JAVA</t>
  </si>
  <si>
    <t># of subjects &lt;50% of IA</t>
  </si>
  <si>
    <t>MAX MARKS</t>
  </si>
  <si>
    <t>AB</t>
  </si>
  <si>
    <t>No. of Student Present</t>
  </si>
  <si>
    <t>No. of Student Absent</t>
  </si>
  <si>
    <t>No. of Students Scored &lt; 24</t>
  </si>
  <si>
    <t>Faculty Full Name</t>
  </si>
  <si>
    <t>Class Teacher Signature</t>
  </si>
  <si>
    <t>Principal Signature</t>
  </si>
  <si>
    <t>HKBK/TL/022/2025-26</t>
  </si>
  <si>
    <t>BCS401</t>
  </si>
  <si>
    <t>BCS402</t>
  </si>
  <si>
    <t>BCS403</t>
  </si>
  <si>
    <t>BCS405 A</t>
  </si>
  <si>
    <t>BCS456C</t>
  </si>
  <si>
    <t>BBOC407</t>
  </si>
  <si>
    <t>ADA</t>
  </si>
  <si>
    <t>Microcontroller</t>
  </si>
  <si>
    <t>DBMS</t>
  </si>
  <si>
    <t xml:space="preserve"> Maths</t>
  </si>
  <si>
    <t>UI/UX</t>
  </si>
  <si>
    <t>Biology</t>
  </si>
  <si>
    <t>MARKS MAX= 50</t>
  </si>
  <si>
    <t>Prof. Najmusher</t>
  </si>
  <si>
    <t>Prof. Kavitha.D</t>
  </si>
  <si>
    <t xml:space="preserve"> Prof. Rashmi Y K</t>
  </si>
  <si>
    <t xml:space="preserve"> Prof. Shimja K J</t>
  </si>
  <si>
    <t>Dr.Sujitha.D</t>
  </si>
  <si>
    <t>Prof. Subhatra</t>
  </si>
  <si>
    <t>Semester: 4    Section : E</t>
  </si>
  <si>
    <t xml:space="preserve">Semester : EVEN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</si>
</sst>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>
    <font>
      <sz val="10"/>
      <color rgb="FF000000"/>
      <name val="Arial"/>
      <scheme val="minor"/>
    </font>
    <font>
      <sz val="10"/>
      <color theme="1"/>
      <name val="Times New Roman"/>
      <family val="1"/>
    </font>
    <font>
      <sz val="20"/>
      <color theme="1"/>
      <name val="Times New Roman"/>
      <family val="1"/>
    </font>
    <font>
      <b/>
      <sz val="15"/>
      <color theme="1"/>
      <name val="Times New Roman"/>
      <family val="1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sz val="13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Arial"/>
      <family val="2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Arial"/>
      <family val="2"/>
      <scheme val="minor"/>
    </font>
    <font>
      <b/>
      <sz val="26"/>
      <color theme="1"/>
      <name val="Times New Roman"/>
      <family val="1"/>
    </font>
    <font>
      <b/>
      <sz val="24"/>
      <color theme="1"/>
      <name val="Times New Roman"/>
      <family val="1"/>
    </font>
    <font>
      <b/>
      <sz val="18"/>
      <color theme="1"/>
      <name val="Times New Roman"/>
      <family val="1"/>
    </font>
    <font>
      <b/>
      <u/>
      <sz val="16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&quot;Times New Roman&quot;"/>
    </font>
    <font>
      <sz val="11"/>
      <color rgb="FF000000"/>
      <name val="Calibri"/>
      <family val="2"/>
    </font>
    <font>
      <b/>
      <sz val="11"/>
      <color theme="1"/>
      <name val="Times New Roman"/>
      <family val="1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b/>
      <sz val="12"/>
      <color rgb="FF000000"/>
      <name val="&quot;Times New Roman&quot;"/>
    </font>
    <font>
      <sz val="12"/>
      <color rgb="FF000000"/>
      <name val="&quot;Times New Roman&quot;"/>
    </font>
    <font>
      <sz val="10"/>
      <color rgb="FF000000"/>
      <name val="Arial"/>
      <family val="2"/>
    </font>
    <font>
      <sz val="15"/>
      <color theme="1"/>
      <name val="Times New Roman"/>
      <family val="1"/>
    </font>
    <font>
      <b/>
      <sz val="12"/>
      <color rgb="FF1F1F1F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Arial"/>
      <family val="2"/>
      <scheme val="minor"/>
    </font>
    <font>
      <sz val="11"/>
      <color theme="1"/>
      <name val="Times New Roman"/>
      <family val="1"/>
    </font>
    <font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2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0" fillId="0" borderId="1" xfId="0" applyFont="1" applyBorder="1" applyAlignment="1">
      <alignment horizontal="center" wrapText="1"/>
    </xf>
    <xf numFmtId="0" fontId="13" fillId="0" borderId="0" xfId="0" applyFont="1"/>
    <xf numFmtId="0" fontId="5" fillId="0" borderId="4" xfId="0" applyFont="1" applyBorder="1"/>
    <xf numFmtId="0" fontId="10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9" fontId="5" fillId="0" borderId="3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9" fontId="5" fillId="0" borderId="5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5" fillId="0" borderId="0" xfId="0" applyFont="1" applyAlignment="1">
      <alignment wrapText="1"/>
    </xf>
    <xf numFmtId="0" fontId="16" fillId="0" borderId="0" xfId="0" applyFont="1"/>
    <xf numFmtId="0" fontId="16" fillId="0" borderId="0" xfId="0" applyFont="1" applyAlignment="1">
      <alignment horizontal="center"/>
    </xf>
    <xf numFmtId="0" fontId="17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3" fillId="0" borderId="5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0" fillId="2" borderId="5" xfId="0" applyFont="1" applyFill="1" applyBorder="1" applyAlignment="1">
      <alignment vertical="top" wrapText="1"/>
    </xf>
    <xf numFmtId="1" fontId="19" fillId="0" borderId="5" xfId="0" applyNumberFormat="1" applyFont="1" applyBorder="1" applyAlignment="1">
      <alignment horizontal="center"/>
    </xf>
    <xf numFmtId="0" fontId="20" fillId="0" borderId="5" xfId="0" applyFont="1" applyBorder="1"/>
    <xf numFmtId="0" fontId="18" fillId="0" borderId="4" xfId="0" applyFont="1" applyBorder="1" applyAlignment="1">
      <alignment horizontal="center"/>
    </xf>
    <xf numFmtId="0" fontId="20" fillId="0" borderId="5" xfId="0" applyFont="1" applyBorder="1" applyAlignment="1"/>
    <xf numFmtId="0" fontId="10" fillId="2" borderId="5" xfId="0" applyFont="1" applyFill="1" applyBorder="1" applyAlignment="1">
      <alignment wrapText="1"/>
    </xf>
    <xf numFmtId="0" fontId="20" fillId="0" borderId="0" xfId="0" applyFont="1" applyAlignment="1"/>
    <xf numFmtId="0" fontId="21" fillId="0" borderId="0" xfId="0" applyFont="1" applyAlignment="1">
      <alignment horizontal="center"/>
    </xf>
    <xf numFmtId="0" fontId="1" fillId="2" borderId="9" xfId="0" applyFont="1" applyFill="1" applyBorder="1"/>
    <xf numFmtId="0" fontId="1" fillId="0" borderId="0" xfId="0" applyFont="1" applyAlignment="1">
      <alignment vertical="top"/>
    </xf>
    <xf numFmtId="0" fontId="3" fillId="0" borderId="5" xfId="0" applyFont="1" applyBorder="1"/>
    <xf numFmtId="0" fontId="7" fillId="0" borderId="5" xfId="0" applyFont="1" applyBorder="1" applyAlignment="1">
      <alignment horizontal="center"/>
    </xf>
    <xf numFmtId="0" fontId="25" fillId="0" borderId="8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18" fillId="0" borderId="5" xfId="0" applyFont="1" applyBorder="1" applyAlignment="1">
      <alignment horizontal="center"/>
    </xf>
    <xf numFmtId="0" fontId="10" fillId="2" borderId="5" xfId="0" applyFont="1" applyFill="1" applyBorder="1" applyAlignment="1">
      <alignment horizontal="left" vertical="top" wrapText="1"/>
    </xf>
    <xf numFmtId="0" fontId="25" fillId="0" borderId="5" xfId="0" applyFont="1" applyBorder="1" applyAlignment="1">
      <alignment horizontal="center"/>
    </xf>
    <xf numFmtId="1" fontId="25" fillId="0" borderId="5" xfId="0" applyNumberFormat="1" applyFont="1" applyBorder="1" applyAlignment="1">
      <alignment horizontal="center"/>
    </xf>
    <xf numFmtId="0" fontId="26" fillId="0" borderId="5" xfId="0" applyFont="1" applyBorder="1" applyAlignment="1">
      <alignment horizontal="center"/>
    </xf>
    <xf numFmtId="1" fontId="25" fillId="0" borderId="5" xfId="0" applyNumberFormat="1" applyFont="1" applyBorder="1" applyAlignment="1">
      <alignment horizontal="center"/>
    </xf>
    <xf numFmtId="0" fontId="27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/>
    </xf>
    <xf numFmtId="3" fontId="25" fillId="0" borderId="5" xfId="0" applyNumberFormat="1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10" fillId="2" borderId="5" xfId="0" applyFont="1" applyFill="1" applyBorder="1" applyAlignment="1">
      <alignment horizontal="left" vertical="top" wrapText="1"/>
    </xf>
    <xf numFmtId="0" fontId="10" fillId="2" borderId="5" xfId="0" applyFont="1" applyFill="1" applyBorder="1" applyAlignment="1">
      <alignment horizontal="left" wrapText="1"/>
    </xf>
    <xf numFmtId="0" fontId="29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/>
    </xf>
    <xf numFmtId="0" fontId="30" fillId="0" borderId="0" xfId="0" applyFont="1"/>
    <xf numFmtId="0" fontId="27" fillId="0" borderId="0" xfId="0" applyFont="1" applyAlignment="1">
      <alignment horizontal="right"/>
    </xf>
    <xf numFmtId="3" fontId="1" fillId="0" borderId="0" xfId="0" applyNumberFormat="1" applyFont="1"/>
    <xf numFmtId="0" fontId="31" fillId="0" borderId="0" xfId="0" applyFont="1"/>
    <xf numFmtId="0" fontId="5" fillId="0" borderId="0" xfId="0" applyFont="1" applyAlignment="1">
      <alignment horizontal="center" vertical="center"/>
    </xf>
    <xf numFmtId="0" fontId="32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32" fillId="0" borderId="5" xfId="0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33" fillId="0" borderId="5" xfId="0" applyFont="1" applyBorder="1" applyAlignment="1">
      <alignment horizontal="center"/>
    </xf>
    <xf numFmtId="0" fontId="33" fillId="2" borderId="5" xfId="0" applyFont="1" applyFill="1" applyBorder="1" applyAlignment="1">
      <alignment horizontal="left"/>
    </xf>
    <xf numFmtId="0" fontId="33" fillId="2" borderId="15" xfId="0" applyFont="1" applyFill="1" applyBorder="1" applyAlignment="1">
      <alignment horizontal="left"/>
    </xf>
    <xf numFmtId="0" fontId="34" fillId="0" borderId="5" xfId="0" applyFont="1" applyBorder="1" applyAlignment="1"/>
    <xf numFmtId="0" fontId="33" fillId="0" borderId="4" xfId="0" applyFont="1" applyBorder="1" applyAlignment="1">
      <alignment horizontal="center"/>
    </xf>
    <xf numFmtId="0" fontId="34" fillId="0" borderId="5" xfId="0" applyFont="1" applyBorder="1" applyAlignment="1"/>
    <xf numFmtId="0" fontId="35" fillId="0" borderId="14" xfId="0" applyFont="1" applyBorder="1" applyAlignment="1">
      <alignment horizontal="left" wrapText="1"/>
    </xf>
    <xf numFmtId="0" fontId="5" fillId="0" borderId="12" xfId="0" applyFont="1" applyBorder="1" applyAlignment="1">
      <alignment horizontal="center" vertical="center" wrapText="1"/>
    </xf>
    <xf numFmtId="0" fontId="4" fillId="0" borderId="5" xfId="0" applyFont="1" applyBorder="1"/>
    <xf numFmtId="0" fontId="4" fillId="0" borderId="0" xfId="0" applyFont="1" applyAlignment="1">
      <alignment horizontal="center"/>
    </xf>
    <xf numFmtId="0" fontId="0" fillId="0" borderId="0" xfId="0" applyFont="1" applyAlignment="1"/>
    <xf numFmtId="0" fontId="35" fillId="0" borderId="1" xfId="0" applyFont="1" applyBorder="1" applyAlignment="1">
      <alignment wrapText="1"/>
    </xf>
    <xf numFmtId="0" fontId="5" fillId="0" borderId="16" xfId="0" applyFont="1" applyBorder="1" applyAlignment="1">
      <alignment horizontal="center"/>
    </xf>
    <xf numFmtId="0" fontId="18" fillId="2" borderId="16" xfId="0" applyFont="1" applyFill="1" applyBorder="1" applyAlignment="1">
      <alignment horizontal="left" vertical="top" wrapText="1"/>
    </xf>
    <xf numFmtId="0" fontId="37" fillId="0" borderId="16" xfId="0" applyFont="1" applyBorder="1" applyAlignment="1">
      <alignment horizontal="center" wrapText="1"/>
    </xf>
    <xf numFmtId="0" fontId="18" fillId="2" borderId="16" xfId="0" applyFont="1" applyFill="1" applyBorder="1" applyAlignment="1">
      <alignment horizontal="left" wrapText="1"/>
    </xf>
    <xf numFmtId="0" fontId="39" fillId="2" borderId="16" xfId="0" applyFont="1" applyFill="1" applyBorder="1" applyAlignment="1">
      <alignment horizontal="left" vertical="top" wrapText="1"/>
    </xf>
    <xf numFmtId="0" fontId="4" fillId="0" borderId="9" xfId="0" applyFont="1" applyBorder="1"/>
    <xf numFmtId="0" fontId="16" fillId="0" borderId="9" xfId="0" applyFont="1" applyBorder="1" applyAlignment="1">
      <alignment horizontal="center"/>
    </xf>
    <xf numFmtId="0" fontId="17" fillId="0" borderId="9" xfId="0" applyFont="1" applyBorder="1" applyAlignment="1">
      <alignment vertical="top"/>
    </xf>
    <xf numFmtId="0" fontId="5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 wrapText="1"/>
    </xf>
    <xf numFmtId="0" fontId="35" fillId="0" borderId="1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5" fillId="0" borderId="16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2" fillId="0" borderId="4" xfId="0" applyFont="1" applyBorder="1"/>
    <xf numFmtId="0" fontId="10" fillId="0" borderId="0" xfId="0" applyFont="1" applyAlignment="1">
      <alignment horizontal="center"/>
    </xf>
    <xf numFmtId="0" fontId="0" fillId="0" borderId="0" xfId="0" applyFont="1" applyAlignment="1"/>
    <xf numFmtId="0" fontId="10" fillId="0" borderId="0" xfId="0" applyFont="1" applyAlignment="1"/>
    <xf numFmtId="0" fontId="10" fillId="0" borderId="2" xfId="0" applyFont="1" applyBorder="1" applyAlignment="1">
      <alignment horizontal="center" wrapText="1"/>
    </xf>
    <xf numFmtId="0" fontId="12" fillId="0" borderId="3" xfId="0" applyFont="1" applyBorder="1"/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9" fontId="5" fillId="0" borderId="0" xfId="0" applyNumberFormat="1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wrapText="1"/>
    </xf>
    <xf numFmtId="0" fontId="12" fillId="0" borderId="6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left" wrapText="1"/>
    </xf>
    <xf numFmtId="0" fontId="20" fillId="0" borderId="1" xfId="0" applyFont="1" applyBorder="1" applyAlignment="1">
      <alignment vertical="center" wrapText="1"/>
    </xf>
    <xf numFmtId="0" fontId="12" fillId="0" borderId="8" xfId="0" applyFont="1" applyBorder="1"/>
    <xf numFmtId="0" fontId="7" fillId="0" borderId="7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3" fillId="0" borderId="2" xfId="0" applyFont="1" applyBorder="1"/>
    <xf numFmtId="0" fontId="7" fillId="2" borderId="2" xfId="0" applyFont="1" applyFill="1" applyBorder="1"/>
    <xf numFmtId="0" fontId="1" fillId="0" borderId="10" xfId="0" applyFont="1" applyBorder="1"/>
    <xf numFmtId="0" fontId="12" fillId="0" borderId="11" xfId="0" applyFont="1" applyBorder="1"/>
    <xf numFmtId="0" fontId="12" fillId="0" borderId="7" xfId="0" applyFont="1" applyBorder="1"/>
    <xf numFmtId="0" fontId="12" fillId="0" borderId="12" xfId="0" applyFont="1" applyBorder="1"/>
    <xf numFmtId="0" fontId="12" fillId="0" borderId="13" xfId="0" applyFont="1" applyBorder="1"/>
    <xf numFmtId="0" fontId="12" fillId="0" borderId="14" xfId="0" applyFont="1" applyBorder="1"/>
    <xf numFmtId="0" fontId="10" fillId="0" borderId="6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3" fillId="0" borderId="7" xfId="0" applyFont="1" applyBorder="1"/>
    <xf numFmtId="0" fontId="9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top"/>
    </xf>
    <xf numFmtId="0" fontId="24" fillId="0" borderId="1" xfId="0" applyFont="1" applyBorder="1" applyAlignment="1">
      <alignment horizontal="center"/>
    </xf>
    <xf numFmtId="0" fontId="38" fillId="0" borderId="9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15" fillId="0" borderId="9" xfId="0" applyFont="1" applyBorder="1" applyAlignment="1">
      <alignment horizontal="center" wrapText="1"/>
    </xf>
    <xf numFmtId="0" fontId="16" fillId="0" borderId="9" xfId="0" applyFont="1" applyBorder="1" applyAlignment="1">
      <alignment horizontal="center"/>
    </xf>
    <xf numFmtId="0" fontId="12" fillId="0" borderId="16" xfId="0" applyFont="1" applyBorder="1"/>
    <xf numFmtId="0" fontId="4" fillId="0" borderId="17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0" fillId="0" borderId="9" xfId="0" applyFont="1" applyBorder="1" applyAlignment="1"/>
    <xf numFmtId="0" fontId="25" fillId="0" borderId="1" xfId="0" applyFont="1" applyBorder="1" applyAlignment="1">
      <alignment horizontal="center"/>
    </xf>
    <xf numFmtId="0" fontId="25" fillId="0" borderId="1" xfId="0" applyFont="1" applyBorder="1"/>
    <xf numFmtId="0" fontId="36" fillId="0" borderId="1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6" xfId="0" applyFont="1" applyBorder="1"/>
    <xf numFmtId="0" fontId="25" fillId="0" borderId="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14" fillId="0" borderId="8" xfId="0" applyFont="1" applyBorder="1" applyAlignment="1">
      <alignment horizontal="left" wrapText="1"/>
    </xf>
    <xf numFmtId="0" fontId="12" fillId="0" borderId="4" xfId="0" applyFont="1" applyBorder="1" applyAlignment="1">
      <alignment horizontal="left"/>
    </xf>
    <xf numFmtId="0" fontId="40" fillId="0" borderId="14" xfId="0" applyFont="1" applyBorder="1" applyAlignment="1">
      <alignment horizontal="left" vertical="center"/>
    </xf>
    <xf numFmtId="0" fontId="14" fillId="0" borderId="1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12" fillId="0" borderId="15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5" fillId="2" borderId="4" xfId="0" applyFont="1" applyFill="1" applyBorder="1" applyAlignment="1">
      <alignment wrapText="1"/>
    </xf>
    <xf numFmtId="0" fontId="5" fillId="0" borderId="16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18" fillId="0" borderId="4" xfId="0" applyFont="1" applyBorder="1" applyAlignment="1">
      <alignment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533400</xdr:colOff>
      <xdr:row>0</xdr:row>
      <xdr:rowOff>123825</xdr:rowOff>
    </xdr:from>
    <xdr:ext cx="962025" cy="66675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2476500</xdr:colOff>
      <xdr:row>0</xdr:row>
      <xdr:rowOff>76200</xdr:rowOff>
    </xdr:from>
    <xdr:ext cx="1095375" cy="115252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762000</xdr:colOff>
      <xdr:row>1</xdr:row>
      <xdr:rowOff>219075</xdr:rowOff>
    </xdr:from>
    <xdr:ext cx="676275" cy="7239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1000"/>
  <sheetViews>
    <sheetView workbookViewId="0"/>
  </sheetViews>
  <sheetFormatPr defaultColWidth="12.5703125" defaultRowHeight="15" customHeight="1"/>
  <cols>
    <col min="1" max="6" width="12.5703125" customWidth="1"/>
    <col min="11" max="11" width="16.85546875" customWidth="1"/>
  </cols>
  <sheetData>
    <row r="1" spans="1:27" ht="15.75" customHeight="1">
      <c r="A1" s="1"/>
      <c r="B1" s="1"/>
      <c r="C1" s="1"/>
      <c r="D1" s="2" t="s">
        <v>0</v>
      </c>
      <c r="E1" s="1"/>
      <c r="F1" s="1"/>
      <c r="G1" s="1"/>
      <c r="H1" s="1"/>
      <c r="I1" s="1"/>
      <c r="J1" s="3" t="s">
        <v>1</v>
      </c>
      <c r="K1" s="1"/>
      <c r="L1" s="1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.75" customHeight="1">
      <c r="A2" s="1"/>
      <c r="B2" s="1"/>
      <c r="C2" s="1"/>
      <c r="D2" s="5" t="s">
        <v>2</v>
      </c>
      <c r="E2" s="1"/>
      <c r="F2" s="1"/>
      <c r="G2" s="1"/>
      <c r="H2" s="1"/>
      <c r="I2" s="1"/>
      <c r="J2" s="1"/>
      <c r="K2" s="1"/>
      <c r="L2" s="1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75" customHeight="1">
      <c r="A3" s="1"/>
      <c r="B3" s="1"/>
      <c r="C3" s="1"/>
      <c r="D3" s="6" t="s">
        <v>3</v>
      </c>
      <c r="E3" s="1"/>
      <c r="F3" s="1"/>
      <c r="G3" s="1"/>
      <c r="H3" s="1"/>
      <c r="I3" s="1"/>
      <c r="L3" s="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.75" customHeight="1">
      <c r="A4" s="7" t="s">
        <v>4</v>
      </c>
      <c r="B4" s="8"/>
      <c r="C4" s="8"/>
      <c r="D4" s="9" t="s">
        <v>5</v>
      </c>
      <c r="E4" s="8"/>
      <c r="F4" s="8"/>
      <c r="G4" s="111" t="s">
        <v>6</v>
      </c>
      <c r="H4" s="112"/>
      <c r="I4" s="8"/>
      <c r="J4" s="113" t="s">
        <v>7</v>
      </c>
      <c r="K4" s="112"/>
      <c r="L4" s="8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5.75" customHeight="1">
      <c r="A5" s="11" t="s">
        <v>8</v>
      </c>
      <c r="B5" s="11" t="s">
        <v>9</v>
      </c>
      <c r="C5" s="114" t="s">
        <v>10</v>
      </c>
      <c r="D5" s="115"/>
      <c r="E5" s="109" t="s">
        <v>11</v>
      </c>
      <c r="F5" s="109" t="s">
        <v>12</v>
      </c>
      <c r="G5" s="114" t="s">
        <v>13</v>
      </c>
      <c r="H5" s="115"/>
      <c r="I5" s="114" t="s">
        <v>14</v>
      </c>
      <c r="J5" s="115"/>
      <c r="K5" s="109" t="s">
        <v>15</v>
      </c>
      <c r="L5" s="109" t="s">
        <v>16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ht="30" customHeight="1">
      <c r="A6" s="13"/>
      <c r="B6" s="13"/>
      <c r="C6" s="14" t="s">
        <v>17</v>
      </c>
      <c r="D6" s="14" t="s">
        <v>18</v>
      </c>
      <c r="E6" s="110"/>
      <c r="F6" s="110"/>
      <c r="G6" s="14" t="s">
        <v>19</v>
      </c>
      <c r="H6" s="14" t="s">
        <v>20</v>
      </c>
      <c r="I6" s="14" t="s">
        <v>19</v>
      </c>
      <c r="J6" s="14" t="s">
        <v>20</v>
      </c>
      <c r="K6" s="110"/>
      <c r="L6" s="110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ht="15.75" customHeight="1">
      <c r="A7" s="15">
        <v>1</v>
      </c>
      <c r="B7" s="15" t="s">
        <v>21</v>
      </c>
      <c r="C7" s="16">
        <v>21</v>
      </c>
      <c r="D7" s="16">
        <v>18</v>
      </c>
      <c r="E7" s="16">
        <v>2</v>
      </c>
      <c r="F7" s="17">
        <v>0.4</v>
      </c>
      <c r="G7" s="16">
        <v>2</v>
      </c>
      <c r="H7" s="16">
        <v>1</v>
      </c>
      <c r="I7" s="16" t="s">
        <v>22</v>
      </c>
      <c r="J7" s="16" t="s">
        <v>22</v>
      </c>
      <c r="K7" s="18" t="s">
        <v>23</v>
      </c>
      <c r="L7" s="19" t="s">
        <v>24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ht="15.75" customHeight="1">
      <c r="A8" s="15">
        <v>2</v>
      </c>
      <c r="B8" s="15" t="s">
        <v>25</v>
      </c>
      <c r="C8" s="16">
        <v>30</v>
      </c>
      <c r="D8" s="16">
        <v>26</v>
      </c>
      <c r="E8" s="20">
        <v>2</v>
      </c>
      <c r="F8" s="17">
        <v>0.4</v>
      </c>
      <c r="G8" s="16" t="s">
        <v>22</v>
      </c>
      <c r="H8" s="16" t="s">
        <v>22</v>
      </c>
      <c r="I8" s="16" t="s">
        <v>22</v>
      </c>
      <c r="J8" s="16" t="s">
        <v>22</v>
      </c>
      <c r="K8" s="21" t="s">
        <v>26</v>
      </c>
      <c r="L8" s="22" t="s">
        <v>27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15.75" customHeight="1">
      <c r="A9" s="15">
        <v>3</v>
      </c>
      <c r="B9" s="15" t="s">
        <v>28</v>
      </c>
      <c r="C9" s="16">
        <v>16</v>
      </c>
      <c r="D9" s="16">
        <v>15</v>
      </c>
      <c r="E9" s="16">
        <v>2</v>
      </c>
      <c r="F9" s="23">
        <v>0.4</v>
      </c>
      <c r="G9" s="16">
        <v>1</v>
      </c>
      <c r="H9" s="21"/>
      <c r="I9" s="16">
        <v>1</v>
      </c>
      <c r="J9" s="21"/>
      <c r="K9" s="21" t="s">
        <v>29</v>
      </c>
      <c r="L9" s="22" t="s">
        <v>30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15.75" customHeight="1">
      <c r="A10" s="24">
        <v>4</v>
      </c>
      <c r="B10" s="15" t="s">
        <v>31</v>
      </c>
      <c r="C10" s="16">
        <v>14</v>
      </c>
      <c r="D10" s="16">
        <v>14</v>
      </c>
      <c r="E10" s="25">
        <v>2</v>
      </c>
      <c r="F10" s="25">
        <v>40</v>
      </c>
      <c r="G10" s="25" t="s">
        <v>22</v>
      </c>
      <c r="H10" s="25" t="s">
        <v>22</v>
      </c>
      <c r="I10" s="25" t="s">
        <v>22</v>
      </c>
      <c r="J10" s="25" t="s">
        <v>22</v>
      </c>
      <c r="K10" s="21" t="s">
        <v>32</v>
      </c>
      <c r="L10" s="22" t="s">
        <v>33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15.75" customHeight="1">
      <c r="A11" s="120">
        <v>5</v>
      </c>
      <c r="B11" s="120" t="s">
        <v>34</v>
      </c>
      <c r="C11" s="16">
        <v>4</v>
      </c>
      <c r="D11" s="16">
        <v>4</v>
      </c>
      <c r="E11" s="117">
        <v>3</v>
      </c>
      <c r="F11" s="121">
        <v>0.3</v>
      </c>
      <c r="G11" s="117" t="s">
        <v>22</v>
      </c>
      <c r="H11" s="117" t="s">
        <v>22</v>
      </c>
      <c r="I11" s="117" t="s">
        <v>22</v>
      </c>
      <c r="J11" s="117" t="s">
        <v>22</v>
      </c>
      <c r="K11" s="117" t="s">
        <v>32</v>
      </c>
      <c r="L11" s="117" t="s">
        <v>33</v>
      </c>
      <c r="M11" s="118"/>
      <c r="N11" s="118"/>
      <c r="O11" s="26"/>
      <c r="P11" s="26"/>
      <c r="Q11" s="118"/>
      <c r="R11" s="119"/>
      <c r="S11" s="118"/>
      <c r="T11" s="118"/>
      <c r="U11" s="118"/>
      <c r="V11" s="118"/>
      <c r="W11" s="116"/>
      <c r="X11" s="116"/>
      <c r="Y11" s="12"/>
      <c r="Z11" s="12"/>
      <c r="AA11" s="12"/>
    </row>
    <row r="12" spans="1:27" ht="15.75" customHeight="1">
      <c r="A12" s="110"/>
      <c r="B12" s="110"/>
      <c r="C12" s="16">
        <v>5</v>
      </c>
      <c r="D12" s="16">
        <v>5</v>
      </c>
      <c r="E12" s="110"/>
      <c r="F12" s="110"/>
      <c r="G12" s="110"/>
      <c r="H12" s="110"/>
      <c r="I12" s="110"/>
      <c r="J12" s="110"/>
      <c r="K12" s="110"/>
      <c r="L12" s="110"/>
      <c r="M12" s="112"/>
      <c r="N12" s="112"/>
      <c r="O12" s="26"/>
      <c r="P12" s="26"/>
      <c r="Q12" s="112"/>
      <c r="R12" s="112"/>
      <c r="S12" s="112"/>
      <c r="T12" s="112"/>
      <c r="U12" s="112"/>
      <c r="V12" s="112"/>
      <c r="W12" s="112"/>
      <c r="X12" s="112"/>
      <c r="Y12" s="12"/>
      <c r="Z12" s="12"/>
      <c r="AA12" s="12"/>
    </row>
    <row r="13" spans="1:27" ht="15.75" customHeight="1">
      <c r="A13" s="15">
        <v>6</v>
      </c>
      <c r="B13" s="15" t="s">
        <v>35</v>
      </c>
      <c r="C13" s="16">
        <v>18</v>
      </c>
      <c r="D13" s="16">
        <v>18</v>
      </c>
      <c r="E13" s="16">
        <v>2</v>
      </c>
      <c r="F13" s="23">
        <v>0.4</v>
      </c>
      <c r="G13" s="16">
        <v>0</v>
      </c>
      <c r="H13" s="16">
        <v>0</v>
      </c>
      <c r="I13" s="16">
        <v>2</v>
      </c>
      <c r="J13" s="16">
        <v>1</v>
      </c>
      <c r="K13" s="28" t="s">
        <v>36</v>
      </c>
      <c r="L13" s="29" t="s">
        <v>37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15.75" customHeight="1">
      <c r="A14" s="120">
        <v>7</v>
      </c>
      <c r="B14" s="120" t="s">
        <v>38</v>
      </c>
      <c r="C14" s="16">
        <v>5</v>
      </c>
      <c r="D14" s="16">
        <v>5</v>
      </c>
      <c r="E14" s="117" t="s">
        <v>39</v>
      </c>
      <c r="F14" s="121">
        <v>0.33</v>
      </c>
      <c r="G14" s="117" t="s">
        <v>22</v>
      </c>
      <c r="H14" s="117" t="s">
        <v>22</v>
      </c>
      <c r="I14" s="117" t="s">
        <v>22</v>
      </c>
      <c r="J14" s="117" t="s">
        <v>22</v>
      </c>
      <c r="K14" s="117" t="s">
        <v>40</v>
      </c>
      <c r="L14" s="117" t="s">
        <v>41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15.75" customHeight="1">
      <c r="A15" s="110"/>
      <c r="B15" s="110"/>
      <c r="C15" s="16">
        <v>5</v>
      </c>
      <c r="D15" s="16">
        <v>4</v>
      </c>
      <c r="E15" s="110"/>
      <c r="F15" s="110"/>
      <c r="G15" s="110"/>
      <c r="H15" s="110"/>
      <c r="I15" s="110"/>
      <c r="J15" s="110"/>
      <c r="K15" s="110"/>
      <c r="L15" s="110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15.75" customHeight="1">
      <c r="A18" s="5"/>
      <c r="B18" s="122" t="s">
        <v>42</v>
      </c>
      <c r="C18" s="123"/>
      <c r="D18" s="123"/>
      <c r="E18" s="123"/>
      <c r="F18" s="123"/>
      <c r="G18" s="115"/>
      <c r="H18" s="124" t="s">
        <v>43</v>
      </c>
      <c r="I18" s="123"/>
      <c r="J18" s="123"/>
      <c r="K18" s="123"/>
      <c r="L18" s="115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15.75" customHeight="1">
      <c r="A19" s="5"/>
      <c r="B19" s="125" t="s">
        <v>44</v>
      </c>
      <c r="C19" s="123"/>
      <c r="D19" s="123"/>
      <c r="E19" s="123"/>
      <c r="F19" s="123"/>
      <c r="G19" s="123"/>
      <c r="H19" s="123"/>
      <c r="I19" s="123"/>
      <c r="J19" s="123"/>
      <c r="K19" s="123"/>
      <c r="L19" s="115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/>
    <row r="222" spans="1:27" ht="15.75" customHeight="1"/>
    <row r="223" spans="1:27" ht="15.75" customHeight="1"/>
    <row r="224" spans="1:27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B18:G18"/>
    <mergeCell ref="H18:L18"/>
    <mergeCell ref="B19:L19"/>
    <mergeCell ref="A14:A15"/>
    <mergeCell ref="B14:B15"/>
    <mergeCell ref="E14:E15"/>
    <mergeCell ref="F14:F15"/>
    <mergeCell ref="G14:G15"/>
    <mergeCell ref="H14:H15"/>
    <mergeCell ref="I14:I15"/>
    <mergeCell ref="H11:H12"/>
    <mergeCell ref="I11:I12"/>
    <mergeCell ref="J14:J15"/>
    <mergeCell ref="K14:K15"/>
    <mergeCell ref="L14:L15"/>
    <mergeCell ref="A11:A12"/>
    <mergeCell ref="B11:B12"/>
    <mergeCell ref="E11:E12"/>
    <mergeCell ref="F11:F12"/>
    <mergeCell ref="G11:G12"/>
    <mergeCell ref="X11:X12"/>
    <mergeCell ref="J11:J12"/>
    <mergeCell ref="K11:K12"/>
    <mergeCell ref="L11:L12"/>
    <mergeCell ref="M11:M12"/>
    <mergeCell ref="N11:N12"/>
    <mergeCell ref="Q11:Q12"/>
    <mergeCell ref="R11:R12"/>
    <mergeCell ref="S11:S12"/>
    <mergeCell ref="T11:T12"/>
    <mergeCell ref="U11:U12"/>
    <mergeCell ref="V11:V12"/>
    <mergeCell ref="W11:W12"/>
    <mergeCell ref="K5:K6"/>
    <mergeCell ref="L5:L6"/>
    <mergeCell ref="G4:H4"/>
    <mergeCell ref="J4:K4"/>
    <mergeCell ref="C5:D5"/>
    <mergeCell ref="E5:E6"/>
    <mergeCell ref="F5:F6"/>
    <mergeCell ref="G5:H5"/>
    <mergeCell ref="I5:J5"/>
  </mergeCells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62"/>
  <sheetViews>
    <sheetView workbookViewId="0">
      <selection sqref="A1:I1"/>
    </sheetView>
  </sheetViews>
  <sheetFormatPr defaultColWidth="12.5703125" defaultRowHeight="15" customHeight="1"/>
  <cols>
    <col min="5" max="5" width="19.42578125" customWidth="1"/>
    <col min="6" max="6" width="24.140625" customWidth="1"/>
  </cols>
  <sheetData>
    <row r="1" spans="1:9" ht="15" customHeight="1">
      <c r="A1" s="128" t="s">
        <v>0</v>
      </c>
      <c r="B1" s="112"/>
      <c r="C1" s="112"/>
      <c r="D1" s="112"/>
      <c r="E1" s="112"/>
      <c r="F1" s="112"/>
      <c r="G1" s="112"/>
      <c r="H1" s="112"/>
      <c r="I1" s="112"/>
    </row>
    <row r="2" spans="1:9" ht="15" customHeight="1">
      <c r="A2" s="128" t="s">
        <v>45</v>
      </c>
      <c r="B2" s="112"/>
      <c r="C2" s="112"/>
      <c r="D2" s="112"/>
      <c r="E2" s="112"/>
      <c r="F2" s="112"/>
      <c r="G2" s="112"/>
      <c r="H2" s="112"/>
      <c r="I2" s="112"/>
    </row>
    <row r="3" spans="1:9" ht="15" customHeight="1">
      <c r="A3" s="128" t="s">
        <v>46</v>
      </c>
      <c r="B3" s="112"/>
      <c r="C3" s="112"/>
      <c r="D3" s="112"/>
      <c r="E3" s="112"/>
      <c r="F3" s="112"/>
      <c r="G3" s="112"/>
      <c r="H3" s="112"/>
      <c r="I3" s="112"/>
    </row>
    <row r="4" spans="1:9" ht="15" customHeight="1">
      <c r="A4" s="4"/>
      <c r="B4" s="4"/>
      <c r="C4" s="30" t="s">
        <v>47</v>
      </c>
      <c r="D4" s="4"/>
      <c r="E4" s="31" t="s">
        <v>48</v>
      </c>
      <c r="F4" s="4"/>
      <c r="G4" s="32" t="s">
        <v>49</v>
      </c>
      <c r="H4" s="33" t="s">
        <v>50</v>
      </c>
      <c r="I4" s="4"/>
    </row>
    <row r="5" spans="1:9" ht="12.75">
      <c r="A5" s="4"/>
      <c r="B5" s="4"/>
      <c r="C5" s="34"/>
      <c r="D5" s="4"/>
      <c r="E5" s="4"/>
      <c r="F5" s="4"/>
      <c r="G5" s="4"/>
      <c r="H5" s="4"/>
      <c r="I5" s="4"/>
    </row>
    <row r="6" spans="1:9" ht="15" customHeight="1">
      <c r="A6" s="35" t="s">
        <v>8</v>
      </c>
      <c r="B6" s="35" t="s">
        <v>51</v>
      </c>
      <c r="C6" s="35" t="s">
        <v>52</v>
      </c>
      <c r="D6" s="35" t="s">
        <v>53</v>
      </c>
      <c r="E6" s="35" t="s">
        <v>54</v>
      </c>
      <c r="F6" s="35" t="s">
        <v>55</v>
      </c>
    </row>
    <row r="7" spans="1:9" ht="15" customHeight="1">
      <c r="A7" s="36">
        <v>1</v>
      </c>
      <c r="B7" s="37" t="s">
        <v>56</v>
      </c>
      <c r="C7" s="37" t="s">
        <v>57</v>
      </c>
      <c r="D7" s="38">
        <v>94</v>
      </c>
      <c r="E7" s="126" t="s">
        <v>58</v>
      </c>
      <c r="F7" s="39"/>
    </row>
    <row r="8" spans="1:9" ht="15" customHeight="1">
      <c r="A8" s="40">
        <v>2</v>
      </c>
      <c r="B8" s="37" t="s">
        <v>59</v>
      </c>
      <c r="C8" s="37" t="s">
        <v>60</v>
      </c>
      <c r="D8" s="38">
        <v>89</v>
      </c>
      <c r="E8" s="127"/>
      <c r="F8" s="39"/>
    </row>
    <row r="9" spans="1:9" ht="15" customHeight="1">
      <c r="A9" s="36">
        <v>3</v>
      </c>
      <c r="B9" s="37" t="s">
        <v>61</v>
      </c>
      <c r="C9" s="37" t="s">
        <v>62</v>
      </c>
      <c r="D9" s="38">
        <v>76</v>
      </c>
      <c r="E9" s="127"/>
      <c r="F9" s="39"/>
    </row>
    <row r="10" spans="1:9" ht="15" customHeight="1">
      <c r="A10" s="40">
        <v>4</v>
      </c>
      <c r="B10" s="37" t="s">
        <v>63</v>
      </c>
      <c r="C10" s="37" t="s">
        <v>64</v>
      </c>
      <c r="D10" s="38">
        <v>86</v>
      </c>
      <c r="E10" s="127"/>
      <c r="F10" s="39"/>
    </row>
    <row r="11" spans="1:9" ht="15" customHeight="1">
      <c r="A11" s="36">
        <v>5</v>
      </c>
      <c r="B11" s="37" t="s">
        <v>65</v>
      </c>
      <c r="C11" s="37" t="s">
        <v>66</v>
      </c>
      <c r="D11" s="38">
        <v>61</v>
      </c>
      <c r="E11" s="127"/>
      <c r="F11" s="39"/>
    </row>
    <row r="12" spans="1:9" ht="15" customHeight="1">
      <c r="A12" s="40">
        <v>6</v>
      </c>
      <c r="B12" s="37" t="s">
        <v>67</v>
      </c>
      <c r="C12" s="37" t="s">
        <v>68</v>
      </c>
      <c r="D12" s="38">
        <v>76</v>
      </c>
      <c r="E12" s="127"/>
      <c r="F12" s="39"/>
    </row>
    <row r="13" spans="1:9" ht="15" customHeight="1">
      <c r="A13" s="36">
        <v>7</v>
      </c>
      <c r="B13" s="37" t="s">
        <v>69</v>
      </c>
      <c r="C13" s="37" t="s">
        <v>70</v>
      </c>
      <c r="D13" s="38">
        <v>86</v>
      </c>
      <c r="E13" s="127"/>
      <c r="F13" s="39"/>
    </row>
    <row r="14" spans="1:9" ht="15" customHeight="1">
      <c r="A14" s="40">
        <v>8</v>
      </c>
      <c r="B14" s="37" t="s">
        <v>71</v>
      </c>
      <c r="C14" s="37" t="s">
        <v>72</v>
      </c>
      <c r="D14" s="38">
        <v>67</v>
      </c>
      <c r="E14" s="127"/>
      <c r="F14" s="39"/>
    </row>
    <row r="15" spans="1:9" ht="15" customHeight="1">
      <c r="A15" s="36">
        <v>9</v>
      </c>
      <c r="B15" s="37" t="s">
        <v>73</v>
      </c>
      <c r="C15" s="37" t="s">
        <v>74</v>
      </c>
      <c r="D15" s="38">
        <v>90</v>
      </c>
      <c r="E15" s="127"/>
      <c r="F15" s="39"/>
    </row>
    <row r="16" spans="1:9" ht="15" customHeight="1">
      <c r="A16" s="40">
        <v>10</v>
      </c>
      <c r="B16" s="37" t="s">
        <v>75</v>
      </c>
      <c r="C16" s="37" t="s">
        <v>76</v>
      </c>
      <c r="D16" s="38">
        <v>78</v>
      </c>
      <c r="E16" s="127"/>
      <c r="F16" s="39"/>
    </row>
    <row r="17" spans="1:6" ht="15" customHeight="1">
      <c r="A17" s="36">
        <v>11</v>
      </c>
      <c r="B17" s="37" t="s">
        <v>77</v>
      </c>
      <c r="C17" s="37" t="s">
        <v>78</v>
      </c>
      <c r="D17" s="38">
        <v>78</v>
      </c>
      <c r="E17" s="127"/>
      <c r="F17" s="39"/>
    </row>
    <row r="18" spans="1:6" ht="15" customHeight="1">
      <c r="A18" s="40">
        <v>12</v>
      </c>
      <c r="B18" s="37" t="s">
        <v>79</v>
      </c>
      <c r="C18" s="37" t="s">
        <v>80</v>
      </c>
      <c r="D18" s="38">
        <v>87</v>
      </c>
      <c r="E18" s="127"/>
      <c r="F18" s="39"/>
    </row>
    <row r="19" spans="1:6" ht="15" customHeight="1">
      <c r="A19" s="36">
        <v>13</v>
      </c>
      <c r="B19" s="37" t="s">
        <v>81</v>
      </c>
      <c r="C19" s="37" t="s">
        <v>82</v>
      </c>
      <c r="D19" s="38">
        <v>91</v>
      </c>
      <c r="E19" s="127"/>
      <c r="F19" s="39"/>
    </row>
    <row r="20" spans="1:6" ht="15" customHeight="1">
      <c r="A20" s="40">
        <v>14</v>
      </c>
      <c r="B20" s="37" t="s">
        <v>83</v>
      </c>
      <c r="C20" s="37" t="s">
        <v>84</v>
      </c>
      <c r="D20" s="38">
        <v>87</v>
      </c>
      <c r="E20" s="127"/>
      <c r="F20" s="39"/>
    </row>
    <row r="21" spans="1:6" ht="15" customHeight="1">
      <c r="A21" s="36">
        <v>15</v>
      </c>
      <c r="B21" s="37" t="s">
        <v>85</v>
      </c>
      <c r="C21" s="37" t="s">
        <v>86</v>
      </c>
      <c r="D21" s="38">
        <v>59</v>
      </c>
      <c r="E21" s="127"/>
      <c r="F21" s="39"/>
    </row>
    <row r="22" spans="1:6" ht="15" customHeight="1">
      <c r="A22" s="40">
        <v>16</v>
      </c>
      <c r="B22" s="37" t="s">
        <v>87</v>
      </c>
      <c r="C22" s="37" t="s">
        <v>88</v>
      </c>
      <c r="D22" s="38">
        <v>54</v>
      </c>
      <c r="E22" s="127"/>
      <c r="F22" s="39"/>
    </row>
    <row r="23" spans="1:6" ht="15" customHeight="1">
      <c r="A23" s="36">
        <v>17</v>
      </c>
      <c r="B23" s="37" t="s">
        <v>89</v>
      </c>
      <c r="C23" s="37" t="s">
        <v>90</v>
      </c>
      <c r="D23" s="38">
        <v>22</v>
      </c>
      <c r="E23" s="127"/>
      <c r="F23" s="39"/>
    </row>
    <row r="24" spans="1:6" ht="15" customHeight="1">
      <c r="A24" s="40">
        <v>18</v>
      </c>
      <c r="B24" s="37" t="s">
        <v>91</v>
      </c>
      <c r="C24" s="37" t="s">
        <v>92</v>
      </c>
      <c r="D24" s="38">
        <v>61</v>
      </c>
      <c r="E24" s="127"/>
      <c r="F24" s="39"/>
    </row>
    <row r="25" spans="1:6" ht="47.25">
      <c r="A25" s="36">
        <v>19</v>
      </c>
      <c r="B25" s="37" t="s">
        <v>93</v>
      </c>
      <c r="C25" s="37" t="s">
        <v>94</v>
      </c>
      <c r="D25" s="38">
        <v>92</v>
      </c>
      <c r="E25" s="127"/>
      <c r="F25" s="39"/>
    </row>
    <row r="26" spans="1:6" ht="31.5">
      <c r="A26" s="40">
        <v>20</v>
      </c>
      <c r="B26" s="37" t="s">
        <v>95</v>
      </c>
      <c r="C26" s="37" t="s">
        <v>96</v>
      </c>
      <c r="D26" s="38">
        <v>78</v>
      </c>
      <c r="E26" s="127"/>
      <c r="F26" s="39"/>
    </row>
    <row r="27" spans="1:6" ht="31.5">
      <c r="A27" s="36">
        <v>21</v>
      </c>
      <c r="B27" s="37" t="s">
        <v>97</v>
      </c>
      <c r="C27" s="37" t="s">
        <v>98</v>
      </c>
      <c r="D27" s="38">
        <v>82</v>
      </c>
      <c r="E27" s="127"/>
      <c r="F27" s="39"/>
    </row>
    <row r="28" spans="1:6" ht="31.5">
      <c r="A28" s="40">
        <v>22</v>
      </c>
      <c r="B28" s="37" t="s">
        <v>99</v>
      </c>
      <c r="C28" s="37" t="s">
        <v>100</v>
      </c>
      <c r="D28" s="38">
        <v>72</v>
      </c>
      <c r="E28" s="127"/>
      <c r="F28" s="39"/>
    </row>
    <row r="29" spans="1:6" ht="47.25">
      <c r="A29" s="36">
        <v>23</v>
      </c>
      <c r="B29" s="37" t="s">
        <v>101</v>
      </c>
      <c r="C29" s="37" t="s">
        <v>102</v>
      </c>
      <c r="D29" s="38">
        <v>87</v>
      </c>
      <c r="E29" s="127"/>
      <c r="F29" s="39"/>
    </row>
    <row r="30" spans="1:6" ht="47.25">
      <c r="A30" s="40">
        <v>24</v>
      </c>
      <c r="B30" s="37" t="s">
        <v>103</v>
      </c>
      <c r="C30" s="37" t="s">
        <v>104</v>
      </c>
      <c r="D30" s="38">
        <v>81</v>
      </c>
      <c r="E30" s="110"/>
      <c r="F30" s="39"/>
    </row>
    <row r="31" spans="1:6" ht="31.5">
      <c r="A31" s="36">
        <v>25</v>
      </c>
      <c r="B31" s="37" t="s">
        <v>105</v>
      </c>
      <c r="C31" s="37" t="s">
        <v>106</v>
      </c>
      <c r="D31" s="38">
        <v>83</v>
      </c>
      <c r="E31" s="126" t="s">
        <v>107</v>
      </c>
      <c r="F31" s="39"/>
    </row>
    <row r="32" spans="1:6" ht="47.25">
      <c r="A32" s="40">
        <v>26</v>
      </c>
      <c r="B32" s="37" t="s">
        <v>108</v>
      </c>
      <c r="C32" s="37" t="s">
        <v>109</v>
      </c>
      <c r="D32" s="38">
        <v>86</v>
      </c>
      <c r="E32" s="127"/>
      <c r="F32" s="39"/>
    </row>
    <row r="33" spans="1:6" ht="47.25">
      <c r="A33" s="36">
        <v>27</v>
      </c>
      <c r="B33" s="37" t="s">
        <v>110</v>
      </c>
      <c r="C33" s="37" t="s">
        <v>111</v>
      </c>
      <c r="D33" s="38">
        <v>77</v>
      </c>
      <c r="E33" s="127"/>
      <c r="F33" s="39"/>
    </row>
    <row r="34" spans="1:6" ht="31.5">
      <c r="A34" s="40">
        <v>28</v>
      </c>
      <c r="B34" s="37" t="s">
        <v>112</v>
      </c>
      <c r="C34" s="37" t="s">
        <v>113</v>
      </c>
      <c r="D34" s="38">
        <v>67</v>
      </c>
      <c r="E34" s="127"/>
      <c r="F34" s="39"/>
    </row>
    <row r="35" spans="1:6" ht="31.5">
      <c r="A35" s="36">
        <v>29</v>
      </c>
      <c r="B35" s="37" t="s">
        <v>114</v>
      </c>
      <c r="C35" s="37" t="s">
        <v>115</v>
      </c>
      <c r="D35" s="38">
        <v>56</v>
      </c>
      <c r="E35" s="127"/>
      <c r="F35" s="39"/>
    </row>
    <row r="36" spans="1:6" ht="31.5">
      <c r="A36" s="40">
        <v>30</v>
      </c>
      <c r="B36" s="37" t="s">
        <v>116</v>
      </c>
      <c r="C36" s="37" t="s">
        <v>117</v>
      </c>
      <c r="D36" s="38">
        <v>24</v>
      </c>
      <c r="E36" s="127"/>
      <c r="F36" s="39"/>
    </row>
    <row r="37" spans="1:6" ht="31.5">
      <c r="A37" s="36">
        <v>31</v>
      </c>
      <c r="B37" s="37" t="s">
        <v>118</v>
      </c>
      <c r="C37" s="37" t="s">
        <v>119</v>
      </c>
      <c r="D37" s="38">
        <v>92</v>
      </c>
      <c r="E37" s="127"/>
      <c r="F37" s="39"/>
    </row>
    <row r="38" spans="1:6" ht="31.5">
      <c r="A38" s="40">
        <v>32</v>
      </c>
      <c r="B38" s="37" t="s">
        <v>120</v>
      </c>
      <c r="C38" s="37" t="s">
        <v>121</v>
      </c>
      <c r="D38" s="38">
        <v>90</v>
      </c>
      <c r="E38" s="127"/>
      <c r="F38" s="39"/>
    </row>
    <row r="39" spans="1:6" ht="31.5">
      <c r="A39" s="36">
        <v>33</v>
      </c>
      <c r="B39" s="37" t="s">
        <v>122</v>
      </c>
      <c r="C39" s="37" t="s">
        <v>123</v>
      </c>
      <c r="D39" s="38">
        <v>58</v>
      </c>
      <c r="E39" s="127"/>
      <c r="F39" s="39"/>
    </row>
    <row r="40" spans="1:6" ht="31.5">
      <c r="A40" s="40">
        <v>34</v>
      </c>
      <c r="B40" s="37" t="s">
        <v>124</v>
      </c>
      <c r="C40" s="37" t="s">
        <v>125</v>
      </c>
      <c r="D40" s="38">
        <v>92</v>
      </c>
      <c r="E40" s="127"/>
      <c r="F40" s="39"/>
    </row>
    <row r="41" spans="1:6" ht="31.5">
      <c r="A41" s="36">
        <v>35</v>
      </c>
      <c r="B41" s="37" t="s">
        <v>126</v>
      </c>
      <c r="C41" s="37" t="s">
        <v>127</v>
      </c>
      <c r="D41" s="38">
        <v>70</v>
      </c>
      <c r="E41" s="127"/>
      <c r="F41" s="39"/>
    </row>
    <row r="42" spans="1:6" ht="31.5">
      <c r="A42" s="40">
        <v>36</v>
      </c>
      <c r="B42" s="37" t="s">
        <v>128</v>
      </c>
      <c r="C42" s="37" t="s">
        <v>129</v>
      </c>
      <c r="D42" s="38">
        <v>80</v>
      </c>
      <c r="E42" s="127"/>
      <c r="F42" s="39"/>
    </row>
    <row r="43" spans="1:6" ht="63">
      <c r="A43" s="36">
        <v>37</v>
      </c>
      <c r="B43" s="37" t="s">
        <v>130</v>
      </c>
      <c r="C43" s="37" t="s">
        <v>131</v>
      </c>
      <c r="D43" s="38">
        <v>78</v>
      </c>
      <c r="E43" s="127"/>
      <c r="F43" s="39"/>
    </row>
    <row r="44" spans="1:6" ht="31.5">
      <c r="A44" s="40">
        <v>38</v>
      </c>
      <c r="B44" s="37" t="s">
        <v>132</v>
      </c>
      <c r="C44" s="37" t="s">
        <v>133</v>
      </c>
      <c r="D44" s="38">
        <v>64</v>
      </c>
      <c r="E44" s="127"/>
      <c r="F44" s="39"/>
    </row>
    <row r="45" spans="1:6" ht="31.5">
      <c r="A45" s="36">
        <v>39</v>
      </c>
      <c r="B45" s="37" t="s">
        <v>134</v>
      </c>
      <c r="C45" s="37" t="s">
        <v>135</v>
      </c>
      <c r="D45" s="38">
        <v>60</v>
      </c>
      <c r="E45" s="127"/>
      <c r="F45" s="39"/>
    </row>
    <row r="46" spans="1:6" ht="31.5">
      <c r="A46" s="40">
        <v>40</v>
      </c>
      <c r="B46" s="37" t="s">
        <v>136</v>
      </c>
      <c r="C46" s="37" t="s">
        <v>137</v>
      </c>
      <c r="D46" s="38">
        <v>77</v>
      </c>
      <c r="E46" s="127"/>
      <c r="F46" s="39"/>
    </row>
    <row r="47" spans="1:6" ht="31.5">
      <c r="A47" s="36">
        <v>41</v>
      </c>
      <c r="B47" s="37" t="s">
        <v>138</v>
      </c>
      <c r="C47" s="37" t="s">
        <v>139</v>
      </c>
      <c r="D47" s="38">
        <v>74</v>
      </c>
      <c r="E47" s="127"/>
      <c r="F47" s="39"/>
    </row>
    <row r="48" spans="1:6" ht="31.5">
      <c r="A48" s="40">
        <v>42</v>
      </c>
      <c r="B48" s="37" t="s">
        <v>140</v>
      </c>
      <c r="C48" s="37" t="s">
        <v>141</v>
      </c>
      <c r="D48" s="38">
        <v>91</v>
      </c>
      <c r="E48" s="127"/>
      <c r="F48" s="39"/>
    </row>
    <row r="49" spans="1:9" ht="63">
      <c r="A49" s="36">
        <v>43</v>
      </c>
      <c r="B49" s="37" t="s">
        <v>142</v>
      </c>
      <c r="C49" s="37" t="s">
        <v>143</v>
      </c>
      <c r="D49" s="38">
        <v>54</v>
      </c>
      <c r="E49" s="127"/>
      <c r="F49" s="39"/>
    </row>
    <row r="50" spans="1:9" ht="47.25">
      <c r="A50" s="40">
        <v>44</v>
      </c>
      <c r="B50" s="37" t="s">
        <v>144</v>
      </c>
      <c r="C50" s="37" t="s">
        <v>145</v>
      </c>
      <c r="D50" s="38">
        <v>90</v>
      </c>
      <c r="E50" s="127"/>
      <c r="F50" s="39"/>
    </row>
    <row r="51" spans="1:9" ht="47.25">
      <c r="A51" s="36">
        <v>45</v>
      </c>
      <c r="B51" s="37" t="s">
        <v>146</v>
      </c>
      <c r="C51" s="37" t="s">
        <v>147</v>
      </c>
      <c r="D51" s="38">
        <v>89</v>
      </c>
      <c r="E51" s="127"/>
      <c r="F51" s="39"/>
    </row>
    <row r="52" spans="1:9" ht="31.5">
      <c r="A52" s="40">
        <v>46</v>
      </c>
      <c r="B52" s="37" t="s">
        <v>148</v>
      </c>
      <c r="C52" s="37" t="s">
        <v>149</v>
      </c>
      <c r="D52" s="38">
        <v>91</v>
      </c>
      <c r="E52" s="127"/>
      <c r="F52" s="39"/>
    </row>
    <row r="53" spans="1:9" ht="63">
      <c r="A53" s="36">
        <v>47</v>
      </c>
      <c r="B53" s="37" t="s">
        <v>150</v>
      </c>
      <c r="C53" s="37" t="s">
        <v>151</v>
      </c>
      <c r="D53" s="38">
        <v>63</v>
      </c>
      <c r="E53" s="127"/>
      <c r="F53" s="39"/>
    </row>
    <row r="54" spans="1:9" ht="31.5">
      <c r="A54" s="40">
        <v>48</v>
      </c>
      <c r="B54" s="37" t="s">
        <v>152</v>
      </c>
      <c r="C54" s="37" t="s">
        <v>153</v>
      </c>
      <c r="D54" s="38">
        <v>82</v>
      </c>
      <c r="E54" s="110"/>
      <c r="F54" s="39"/>
    </row>
    <row r="55" spans="1:9" ht="47.25">
      <c r="A55" s="36">
        <v>49</v>
      </c>
      <c r="B55" s="37" t="s">
        <v>154</v>
      </c>
      <c r="C55" s="37" t="s">
        <v>155</v>
      </c>
      <c r="D55" s="38">
        <v>49</v>
      </c>
      <c r="E55" s="126" t="s">
        <v>156</v>
      </c>
      <c r="F55" s="41" t="s">
        <v>157</v>
      </c>
    </row>
    <row r="56" spans="1:9" ht="63">
      <c r="A56" s="40">
        <v>50</v>
      </c>
      <c r="B56" s="37" t="s">
        <v>158</v>
      </c>
      <c r="C56" s="37" t="s">
        <v>159</v>
      </c>
      <c r="D56" s="38">
        <v>40</v>
      </c>
      <c r="E56" s="127"/>
      <c r="F56" s="41" t="s">
        <v>157</v>
      </c>
    </row>
    <row r="57" spans="1:9" ht="63">
      <c r="A57" s="36">
        <v>51</v>
      </c>
      <c r="B57" s="37" t="s">
        <v>160</v>
      </c>
      <c r="C57" s="37" t="s">
        <v>161</v>
      </c>
      <c r="D57" s="38">
        <v>86</v>
      </c>
      <c r="E57" s="127"/>
      <c r="F57" s="41" t="s">
        <v>162</v>
      </c>
    </row>
    <row r="58" spans="1:9" ht="63">
      <c r="A58" s="40">
        <v>52</v>
      </c>
      <c r="B58" s="37" t="s">
        <v>163</v>
      </c>
      <c r="C58" s="37" t="s">
        <v>164</v>
      </c>
      <c r="D58" s="38">
        <v>84</v>
      </c>
      <c r="E58" s="127"/>
      <c r="F58" s="41" t="s">
        <v>165</v>
      </c>
    </row>
    <row r="59" spans="1:9" ht="63.75">
      <c r="A59" s="36">
        <v>53</v>
      </c>
      <c r="B59" s="42" t="s">
        <v>166</v>
      </c>
      <c r="C59" s="42" t="s">
        <v>167</v>
      </c>
      <c r="D59" s="38">
        <v>20</v>
      </c>
      <c r="E59" s="127"/>
      <c r="F59" s="41" t="s">
        <v>168</v>
      </c>
    </row>
    <row r="60" spans="1:9" ht="31.5">
      <c r="A60" s="40">
        <v>54</v>
      </c>
      <c r="B60" s="37" t="s">
        <v>169</v>
      </c>
      <c r="C60" s="37" t="s">
        <v>170</v>
      </c>
      <c r="D60" s="38">
        <v>78</v>
      </c>
      <c r="E60" s="127"/>
      <c r="F60" s="41" t="s">
        <v>171</v>
      </c>
    </row>
    <row r="61" spans="1:9" ht="31.5">
      <c r="A61" s="36">
        <v>55</v>
      </c>
      <c r="B61" s="37" t="s">
        <v>172</v>
      </c>
      <c r="C61" s="37" t="s">
        <v>173</v>
      </c>
      <c r="D61" s="38">
        <v>80</v>
      </c>
      <c r="E61" s="110"/>
      <c r="F61" s="41" t="s">
        <v>174</v>
      </c>
    </row>
    <row r="62" spans="1:9" ht="47.25">
      <c r="A62" s="40">
        <v>56</v>
      </c>
      <c r="B62" s="37" t="s">
        <v>175</v>
      </c>
      <c r="C62" s="37" t="s">
        <v>176</v>
      </c>
      <c r="D62" s="38">
        <v>78</v>
      </c>
      <c r="E62" s="41" t="s">
        <v>177</v>
      </c>
      <c r="F62" s="41" t="s">
        <v>178</v>
      </c>
      <c r="I62" s="43" t="s">
        <v>179</v>
      </c>
    </row>
  </sheetData>
  <mergeCells count="6">
    <mergeCell ref="E55:E61"/>
    <mergeCell ref="A1:I1"/>
    <mergeCell ref="A2:I2"/>
    <mergeCell ref="A3:I3"/>
    <mergeCell ref="E7:E30"/>
    <mergeCell ref="E31:E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999"/>
  <sheetViews>
    <sheetView workbookViewId="0"/>
  </sheetViews>
  <sheetFormatPr defaultColWidth="12.5703125" defaultRowHeight="15" customHeight="1"/>
  <cols>
    <col min="1" max="1" width="6.140625" customWidth="1"/>
    <col min="2" max="2" width="19.5703125" customWidth="1"/>
    <col min="3" max="3" width="36.140625" customWidth="1"/>
    <col min="4" max="6" width="12.5703125" customWidth="1"/>
  </cols>
  <sheetData>
    <row r="1" spans="1:23" ht="22.5" customHeight="1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1"/>
      <c r="S1" s="1"/>
      <c r="T1" s="1"/>
      <c r="U1" s="1"/>
      <c r="V1" s="1"/>
      <c r="W1" s="1"/>
    </row>
    <row r="2" spans="1:23" ht="15.75" customHeight="1">
      <c r="A2" s="129" t="s">
        <v>0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7"/>
      <c r="S2" s="1"/>
      <c r="T2" s="1"/>
      <c r="U2" s="1"/>
      <c r="V2" s="1"/>
      <c r="W2" s="1"/>
    </row>
    <row r="3" spans="1:23" ht="15.75" customHeight="1">
      <c r="A3" s="130" t="s">
        <v>45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"/>
      <c r="S3" s="1"/>
      <c r="T3" s="1"/>
      <c r="U3" s="1"/>
      <c r="V3" s="1"/>
      <c r="W3" s="1"/>
    </row>
    <row r="4" spans="1:23" ht="15.75" customHeight="1">
      <c r="A4" s="131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"/>
      <c r="S4" s="1"/>
      <c r="T4" s="1"/>
      <c r="U4" s="1"/>
      <c r="V4" s="1"/>
      <c r="W4" s="1"/>
    </row>
    <row r="5" spans="1:23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45"/>
      <c r="L5" s="1"/>
      <c r="M5" s="1"/>
      <c r="N5" s="1"/>
      <c r="O5" s="1"/>
      <c r="P5" s="46"/>
      <c r="Q5" s="46"/>
      <c r="R5" s="1"/>
      <c r="S5" s="1"/>
      <c r="T5" s="1"/>
      <c r="U5" s="1"/>
      <c r="V5" s="1"/>
      <c r="W5" s="1"/>
    </row>
    <row r="6" spans="1:23" ht="15.75" customHeight="1">
      <c r="A6" s="1"/>
      <c r="B6" s="1"/>
      <c r="C6" s="47" t="s">
        <v>180</v>
      </c>
      <c r="D6" s="1"/>
      <c r="E6" s="1"/>
      <c r="I6" s="1"/>
      <c r="J6" s="132" t="s">
        <v>181</v>
      </c>
      <c r="K6" s="123"/>
      <c r="L6" s="115"/>
      <c r="M6" s="1"/>
      <c r="N6" s="1"/>
      <c r="O6" s="1"/>
      <c r="P6" s="133" t="s">
        <v>182</v>
      </c>
      <c r="Q6" s="115"/>
      <c r="R6" s="1"/>
      <c r="S6" s="1"/>
      <c r="T6" s="1"/>
      <c r="U6" s="1"/>
      <c r="V6" s="1"/>
      <c r="W6" s="1"/>
    </row>
    <row r="7" spans="1:23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75" customHeight="1">
      <c r="A8" s="134"/>
      <c r="B8" s="135"/>
      <c r="C8" s="48" t="s">
        <v>183</v>
      </c>
      <c r="D8" s="140">
        <v>18</v>
      </c>
      <c r="E8" s="115"/>
      <c r="F8" s="140">
        <v>26</v>
      </c>
      <c r="G8" s="115"/>
      <c r="H8" s="140">
        <v>15</v>
      </c>
      <c r="I8" s="123"/>
      <c r="J8" s="141">
        <v>14</v>
      </c>
      <c r="K8" s="115"/>
      <c r="L8" s="140">
        <v>18</v>
      </c>
      <c r="M8" s="115"/>
      <c r="N8" s="140">
        <v>4</v>
      </c>
      <c r="O8" s="115"/>
      <c r="P8" s="141" t="s">
        <v>184</v>
      </c>
      <c r="Q8" s="115"/>
      <c r="R8" s="147" t="s">
        <v>185</v>
      </c>
      <c r="S8" s="1"/>
      <c r="T8" s="1"/>
      <c r="U8" s="1"/>
      <c r="V8" s="1"/>
      <c r="W8" s="1"/>
    </row>
    <row r="9" spans="1:23" ht="15.75" customHeight="1">
      <c r="A9" s="136"/>
      <c r="B9" s="137"/>
      <c r="C9" s="48" t="s">
        <v>186</v>
      </c>
      <c r="D9" s="141" t="s">
        <v>21</v>
      </c>
      <c r="E9" s="115"/>
      <c r="F9" s="140" t="s">
        <v>25</v>
      </c>
      <c r="G9" s="115"/>
      <c r="H9" s="140" t="s">
        <v>28</v>
      </c>
      <c r="I9" s="115"/>
      <c r="J9" s="140" t="s">
        <v>31</v>
      </c>
      <c r="K9" s="115"/>
      <c r="L9" s="140" t="s">
        <v>35</v>
      </c>
      <c r="M9" s="115"/>
      <c r="N9" s="140" t="s">
        <v>34</v>
      </c>
      <c r="O9" s="115"/>
      <c r="P9" s="141" t="s">
        <v>187</v>
      </c>
      <c r="Q9" s="115"/>
      <c r="R9" s="127"/>
      <c r="S9" s="1"/>
      <c r="T9" s="1"/>
      <c r="U9" s="1"/>
      <c r="V9" s="1"/>
      <c r="W9" s="1"/>
    </row>
    <row r="10" spans="1:23" ht="15.75" customHeight="1">
      <c r="A10" s="138"/>
      <c r="B10" s="139"/>
      <c r="C10" s="142" t="s">
        <v>188</v>
      </c>
      <c r="D10" s="143" t="s">
        <v>189</v>
      </c>
      <c r="E10" s="143" t="s">
        <v>190</v>
      </c>
      <c r="F10" s="143" t="s">
        <v>189</v>
      </c>
      <c r="G10" s="143" t="s">
        <v>190</v>
      </c>
      <c r="H10" s="143" t="s">
        <v>189</v>
      </c>
      <c r="I10" s="143" t="s">
        <v>190</v>
      </c>
      <c r="J10" s="143" t="s">
        <v>189</v>
      </c>
      <c r="K10" s="143" t="s">
        <v>190</v>
      </c>
      <c r="L10" s="143" t="s">
        <v>189</v>
      </c>
      <c r="M10" s="143" t="s">
        <v>190</v>
      </c>
      <c r="N10" s="143" t="s">
        <v>189</v>
      </c>
      <c r="O10" s="143" t="s">
        <v>190</v>
      </c>
      <c r="P10" s="143" t="s">
        <v>189</v>
      </c>
      <c r="Q10" s="143" t="s">
        <v>190</v>
      </c>
      <c r="R10" s="127"/>
      <c r="S10" s="1"/>
      <c r="T10" s="1"/>
      <c r="U10" s="1"/>
      <c r="V10" s="1"/>
      <c r="W10" s="1"/>
    </row>
    <row r="11" spans="1:23" ht="15.75" customHeight="1">
      <c r="A11" s="49" t="s">
        <v>8</v>
      </c>
      <c r="B11" s="50" t="s">
        <v>51</v>
      </c>
      <c r="C11" s="138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"/>
      <c r="T11" s="1"/>
      <c r="U11" s="1"/>
      <c r="V11" s="1"/>
      <c r="W11" s="1"/>
    </row>
    <row r="12" spans="1:23" ht="21" customHeight="1">
      <c r="A12" s="51">
        <v>1</v>
      </c>
      <c r="B12" s="52" t="s">
        <v>56</v>
      </c>
      <c r="C12" s="52" t="s">
        <v>57</v>
      </c>
      <c r="D12" s="53">
        <v>17</v>
      </c>
      <c r="E12" s="54">
        <v>94</v>
      </c>
      <c r="F12" s="55">
        <v>24</v>
      </c>
      <c r="G12" s="56">
        <f t="shared" ref="G12:G67" si="0">(F12/26)*100</f>
        <v>92.307692307692307</v>
      </c>
      <c r="H12" s="57">
        <v>12</v>
      </c>
      <c r="I12" s="58">
        <v>80</v>
      </c>
      <c r="J12" s="53">
        <v>13</v>
      </c>
      <c r="K12" s="54">
        <v>92.86</v>
      </c>
      <c r="L12" s="53">
        <v>16</v>
      </c>
      <c r="M12" s="59">
        <f t="shared" ref="M12:M67" si="1">(L12/18)*100</f>
        <v>88.888888888888886</v>
      </c>
      <c r="N12" s="53">
        <v>4</v>
      </c>
      <c r="O12" s="54">
        <v>100</v>
      </c>
      <c r="P12" s="60">
        <v>5</v>
      </c>
      <c r="Q12" s="56">
        <f t="shared" ref="Q12:Q39" si="2">(P12*100)/5</f>
        <v>100</v>
      </c>
      <c r="R12" s="61">
        <f t="shared" ref="R12:R67" si="3">AVERAGE(E12,G12,I12,K12,M12,O12,Q12)</f>
        <v>92.579511599511605</v>
      </c>
      <c r="S12" s="1"/>
      <c r="T12" s="1"/>
      <c r="U12" s="1"/>
      <c r="V12" s="1"/>
      <c r="W12" s="1"/>
    </row>
    <row r="13" spans="1:23" ht="21" customHeight="1">
      <c r="A13" s="62">
        <v>2</v>
      </c>
      <c r="B13" s="52" t="s">
        <v>59</v>
      </c>
      <c r="C13" s="52" t="s">
        <v>60</v>
      </c>
      <c r="D13" s="53">
        <v>15</v>
      </c>
      <c r="E13" s="53">
        <v>83</v>
      </c>
      <c r="F13" s="63">
        <v>23</v>
      </c>
      <c r="G13" s="56">
        <f t="shared" si="0"/>
        <v>88.461538461538453</v>
      </c>
      <c r="H13" s="57">
        <v>15</v>
      </c>
      <c r="I13" s="58">
        <v>100</v>
      </c>
      <c r="J13" s="53">
        <v>13</v>
      </c>
      <c r="K13" s="54">
        <v>92.86</v>
      </c>
      <c r="L13" s="53">
        <v>16</v>
      </c>
      <c r="M13" s="59">
        <f t="shared" si="1"/>
        <v>88.888888888888886</v>
      </c>
      <c r="N13" s="53">
        <v>3</v>
      </c>
      <c r="O13" s="54">
        <v>75</v>
      </c>
      <c r="P13" s="60">
        <v>5</v>
      </c>
      <c r="Q13" s="56">
        <f t="shared" si="2"/>
        <v>100</v>
      </c>
      <c r="R13" s="61">
        <f t="shared" si="3"/>
        <v>89.744346764346773</v>
      </c>
      <c r="S13" s="1"/>
      <c r="T13" s="1"/>
      <c r="U13" s="1"/>
      <c r="V13" s="1"/>
      <c r="W13" s="1"/>
    </row>
    <row r="14" spans="1:23" ht="21" customHeight="1">
      <c r="A14" s="51">
        <v>3</v>
      </c>
      <c r="B14" s="52" t="s">
        <v>61</v>
      </c>
      <c r="C14" s="52" t="s">
        <v>62</v>
      </c>
      <c r="D14" s="53">
        <v>12</v>
      </c>
      <c r="E14" s="53">
        <v>67</v>
      </c>
      <c r="F14" s="63">
        <v>20</v>
      </c>
      <c r="G14" s="56">
        <f t="shared" si="0"/>
        <v>76.923076923076934</v>
      </c>
      <c r="H14" s="57">
        <v>11</v>
      </c>
      <c r="I14" s="58">
        <v>74</v>
      </c>
      <c r="J14" s="53">
        <v>8</v>
      </c>
      <c r="K14" s="54">
        <v>57.14</v>
      </c>
      <c r="L14" s="53">
        <v>13</v>
      </c>
      <c r="M14" s="59">
        <f t="shared" si="1"/>
        <v>72.222222222222214</v>
      </c>
      <c r="N14" s="53">
        <v>3</v>
      </c>
      <c r="O14" s="54">
        <v>75</v>
      </c>
      <c r="P14" s="60">
        <v>4</v>
      </c>
      <c r="Q14" s="56">
        <f t="shared" si="2"/>
        <v>80</v>
      </c>
      <c r="R14" s="61">
        <f t="shared" si="3"/>
        <v>71.755042735042736</v>
      </c>
      <c r="S14" s="1"/>
      <c r="T14" s="1"/>
      <c r="U14" s="1"/>
      <c r="V14" s="1"/>
      <c r="W14" s="1"/>
    </row>
    <row r="15" spans="1:23" ht="21" customHeight="1">
      <c r="A15" s="62">
        <v>4</v>
      </c>
      <c r="B15" s="52" t="s">
        <v>63</v>
      </c>
      <c r="C15" s="52" t="s">
        <v>64</v>
      </c>
      <c r="D15" s="53">
        <v>15</v>
      </c>
      <c r="E15" s="53">
        <v>83</v>
      </c>
      <c r="F15" s="63">
        <v>20</v>
      </c>
      <c r="G15" s="56">
        <f t="shared" si="0"/>
        <v>76.923076923076934</v>
      </c>
      <c r="H15" s="57">
        <v>12</v>
      </c>
      <c r="I15" s="58">
        <v>80</v>
      </c>
      <c r="J15" s="53">
        <v>11</v>
      </c>
      <c r="K15" s="54">
        <v>78.569999999999993</v>
      </c>
      <c r="L15" s="53">
        <v>16</v>
      </c>
      <c r="M15" s="59">
        <f t="shared" si="1"/>
        <v>88.888888888888886</v>
      </c>
      <c r="N15" s="53">
        <v>3</v>
      </c>
      <c r="O15" s="54">
        <v>75</v>
      </c>
      <c r="P15" s="60">
        <v>5</v>
      </c>
      <c r="Q15" s="56">
        <f t="shared" si="2"/>
        <v>100</v>
      </c>
      <c r="R15" s="61">
        <f t="shared" si="3"/>
        <v>83.197423687423694</v>
      </c>
      <c r="S15" s="1"/>
      <c r="T15" s="1"/>
      <c r="U15" s="1"/>
      <c r="V15" s="1"/>
      <c r="W15" s="1"/>
    </row>
    <row r="16" spans="1:23" ht="21" customHeight="1">
      <c r="A16" s="51">
        <v>5</v>
      </c>
      <c r="B16" s="52" t="s">
        <v>65</v>
      </c>
      <c r="C16" s="52" t="s">
        <v>66</v>
      </c>
      <c r="D16" s="53">
        <v>12</v>
      </c>
      <c r="E16" s="53">
        <v>67</v>
      </c>
      <c r="F16" s="63">
        <v>20</v>
      </c>
      <c r="G16" s="56">
        <f t="shared" si="0"/>
        <v>76.923076923076934</v>
      </c>
      <c r="H16" s="57">
        <v>14</v>
      </c>
      <c r="I16" s="58">
        <v>94</v>
      </c>
      <c r="J16" s="53">
        <v>9</v>
      </c>
      <c r="K16" s="54">
        <v>64</v>
      </c>
      <c r="L16" s="53">
        <v>8</v>
      </c>
      <c r="M16" s="59">
        <f t="shared" si="1"/>
        <v>44.444444444444443</v>
      </c>
      <c r="N16" s="53">
        <v>2</v>
      </c>
      <c r="O16" s="54">
        <v>50</v>
      </c>
      <c r="P16" s="60">
        <v>4</v>
      </c>
      <c r="Q16" s="56">
        <f t="shared" si="2"/>
        <v>80</v>
      </c>
      <c r="R16" s="61">
        <f t="shared" si="3"/>
        <v>68.052503052503056</v>
      </c>
      <c r="S16" s="1"/>
      <c r="T16" s="1"/>
      <c r="U16" s="1"/>
      <c r="V16" s="1"/>
      <c r="W16" s="1"/>
    </row>
    <row r="17" spans="1:23" ht="21" customHeight="1">
      <c r="A17" s="62">
        <v>6</v>
      </c>
      <c r="B17" s="52" t="s">
        <v>67</v>
      </c>
      <c r="C17" s="52" t="s">
        <v>68</v>
      </c>
      <c r="D17" s="53">
        <v>13</v>
      </c>
      <c r="E17" s="53">
        <v>72</v>
      </c>
      <c r="F17" s="63">
        <v>22</v>
      </c>
      <c r="G17" s="56">
        <f t="shared" si="0"/>
        <v>84.615384615384613</v>
      </c>
      <c r="H17" s="57">
        <v>11</v>
      </c>
      <c r="I17" s="58">
        <v>74</v>
      </c>
      <c r="J17" s="53">
        <v>11</v>
      </c>
      <c r="K17" s="54">
        <v>78.569999999999993</v>
      </c>
      <c r="L17" s="53">
        <v>13</v>
      </c>
      <c r="M17" s="59">
        <f t="shared" si="1"/>
        <v>72.222222222222214</v>
      </c>
      <c r="N17" s="53">
        <v>3</v>
      </c>
      <c r="O17" s="54">
        <v>75</v>
      </c>
      <c r="P17" s="60">
        <v>3</v>
      </c>
      <c r="Q17" s="56">
        <f t="shared" si="2"/>
        <v>60</v>
      </c>
      <c r="R17" s="61">
        <f t="shared" si="3"/>
        <v>73.77251526251527</v>
      </c>
      <c r="S17" s="1"/>
      <c r="T17" s="1"/>
      <c r="U17" s="1"/>
      <c r="V17" s="1"/>
      <c r="W17" s="1"/>
    </row>
    <row r="18" spans="1:23" ht="21" customHeight="1">
      <c r="A18" s="51">
        <v>7</v>
      </c>
      <c r="B18" s="52" t="s">
        <v>69</v>
      </c>
      <c r="C18" s="52" t="s">
        <v>70</v>
      </c>
      <c r="D18" s="53">
        <v>16</v>
      </c>
      <c r="E18" s="53">
        <v>89</v>
      </c>
      <c r="F18" s="63">
        <v>22</v>
      </c>
      <c r="G18" s="56">
        <f t="shared" si="0"/>
        <v>84.615384615384613</v>
      </c>
      <c r="H18" s="57">
        <v>11</v>
      </c>
      <c r="I18" s="58">
        <v>74</v>
      </c>
      <c r="J18" s="53">
        <v>9</v>
      </c>
      <c r="K18" s="54">
        <v>64.290000000000006</v>
      </c>
      <c r="L18" s="53">
        <v>17</v>
      </c>
      <c r="M18" s="59">
        <f t="shared" si="1"/>
        <v>94.444444444444443</v>
      </c>
      <c r="N18" s="53">
        <v>3</v>
      </c>
      <c r="O18" s="54">
        <v>75</v>
      </c>
      <c r="P18" s="60">
        <v>5</v>
      </c>
      <c r="Q18" s="56">
        <f t="shared" si="2"/>
        <v>100</v>
      </c>
      <c r="R18" s="61">
        <f t="shared" si="3"/>
        <v>83.04997557997558</v>
      </c>
      <c r="S18" s="1"/>
      <c r="T18" s="1"/>
      <c r="U18" s="1"/>
      <c r="V18" s="1"/>
      <c r="W18" s="1"/>
    </row>
    <row r="19" spans="1:23" ht="21" customHeight="1">
      <c r="A19" s="62">
        <v>8</v>
      </c>
      <c r="B19" s="52" t="s">
        <v>71</v>
      </c>
      <c r="C19" s="52" t="s">
        <v>72</v>
      </c>
      <c r="D19" s="53">
        <v>14</v>
      </c>
      <c r="E19" s="53">
        <v>77</v>
      </c>
      <c r="F19" s="63">
        <v>18</v>
      </c>
      <c r="G19" s="56">
        <f t="shared" si="0"/>
        <v>69.230769230769226</v>
      </c>
      <c r="H19" s="57">
        <v>5</v>
      </c>
      <c r="I19" s="58">
        <v>34</v>
      </c>
      <c r="J19" s="53">
        <v>8</v>
      </c>
      <c r="K19" s="54">
        <v>57.14</v>
      </c>
      <c r="L19" s="53">
        <v>12</v>
      </c>
      <c r="M19" s="59">
        <f t="shared" si="1"/>
        <v>66.666666666666657</v>
      </c>
      <c r="N19" s="53">
        <v>2</v>
      </c>
      <c r="O19" s="54">
        <v>50</v>
      </c>
      <c r="P19" s="60">
        <v>3</v>
      </c>
      <c r="Q19" s="56">
        <f t="shared" si="2"/>
        <v>60</v>
      </c>
      <c r="R19" s="61">
        <f t="shared" si="3"/>
        <v>59.148205128205127</v>
      </c>
      <c r="S19" s="1"/>
      <c r="T19" s="1"/>
      <c r="U19" s="1"/>
      <c r="V19" s="1"/>
      <c r="W19" s="1"/>
    </row>
    <row r="20" spans="1:23" ht="21" customHeight="1">
      <c r="A20" s="51">
        <v>9</v>
      </c>
      <c r="B20" s="52" t="s">
        <v>73</v>
      </c>
      <c r="C20" s="52" t="s">
        <v>74</v>
      </c>
      <c r="D20" s="53">
        <v>15</v>
      </c>
      <c r="E20" s="53">
        <v>83</v>
      </c>
      <c r="F20" s="63">
        <v>24</v>
      </c>
      <c r="G20" s="56">
        <f t="shared" si="0"/>
        <v>92.307692307692307</v>
      </c>
      <c r="H20" s="57">
        <v>11</v>
      </c>
      <c r="I20" s="58">
        <v>74</v>
      </c>
      <c r="J20" s="53">
        <v>13</v>
      </c>
      <c r="K20" s="54">
        <v>92.86</v>
      </c>
      <c r="L20" s="53">
        <v>17</v>
      </c>
      <c r="M20" s="59">
        <f t="shared" si="1"/>
        <v>94.444444444444443</v>
      </c>
      <c r="N20" s="53">
        <v>3</v>
      </c>
      <c r="O20" s="54">
        <v>75</v>
      </c>
      <c r="P20" s="60">
        <v>5</v>
      </c>
      <c r="Q20" s="56">
        <f t="shared" si="2"/>
        <v>100</v>
      </c>
      <c r="R20" s="61">
        <f t="shared" si="3"/>
        <v>87.373162393162403</v>
      </c>
      <c r="S20" s="1"/>
      <c r="T20" s="1"/>
      <c r="U20" s="1"/>
      <c r="V20" s="1"/>
      <c r="W20" s="1"/>
    </row>
    <row r="21" spans="1:23" ht="21" customHeight="1">
      <c r="A21" s="62">
        <v>10</v>
      </c>
      <c r="B21" s="52" t="s">
        <v>75</v>
      </c>
      <c r="C21" s="52" t="s">
        <v>76</v>
      </c>
      <c r="D21" s="53">
        <v>15</v>
      </c>
      <c r="E21" s="53">
        <v>83</v>
      </c>
      <c r="F21" s="63">
        <v>23</v>
      </c>
      <c r="G21" s="56">
        <f t="shared" si="0"/>
        <v>88.461538461538453</v>
      </c>
      <c r="H21" s="57">
        <v>14</v>
      </c>
      <c r="I21" s="58">
        <v>94</v>
      </c>
      <c r="J21" s="53">
        <v>13</v>
      </c>
      <c r="K21" s="54">
        <v>92.86</v>
      </c>
      <c r="L21" s="53">
        <v>17</v>
      </c>
      <c r="M21" s="59">
        <f t="shared" si="1"/>
        <v>94.444444444444443</v>
      </c>
      <c r="N21" s="53">
        <v>3</v>
      </c>
      <c r="O21" s="54">
        <v>75</v>
      </c>
      <c r="P21" s="60">
        <v>5</v>
      </c>
      <c r="Q21" s="56">
        <f t="shared" si="2"/>
        <v>100</v>
      </c>
      <c r="R21" s="61">
        <f t="shared" si="3"/>
        <v>89.680854700854709</v>
      </c>
      <c r="S21" s="1"/>
      <c r="T21" s="1"/>
      <c r="U21" s="1"/>
      <c r="V21" s="1"/>
      <c r="W21" s="1"/>
    </row>
    <row r="22" spans="1:23" ht="21" customHeight="1">
      <c r="A22" s="51">
        <v>11</v>
      </c>
      <c r="B22" s="52" t="s">
        <v>77</v>
      </c>
      <c r="C22" s="52" t="s">
        <v>78</v>
      </c>
      <c r="D22" s="53">
        <v>15</v>
      </c>
      <c r="E22" s="53">
        <v>83</v>
      </c>
      <c r="F22" s="63">
        <v>18</v>
      </c>
      <c r="G22" s="56">
        <f t="shared" si="0"/>
        <v>69.230769230769226</v>
      </c>
      <c r="H22" s="57">
        <v>10</v>
      </c>
      <c r="I22" s="58">
        <v>67</v>
      </c>
      <c r="J22" s="53">
        <v>10</v>
      </c>
      <c r="K22" s="54">
        <v>71.430000000000007</v>
      </c>
      <c r="L22" s="53">
        <v>13</v>
      </c>
      <c r="M22" s="59">
        <f t="shared" si="1"/>
        <v>72.222222222222214</v>
      </c>
      <c r="N22" s="53">
        <v>2</v>
      </c>
      <c r="O22" s="54">
        <v>50</v>
      </c>
      <c r="P22" s="60">
        <v>5</v>
      </c>
      <c r="Q22" s="56">
        <f t="shared" si="2"/>
        <v>100</v>
      </c>
      <c r="R22" s="61">
        <f t="shared" si="3"/>
        <v>73.268998778998792</v>
      </c>
      <c r="S22" s="1"/>
      <c r="T22" s="1"/>
      <c r="U22" s="1"/>
      <c r="V22" s="1"/>
      <c r="W22" s="1"/>
    </row>
    <row r="23" spans="1:23" ht="21" customHeight="1">
      <c r="A23" s="62">
        <v>12</v>
      </c>
      <c r="B23" s="52" t="s">
        <v>79</v>
      </c>
      <c r="C23" s="52" t="s">
        <v>80</v>
      </c>
      <c r="D23" s="53">
        <v>14</v>
      </c>
      <c r="E23" s="53">
        <v>78</v>
      </c>
      <c r="F23" s="63">
        <v>23</v>
      </c>
      <c r="G23" s="56">
        <f t="shared" si="0"/>
        <v>88.461538461538453</v>
      </c>
      <c r="H23" s="57">
        <v>13</v>
      </c>
      <c r="I23" s="58">
        <v>87</v>
      </c>
      <c r="J23" s="53">
        <v>13</v>
      </c>
      <c r="K23" s="54">
        <v>92.86</v>
      </c>
      <c r="L23" s="53">
        <v>15</v>
      </c>
      <c r="M23" s="59">
        <f t="shared" si="1"/>
        <v>83.333333333333343</v>
      </c>
      <c r="N23" s="53">
        <v>4</v>
      </c>
      <c r="O23" s="54">
        <v>100</v>
      </c>
      <c r="P23" s="60">
        <v>5</v>
      </c>
      <c r="Q23" s="56">
        <f t="shared" si="2"/>
        <v>100</v>
      </c>
      <c r="R23" s="61">
        <f t="shared" si="3"/>
        <v>89.950695970695975</v>
      </c>
      <c r="S23" s="1"/>
      <c r="T23" s="1"/>
      <c r="U23" s="1"/>
      <c r="V23" s="1"/>
      <c r="W23" s="1"/>
    </row>
    <row r="24" spans="1:23" ht="21" customHeight="1">
      <c r="A24" s="51">
        <v>13</v>
      </c>
      <c r="B24" s="52" t="s">
        <v>81</v>
      </c>
      <c r="C24" s="52" t="s">
        <v>82</v>
      </c>
      <c r="D24" s="53">
        <v>16</v>
      </c>
      <c r="E24" s="53">
        <v>89</v>
      </c>
      <c r="F24" s="63">
        <v>24</v>
      </c>
      <c r="G24" s="56">
        <f t="shared" si="0"/>
        <v>92.307692307692307</v>
      </c>
      <c r="H24" s="57">
        <v>13</v>
      </c>
      <c r="I24" s="58">
        <v>87</v>
      </c>
      <c r="J24" s="53">
        <v>13</v>
      </c>
      <c r="K24" s="54">
        <v>92.86</v>
      </c>
      <c r="L24" s="53">
        <v>17</v>
      </c>
      <c r="M24" s="59">
        <f t="shared" si="1"/>
        <v>94.444444444444443</v>
      </c>
      <c r="N24" s="53">
        <v>3</v>
      </c>
      <c r="O24" s="54">
        <v>75</v>
      </c>
      <c r="P24" s="60">
        <v>5</v>
      </c>
      <c r="Q24" s="56">
        <f t="shared" si="2"/>
        <v>100</v>
      </c>
      <c r="R24" s="61">
        <f t="shared" si="3"/>
        <v>90.087448107448125</v>
      </c>
      <c r="S24" s="1"/>
      <c r="T24" s="1"/>
      <c r="U24" s="1"/>
      <c r="V24" s="1"/>
      <c r="W24" s="1"/>
    </row>
    <row r="25" spans="1:23" ht="21" customHeight="1">
      <c r="A25" s="62">
        <v>14</v>
      </c>
      <c r="B25" s="52" t="s">
        <v>83</v>
      </c>
      <c r="C25" s="52" t="s">
        <v>84</v>
      </c>
      <c r="D25" s="53">
        <v>15</v>
      </c>
      <c r="E25" s="53">
        <v>83</v>
      </c>
      <c r="F25" s="63">
        <v>24</v>
      </c>
      <c r="G25" s="56">
        <f t="shared" si="0"/>
        <v>92.307692307692307</v>
      </c>
      <c r="H25" s="57">
        <v>12</v>
      </c>
      <c r="I25" s="58">
        <v>80</v>
      </c>
      <c r="J25" s="53">
        <v>12</v>
      </c>
      <c r="K25" s="54">
        <v>85.71</v>
      </c>
      <c r="L25" s="53">
        <v>18</v>
      </c>
      <c r="M25" s="59">
        <f t="shared" si="1"/>
        <v>100</v>
      </c>
      <c r="N25" s="53">
        <v>4</v>
      </c>
      <c r="O25" s="54">
        <v>100</v>
      </c>
      <c r="P25" s="60">
        <v>5</v>
      </c>
      <c r="Q25" s="56">
        <f t="shared" si="2"/>
        <v>100</v>
      </c>
      <c r="R25" s="61">
        <f t="shared" si="3"/>
        <v>91.573956043956045</v>
      </c>
      <c r="S25" s="1"/>
      <c r="T25" s="1"/>
      <c r="U25" s="1"/>
      <c r="V25" s="1"/>
      <c r="W25" s="1"/>
    </row>
    <row r="26" spans="1:23" ht="21" customHeight="1">
      <c r="A26" s="51">
        <v>15</v>
      </c>
      <c r="B26" s="52" t="s">
        <v>85</v>
      </c>
      <c r="C26" s="52" t="s">
        <v>86</v>
      </c>
      <c r="D26" s="53">
        <v>9</v>
      </c>
      <c r="E26" s="53">
        <v>50</v>
      </c>
      <c r="F26" s="63">
        <v>15</v>
      </c>
      <c r="G26" s="56">
        <f t="shared" si="0"/>
        <v>57.692307692307686</v>
      </c>
      <c r="H26" s="57">
        <v>11</v>
      </c>
      <c r="I26" s="58">
        <v>74</v>
      </c>
      <c r="J26" s="53">
        <v>7</v>
      </c>
      <c r="K26" s="54">
        <v>50</v>
      </c>
      <c r="L26" s="53">
        <v>11</v>
      </c>
      <c r="M26" s="59">
        <f t="shared" si="1"/>
        <v>61.111111111111114</v>
      </c>
      <c r="N26" s="53">
        <v>2</v>
      </c>
      <c r="O26" s="54">
        <v>50</v>
      </c>
      <c r="P26" s="60">
        <v>4</v>
      </c>
      <c r="Q26" s="56">
        <f t="shared" si="2"/>
        <v>80</v>
      </c>
      <c r="R26" s="61">
        <f t="shared" si="3"/>
        <v>60.400488400488406</v>
      </c>
      <c r="S26" s="1"/>
      <c r="T26" s="1"/>
      <c r="U26" s="1"/>
      <c r="V26" s="1"/>
      <c r="W26" s="1"/>
    </row>
    <row r="27" spans="1:23" ht="21" customHeight="1">
      <c r="A27" s="62">
        <v>16</v>
      </c>
      <c r="B27" s="52" t="s">
        <v>87</v>
      </c>
      <c r="C27" s="52" t="s">
        <v>88</v>
      </c>
      <c r="D27" s="53">
        <v>9</v>
      </c>
      <c r="E27" s="53">
        <v>50</v>
      </c>
      <c r="F27" s="63">
        <v>14</v>
      </c>
      <c r="G27" s="56">
        <f t="shared" si="0"/>
        <v>53.846153846153847</v>
      </c>
      <c r="H27" s="57">
        <v>11</v>
      </c>
      <c r="I27" s="58">
        <v>74</v>
      </c>
      <c r="J27" s="53">
        <v>5</v>
      </c>
      <c r="K27" s="54">
        <v>35.71</v>
      </c>
      <c r="L27" s="53">
        <v>13</v>
      </c>
      <c r="M27" s="59">
        <f t="shared" si="1"/>
        <v>72.222222222222214</v>
      </c>
      <c r="N27" s="53">
        <v>1</v>
      </c>
      <c r="O27" s="54">
        <v>25</v>
      </c>
      <c r="P27" s="60">
        <v>2</v>
      </c>
      <c r="Q27" s="56">
        <f t="shared" si="2"/>
        <v>40</v>
      </c>
      <c r="R27" s="61">
        <f t="shared" si="3"/>
        <v>50.11119658119658</v>
      </c>
      <c r="S27" s="1"/>
      <c r="T27" s="1"/>
      <c r="U27" s="1"/>
      <c r="V27" s="1"/>
      <c r="W27" s="1"/>
    </row>
    <row r="28" spans="1:23" ht="21" customHeight="1">
      <c r="A28" s="51">
        <v>17</v>
      </c>
      <c r="B28" s="52" t="s">
        <v>89</v>
      </c>
      <c r="C28" s="52" t="s">
        <v>90</v>
      </c>
      <c r="D28" s="53">
        <v>5</v>
      </c>
      <c r="E28" s="53">
        <v>28</v>
      </c>
      <c r="F28" s="63">
        <v>6</v>
      </c>
      <c r="G28" s="56">
        <f t="shared" si="0"/>
        <v>23.076923076923077</v>
      </c>
      <c r="H28" s="57">
        <v>2</v>
      </c>
      <c r="I28" s="58">
        <v>14</v>
      </c>
      <c r="J28" s="53">
        <v>5</v>
      </c>
      <c r="K28" s="54">
        <v>35.71</v>
      </c>
      <c r="L28" s="53">
        <v>2</v>
      </c>
      <c r="M28" s="59">
        <f t="shared" si="1"/>
        <v>11.111111111111111</v>
      </c>
      <c r="N28" s="53">
        <v>1</v>
      </c>
      <c r="O28" s="54">
        <v>25</v>
      </c>
      <c r="P28" s="60">
        <v>1</v>
      </c>
      <c r="Q28" s="56">
        <f t="shared" si="2"/>
        <v>20</v>
      </c>
      <c r="R28" s="61">
        <f t="shared" si="3"/>
        <v>22.414004884004886</v>
      </c>
      <c r="S28" s="1"/>
      <c r="T28" s="1"/>
      <c r="U28" s="1"/>
      <c r="V28" s="1"/>
      <c r="W28" s="1"/>
    </row>
    <row r="29" spans="1:23" ht="21" customHeight="1">
      <c r="A29" s="62">
        <v>18</v>
      </c>
      <c r="B29" s="52" t="s">
        <v>91</v>
      </c>
      <c r="C29" s="52" t="s">
        <v>92</v>
      </c>
      <c r="D29" s="53">
        <v>14</v>
      </c>
      <c r="E29" s="53">
        <v>17</v>
      </c>
      <c r="F29" s="63">
        <v>18</v>
      </c>
      <c r="G29" s="56">
        <f t="shared" si="0"/>
        <v>69.230769230769226</v>
      </c>
      <c r="H29" s="57">
        <v>12</v>
      </c>
      <c r="I29" s="58">
        <v>80</v>
      </c>
      <c r="J29" s="53">
        <v>9</v>
      </c>
      <c r="K29" s="54">
        <v>64</v>
      </c>
      <c r="L29" s="53">
        <v>6</v>
      </c>
      <c r="M29" s="59">
        <f t="shared" si="1"/>
        <v>33.333333333333329</v>
      </c>
      <c r="N29" s="53">
        <v>3</v>
      </c>
      <c r="O29" s="54">
        <v>75</v>
      </c>
      <c r="P29" s="60">
        <v>4</v>
      </c>
      <c r="Q29" s="56">
        <f t="shared" si="2"/>
        <v>80</v>
      </c>
      <c r="R29" s="61">
        <f t="shared" si="3"/>
        <v>59.794871794871788</v>
      </c>
      <c r="S29" s="1"/>
      <c r="T29" s="1"/>
      <c r="U29" s="1"/>
      <c r="V29" s="1"/>
      <c r="W29" s="1"/>
    </row>
    <row r="30" spans="1:23" ht="21" customHeight="1">
      <c r="A30" s="51">
        <v>19</v>
      </c>
      <c r="B30" s="52" t="s">
        <v>93</v>
      </c>
      <c r="C30" s="52" t="s">
        <v>94</v>
      </c>
      <c r="D30" s="53">
        <v>16</v>
      </c>
      <c r="E30" s="53">
        <v>89</v>
      </c>
      <c r="F30" s="63">
        <v>24</v>
      </c>
      <c r="G30" s="56">
        <f t="shared" si="0"/>
        <v>92.307692307692307</v>
      </c>
      <c r="H30" s="57">
        <v>13</v>
      </c>
      <c r="I30" s="58">
        <v>87</v>
      </c>
      <c r="J30" s="53">
        <v>13</v>
      </c>
      <c r="K30" s="54">
        <v>92.86</v>
      </c>
      <c r="L30" s="53">
        <v>17</v>
      </c>
      <c r="M30" s="59">
        <f t="shared" si="1"/>
        <v>94.444444444444443</v>
      </c>
      <c r="N30" s="53">
        <v>4</v>
      </c>
      <c r="O30" s="54">
        <v>100</v>
      </c>
      <c r="P30" s="60">
        <v>3</v>
      </c>
      <c r="Q30" s="56">
        <f t="shared" si="2"/>
        <v>60</v>
      </c>
      <c r="R30" s="61">
        <f t="shared" si="3"/>
        <v>87.944590964590972</v>
      </c>
      <c r="S30" s="1"/>
      <c r="T30" s="1"/>
      <c r="U30" s="1"/>
      <c r="V30" s="1"/>
      <c r="W30" s="1"/>
    </row>
    <row r="31" spans="1:23" ht="21" customHeight="1">
      <c r="A31" s="62">
        <v>20</v>
      </c>
      <c r="B31" s="52" t="s">
        <v>95</v>
      </c>
      <c r="C31" s="52" t="s">
        <v>96</v>
      </c>
      <c r="D31" s="53">
        <v>15</v>
      </c>
      <c r="E31" s="53">
        <v>83</v>
      </c>
      <c r="F31" s="63">
        <v>22</v>
      </c>
      <c r="G31" s="56">
        <f t="shared" si="0"/>
        <v>84.615384615384613</v>
      </c>
      <c r="H31" s="57">
        <v>9</v>
      </c>
      <c r="I31" s="58">
        <v>60</v>
      </c>
      <c r="J31" s="53">
        <v>11</v>
      </c>
      <c r="K31" s="54">
        <v>78.569999999999993</v>
      </c>
      <c r="L31" s="53">
        <v>16</v>
      </c>
      <c r="M31" s="59">
        <f t="shared" si="1"/>
        <v>88.888888888888886</v>
      </c>
      <c r="N31" s="53">
        <v>3</v>
      </c>
      <c r="O31" s="54">
        <v>75</v>
      </c>
      <c r="P31" s="60">
        <v>3</v>
      </c>
      <c r="Q31" s="56">
        <f t="shared" si="2"/>
        <v>60</v>
      </c>
      <c r="R31" s="61">
        <f t="shared" si="3"/>
        <v>75.724896214896219</v>
      </c>
      <c r="S31" s="1"/>
      <c r="T31" s="1"/>
      <c r="U31" s="1"/>
      <c r="V31" s="1"/>
      <c r="W31" s="1"/>
    </row>
    <row r="32" spans="1:23" ht="21" customHeight="1">
      <c r="A32" s="51">
        <v>21</v>
      </c>
      <c r="B32" s="52" t="s">
        <v>97</v>
      </c>
      <c r="C32" s="52" t="s">
        <v>98</v>
      </c>
      <c r="D32" s="53">
        <v>16</v>
      </c>
      <c r="E32" s="53">
        <v>89</v>
      </c>
      <c r="F32" s="63">
        <v>25</v>
      </c>
      <c r="G32" s="56">
        <f t="shared" si="0"/>
        <v>96.15384615384616</v>
      </c>
      <c r="H32" s="57">
        <v>11</v>
      </c>
      <c r="I32" s="58">
        <v>74</v>
      </c>
      <c r="J32" s="53">
        <v>10</v>
      </c>
      <c r="K32" s="54">
        <v>71.430000000000007</v>
      </c>
      <c r="L32" s="53">
        <v>18</v>
      </c>
      <c r="M32" s="59">
        <f t="shared" si="1"/>
        <v>100</v>
      </c>
      <c r="N32" s="53">
        <v>4</v>
      </c>
      <c r="O32" s="54">
        <v>100</v>
      </c>
      <c r="P32" s="60">
        <v>5</v>
      </c>
      <c r="Q32" s="56">
        <f t="shared" si="2"/>
        <v>100</v>
      </c>
      <c r="R32" s="61">
        <f t="shared" si="3"/>
        <v>90.083406593406607</v>
      </c>
      <c r="S32" s="1"/>
      <c r="T32" s="1"/>
      <c r="U32" s="1"/>
      <c r="V32" s="1"/>
      <c r="W32" s="1"/>
    </row>
    <row r="33" spans="1:23" ht="21" customHeight="1">
      <c r="A33" s="62">
        <v>22</v>
      </c>
      <c r="B33" s="52" t="s">
        <v>99</v>
      </c>
      <c r="C33" s="52" t="s">
        <v>100</v>
      </c>
      <c r="D33" s="53">
        <v>10</v>
      </c>
      <c r="E33" s="53">
        <v>56</v>
      </c>
      <c r="F33" s="63">
        <v>18</v>
      </c>
      <c r="G33" s="56">
        <f t="shared" si="0"/>
        <v>69.230769230769226</v>
      </c>
      <c r="H33" s="57">
        <v>12</v>
      </c>
      <c r="I33" s="58">
        <v>80</v>
      </c>
      <c r="J33" s="53">
        <v>9</v>
      </c>
      <c r="K33" s="54">
        <v>64.290000000000006</v>
      </c>
      <c r="L33" s="53">
        <v>11</v>
      </c>
      <c r="M33" s="59">
        <f t="shared" si="1"/>
        <v>61.111111111111114</v>
      </c>
      <c r="N33" s="53">
        <v>2</v>
      </c>
      <c r="O33" s="54">
        <v>50</v>
      </c>
      <c r="P33" s="60">
        <v>4</v>
      </c>
      <c r="Q33" s="56">
        <f t="shared" si="2"/>
        <v>80</v>
      </c>
      <c r="R33" s="61">
        <f t="shared" si="3"/>
        <v>65.804554334554339</v>
      </c>
      <c r="S33" s="1"/>
      <c r="T33" s="1"/>
      <c r="U33" s="1"/>
      <c r="V33" s="1"/>
      <c r="W33" s="1"/>
    </row>
    <row r="34" spans="1:23" ht="21" customHeight="1">
      <c r="A34" s="51">
        <v>23</v>
      </c>
      <c r="B34" s="52" t="s">
        <v>101</v>
      </c>
      <c r="C34" s="52" t="s">
        <v>102</v>
      </c>
      <c r="D34" s="53">
        <v>17</v>
      </c>
      <c r="E34" s="53">
        <v>91</v>
      </c>
      <c r="F34" s="63">
        <v>23</v>
      </c>
      <c r="G34" s="56">
        <f t="shared" si="0"/>
        <v>88.461538461538453</v>
      </c>
      <c r="H34" s="57">
        <v>12</v>
      </c>
      <c r="I34" s="58">
        <v>80</v>
      </c>
      <c r="J34" s="53">
        <v>11</v>
      </c>
      <c r="K34" s="54">
        <v>78.569999999999993</v>
      </c>
      <c r="L34" s="53">
        <v>16</v>
      </c>
      <c r="M34" s="59">
        <f t="shared" si="1"/>
        <v>88.888888888888886</v>
      </c>
      <c r="N34" s="53">
        <v>4</v>
      </c>
      <c r="O34" s="54">
        <v>100</v>
      </c>
      <c r="P34" s="60">
        <v>4</v>
      </c>
      <c r="Q34" s="56">
        <f t="shared" si="2"/>
        <v>80</v>
      </c>
      <c r="R34" s="61">
        <f t="shared" si="3"/>
        <v>86.70291819291819</v>
      </c>
      <c r="S34" s="1"/>
      <c r="T34" s="1"/>
      <c r="U34" s="1"/>
      <c r="V34" s="1"/>
      <c r="W34" s="1"/>
    </row>
    <row r="35" spans="1:23" ht="21" customHeight="1">
      <c r="A35" s="62">
        <v>24</v>
      </c>
      <c r="B35" s="52" t="s">
        <v>103</v>
      </c>
      <c r="C35" s="52" t="s">
        <v>104</v>
      </c>
      <c r="D35" s="53">
        <v>14</v>
      </c>
      <c r="E35" s="53">
        <v>78</v>
      </c>
      <c r="F35" s="63">
        <v>19</v>
      </c>
      <c r="G35" s="56">
        <f t="shared" si="0"/>
        <v>73.076923076923066</v>
      </c>
      <c r="H35" s="57">
        <v>13</v>
      </c>
      <c r="I35" s="58">
        <v>87</v>
      </c>
      <c r="J35" s="53">
        <v>11</v>
      </c>
      <c r="K35" s="54">
        <v>78.569999999999993</v>
      </c>
      <c r="L35" s="53">
        <v>12</v>
      </c>
      <c r="M35" s="59">
        <f t="shared" si="1"/>
        <v>66.666666666666657</v>
      </c>
      <c r="N35" s="53">
        <v>3</v>
      </c>
      <c r="O35" s="54">
        <v>75</v>
      </c>
      <c r="P35" s="60">
        <v>4</v>
      </c>
      <c r="Q35" s="56">
        <f t="shared" si="2"/>
        <v>80</v>
      </c>
      <c r="R35" s="61">
        <f t="shared" si="3"/>
        <v>76.901941391941378</v>
      </c>
      <c r="S35" s="1"/>
      <c r="T35" s="1"/>
      <c r="U35" s="1"/>
      <c r="V35" s="1"/>
      <c r="W35" s="1"/>
    </row>
    <row r="36" spans="1:23" ht="21" customHeight="1">
      <c r="A36" s="51">
        <v>25</v>
      </c>
      <c r="B36" s="52" t="s">
        <v>105</v>
      </c>
      <c r="C36" s="52" t="s">
        <v>106</v>
      </c>
      <c r="D36" s="53">
        <v>15</v>
      </c>
      <c r="E36" s="53">
        <v>83</v>
      </c>
      <c r="F36" s="63">
        <v>24</v>
      </c>
      <c r="G36" s="56">
        <f t="shared" si="0"/>
        <v>92.307692307692307</v>
      </c>
      <c r="H36" s="57">
        <v>11</v>
      </c>
      <c r="I36" s="58">
        <v>74</v>
      </c>
      <c r="J36" s="53">
        <v>10</v>
      </c>
      <c r="K36" s="54">
        <v>71.430000000000007</v>
      </c>
      <c r="L36" s="53">
        <v>17</v>
      </c>
      <c r="M36" s="59">
        <f t="shared" si="1"/>
        <v>94.444444444444443</v>
      </c>
      <c r="N36" s="53">
        <v>3</v>
      </c>
      <c r="O36" s="54">
        <v>75</v>
      </c>
      <c r="P36" s="60">
        <v>5</v>
      </c>
      <c r="Q36" s="56">
        <f t="shared" si="2"/>
        <v>100</v>
      </c>
      <c r="R36" s="61">
        <f t="shared" si="3"/>
        <v>84.311733821733824</v>
      </c>
      <c r="S36" s="1"/>
      <c r="T36" s="1"/>
      <c r="U36" s="1"/>
      <c r="V36" s="1"/>
      <c r="W36" s="1"/>
    </row>
    <row r="37" spans="1:23" ht="21" customHeight="1">
      <c r="A37" s="62">
        <v>26</v>
      </c>
      <c r="B37" s="52" t="s">
        <v>108</v>
      </c>
      <c r="C37" s="52" t="s">
        <v>109</v>
      </c>
      <c r="D37" s="53">
        <v>16</v>
      </c>
      <c r="E37" s="53">
        <v>89</v>
      </c>
      <c r="F37" s="63">
        <v>22</v>
      </c>
      <c r="G37" s="56">
        <f t="shared" si="0"/>
        <v>84.615384615384613</v>
      </c>
      <c r="H37" s="57">
        <v>11</v>
      </c>
      <c r="I37" s="58">
        <v>74</v>
      </c>
      <c r="J37" s="53">
        <v>12</v>
      </c>
      <c r="K37" s="54">
        <v>85.71</v>
      </c>
      <c r="L37" s="53">
        <v>16</v>
      </c>
      <c r="M37" s="59">
        <f t="shared" si="1"/>
        <v>88.888888888888886</v>
      </c>
      <c r="N37" s="53">
        <v>3</v>
      </c>
      <c r="O37" s="54">
        <v>75</v>
      </c>
      <c r="P37" s="60">
        <v>5</v>
      </c>
      <c r="Q37" s="56">
        <f t="shared" si="2"/>
        <v>100</v>
      </c>
      <c r="R37" s="61">
        <f t="shared" si="3"/>
        <v>85.316324786324785</v>
      </c>
      <c r="S37" s="1"/>
      <c r="T37" s="1"/>
      <c r="U37" s="1"/>
      <c r="V37" s="1"/>
      <c r="W37" s="1"/>
    </row>
    <row r="38" spans="1:23" ht="21" customHeight="1">
      <c r="A38" s="51">
        <v>27</v>
      </c>
      <c r="B38" s="52" t="s">
        <v>110</v>
      </c>
      <c r="C38" s="52" t="s">
        <v>111</v>
      </c>
      <c r="D38" s="53">
        <v>17</v>
      </c>
      <c r="E38" s="53">
        <v>91</v>
      </c>
      <c r="F38" s="63">
        <v>24</v>
      </c>
      <c r="G38" s="56">
        <f t="shared" si="0"/>
        <v>92.307692307692307</v>
      </c>
      <c r="H38" s="57">
        <v>14</v>
      </c>
      <c r="I38" s="58">
        <v>94</v>
      </c>
      <c r="J38" s="53">
        <v>9</v>
      </c>
      <c r="K38" s="54">
        <v>64</v>
      </c>
      <c r="L38" s="53">
        <v>15</v>
      </c>
      <c r="M38" s="59">
        <f t="shared" si="1"/>
        <v>83.333333333333343</v>
      </c>
      <c r="N38" s="53">
        <v>4</v>
      </c>
      <c r="O38" s="54">
        <v>80</v>
      </c>
      <c r="P38" s="60">
        <v>4</v>
      </c>
      <c r="Q38" s="56">
        <f t="shared" si="2"/>
        <v>80</v>
      </c>
      <c r="R38" s="61">
        <f t="shared" si="3"/>
        <v>83.520146520146525</v>
      </c>
      <c r="S38" s="1"/>
      <c r="T38" s="1"/>
      <c r="U38" s="1"/>
      <c r="V38" s="1"/>
      <c r="W38" s="1"/>
    </row>
    <row r="39" spans="1:23" ht="21" customHeight="1">
      <c r="A39" s="62">
        <v>28</v>
      </c>
      <c r="B39" s="52" t="s">
        <v>112</v>
      </c>
      <c r="C39" s="64" t="s">
        <v>113</v>
      </c>
      <c r="D39" s="53">
        <v>14</v>
      </c>
      <c r="E39" s="53">
        <v>78</v>
      </c>
      <c r="F39" s="63">
        <v>22</v>
      </c>
      <c r="G39" s="56">
        <f t="shared" si="0"/>
        <v>84.615384615384613</v>
      </c>
      <c r="H39" s="57">
        <v>11</v>
      </c>
      <c r="I39" s="58">
        <v>74</v>
      </c>
      <c r="J39" s="53">
        <v>11</v>
      </c>
      <c r="K39" s="54">
        <v>79</v>
      </c>
      <c r="L39" s="53">
        <v>16</v>
      </c>
      <c r="M39" s="59">
        <f t="shared" si="1"/>
        <v>88.888888888888886</v>
      </c>
      <c r="N39" s="53">
        <v>3</v>
      </c>
      <c r="O39" s="54">
        <v>75</v>
      </c>
      <c r="P39" s="60">
        <v>3</v>
      </c>
      <c r="Q39" s="56">
        <f t="shared" si="2"/>
        <v>60</v>
      </c>
      <c r="R39" s="61">
        <f t="shared" si="3"/>
        <v>77.072039072039075</v>
      </c>
      <c r="S39" s="1"/>
      <c r="T39" s="1"/>
      <c r="U39" s="1"/>
      <c r="V39" s="1"/>
      <c r="W39" s="1"/>
    </row>
    <row r="40" spans="1:23" ht="21" customHeight="1">
      <c r="A40" s="51">
        <v>29</v>
      </c>
      <c r="B40" s="52" t="s">
        <v>114</v>
      </c>
      <c r="C40" s="64" t="s">
        <v>115</v>
      </c>
      <c r="D40" s="53">
        <v>9</v>
      </c>
      <c r="E40" s="53">
        <v>50</v>
      </c>
      <c r="F40" s="63">
        <v>12</v>
      </c>
      <c r="G40" s="56">
        <f t="shared" si="0"/>
        <v>46.153846153846153</v>
      </c>
      <c r="H40" s="57">
        <v>11</v>
      </c>
      <c r="I40" s="58">
        <v>74</v>
      </c>
      <c r="J40" s="53">
        <v>5</v>
      </c>
      <c r="K40" s="54">
        <v>35.71</v>
      </c>
      <c r="L40" s="53">
        <v>9</v>
      </c>
      <c r="M40" s="59">
        <f t="shared" si="1"/>
        <v>50</v>
      </c>
      <c r="N40" s="53">
        <v>4</v>
      </c>
      <c r="O40" s="54">
        <v>80</v>
      </c>
      <c r="P40" s="60">
        <v>2</v>
      </c>
      <c r="Q40" s="56">
        <f t="shared" ref="Q40:Q67" si="4">(P40*100)/4</f>
        <v>50</v>
      </c>
      <c r="R40" s="61">
        <f t="shared" si="3"/>
        <v>55.123406593406592</v>
      </c>
      <c r="S40" s="1"/>
      <c r="T40" s="1"/>
      <c r="U40" s="1"/>
      <c r="V40" s="1"/>
      <c r="W40" s="1"/>
    </row>
    <row r="41" spans="1:23" ht="21" customHeight="1">
      <c r="A41" s="62">
        <v>30</v>
      </c>
      <c r="B41" s="52" t="s">
        <v>116</v>
      </c>
      <c r="C41" s="52" t="s">
        <v>117</v>
      </c>
      <c r="D41" s="53">
        <v>2</v>
      </c>
      <c r="E41" s="53">
        <v>11</v>
      </c>
      <c r="F41" s="63">
        <v>6</v>
      </c>
      <c r="G41" s="56">
        <f t="shared" si="0"/>
        <v>23.076923076923077</v>
      </c>
      <c r="H41" s="57">
        <v>9</v>
      </c>
      <c r="I41" s="58">
        <v>60</v>
      </c>
      <c r="J41" s="53">
        <v>4</v>
      </c>
      <c r="K41" s="54">
        <v>28.57</v>
      </c>
      <c r="L41" s="53">
        <v>8</v>
      </c>
      <c r="M41" s="59">
        <f t="shared" si="1"/>
        <v>44.444444444444443</v>
      </c>
      <c r="N41" s="53">
        <v>0</v>
      </c>
      <c r="O41" s="54">
        <v>0</v>
      </c>
      <c r="P41" s="60">
        <v>0</v>
      </c>
      <c r="Q41" s="56">
        <f t="shared" si="4"/>
        <v>0</v>
      </c>
      <c r="R41" s="61">
        <f t="shared" si="3"/>
        <v>23.870195360195364</v>
      </c>
      <c r="S41" s="1"/>
      <c r="T41" s="1"/>
      <c r="U41" s="1"/>
      <c r="V41" s="1"/>
      <c r="W41" s="1"/>
    </row>
    <row r="42" spans="1:23" ht="21" customHeight="1">
      <c r="A42" s="51">
        <v>31</v>
      </c>
      <c r="B42" s="52" t="s">
        <v>118</v>
      </c>
      <c r="C42" s="52" t="s">
        <v>119</v>
      </c>
      <c r="D42" s="53">
        <v>17</v>
      </c>
      <c r="E42" s="53">
        <v>94</v>
      </c>
      <c r="F42" s="63">
        <v>25</v>
      </c>
      <c r="G42" s="56">
        <f t="shared" si="0"/>
        <v>96.15384615384616</v>
      </c>
      <c r="H42" s="57">
        <v>12</v>
      </c>
      <c r="I42" s="58">
        <v>80</v>
      </c>
      <c r="J42" s="53">
        <v>13</v>
      </c>
      <c r="K42" s="54">
        <v>92.86</v>
      </c>
      <c r="L42" s="53">
        <v>18</v>
      </c>
      <c r="M42" s="59">
        <f t="shared" si="1"/>
        <v>100</v>
      </c>
      <c r="N42" s="53">
        <v>4</v>
      </c>
      <c r="O42" s="54">
        <v>80</v>
      </c>
      <c r="P42" s="60">
        <v>4</v>
      </c>
      <c r="Q42" s="56">
        <f t="shared" si="4"/>
        <v>100</v>
      </c>
      <c r="R42" s="61">
        <f t="shared" si="3"/>
        <v>91.85912087912088</v>
      </c>
      <c r="S42" s="1"/>
      <c r="T42" s="1"/>
      <c r="U42" s="1"/>
      <c r="V42" s="1"/>
      <c r="W42" s="1"/>
    </row>
    <row r="43" spans="1:23" ht="21" customHeight="1">
      <c r="A43" s="62">
        <v>32</v>
      </c>
      <c r="B43" s="52" t="s">
        <v>120</v>
      </c>
      <c r="C43" s="52" t="s">
        <v>121</v>
      </c>
      <c r="D43" s="53">
        <v>16</v>
      </c>
      <c r="E43" s="53">
        <v>89</v>
      </c>
      <c r="F43" s="63">
        <v>25</v>
      </c>
      <c r="G43" s="56">
        <f t="shared" si="0"/>
        <v>96.15384615384616</v>
      </c>
      <c r="H43" s="57">
        <v>13</v>
      </c>
      <c r="I43" s="58">
        <v>87</v>
      </c>
      <c r="J43" s="53">
        <v>12</v>
      </c>
      <c r="K43" s="54">
        <v>85.71</v>
      </c>
      <c r="L43" s="53">
        <v>15</v>
      </c>
      <c r="M43" s="59">
        <f t="shared" si="1"/>
        <v>83.333333333333343</v>
      </c>
      <c r="N43" s="53">
        <v>5</v>
      </c>
      <c r="O43" s="54">
        <v>100</v>
      </c>
      <c r="P43" s="60">
        <v>3</v>
      </c>
      <c r="Q43" s="56">
        <f t="shared" si="4"/>
        <v>75</v>
      </c>
      <c r="R43" s="61">
        <f t="shared" si="3"/>
        <v>88.028168498168498</v>
      </c>
      <c r="S43" s="1"/>
      <c r="T43" s="1"/>
      <c r="U43" s="1"/>
      <c r="V43" s="1"/>
      <c r="W43" s="1"/>
    </row>
    <row r="44" spans="1:23" ht="21" customHeight="1">
      <c r="A44" s="51">
        <v>33</v>
      </c>
      <c r="B44" s="52" t="s">
        <v>122</v>
      </c>
      <c r="C44" s="52" t="s">
        <v>123</v>
      </c>
      <c r="D44" s="53">
        <v>9</v>
      </c>
      <c r="E44" s="53">
        <v>50</v>
      </c>
      <c r="F44" s="63">
        <v>16</v>
      </c>
      <c r="G44" s="56">
        <f t="shared" si="0"/>
        <v>61.53846153846154</v>
      </c>
      <c r="H44" s="57">
        <v>12</v>
      </c>
      <c r="I44" s="58">
        <v>80</v>
      </c>
      <c r="J44" s="53">
        <v>8</v>
      </c>
      <c r="K44" s="54">
        <v>57.14</v>
      </c>
      <c r="L44" s="53">
        <v>15</v>
      </c>
      <c r="M44" s="59">
        <f t="shared" si="1"/>
        <v>83.333333333333343</v>
      </c>
      <c r="N44" s="53">
        <v>4</v>
      </c>
      <c r="O44" s="54">
        <v>80</v>
      </c>
      <c r="P44" s="60">
        <v>1</v>
      </c>
      <c r="Q44" s="56">
        <f t="shared" si="4"/>
        <v>25</v>
      </c>
      <c r="R44" s="61">
        <f t="shared" si="3"/>
        <v>62.430256410256412</v>
      </c>
      <c r="S44" s="1"/>
      <c r="T44" s="1"/>
      <c r="U44" s="1"/>
      <c r="V44" s="1"/>
      <c r="W44" s="1"/>
    </row>
    <row r="45" spans="1:23" ht="21" customHeight="1">
      <c r="A45" s="62">
        <v>34</v>
      </c>
      <c r="B45" s="52" t="s">
        <v>124</v>
      </c>
      <c r="C45" s="52" t="s">
        <v>125</v>
      </c>
      <c r="D45" s="53">
        <v>18</v>
      </c>
      <c r="E45" s="53">
        <v>100</v>
      </c>
      <c r="F45" s="63">
        <v>21</v>
      </c>
      <c r="G45" s="56">
        <f t="shared" si="0"/>
        <v>80.769230769230774</v>
      </c>
      <c r="H45" s="57">
        <v>12</v>
      </c>
      <c r="I45" s="58">
        <v>80</v>
      </c>
      <c r="J45" s="53">
        <v>13</v>
      </c>
      <c r="K45" s="54">
        <v>92.86</v>
      </c>
      <c r="L45" s="53">
        <v>14</v>
      </c>
      <c r="M45" s="59">
        <f t="shared" si="1"/>
        <v>77.777777777777786</v>
      </c>
      <c r="N45" s="53">
        <v>5</v>
      </c>
      <c r="O45" s="54">
        <v>100</v>
      </c>
      <c r="P45" s="60">
        <v>4</v>
      </c>
      <c r="Q45" s="56">
        <f t="shared" si="4"/>
        <v>100</v>
      </c>
      <c r="R45" s="61">
        <f t="shared" si="3"/>
        <v>90.201001221001221</v>
      </c>
      <c r="S45" s="1"/>
      <c r="T45" s="1"/>
      <c r="U45" s="1"/>
      <c r="V45" s="1"/>
      <c r="W45" s="1"/>
    </row>
    <row r="46" spans="1:23" ht="21" customHeight="1">
      <c r="A46" s="51">
        <v>35</v>
      </c>
      <c r="B46" s="52" t="s">
        <v>126</v>
      </c>
      <c r="C46" s="52" t="s">
        <v>127</v>
      </c>
      <c r="D46" s="53">
        <v>14</v>
      </c>
      <c r="E46" s="53">
        <v>78</v>
      </c>
      <c r="F46" s="63">
        <v>21</v>
      </c>
      <c r="G46" s="56">
        <f t="shared" si="0"/>
        <v>80.769230769230774</v>
      </c>
      <c r="H46" s="57">
        <v>11</v>
      </c>
      <c r="I46" s="58">
        <v>74</v>
      </c>
      <c r="J46" s="53">
        <v>5</v>
      </c>
      <c r="K46" s="54">
        <v>35.71</v>
      </c>
      <c r="L46" s="53">
        <v>14</v>
      </c>
      <c r="M46" s="59">
        <f t="shared" si="1"/>
        <v>77.777777777777786</v>
      </c>
      <c r="N46" s="53">
        <v>5</v>
      </c>
      <c r="O46" s="54">
        <v>100</v>
      </c>
      <c r="P46" s="60">
        <v>3</v>
      </c>
      <c r="Q46" s="56">
        <f t="shared" si="4"/>
        <v>75</v>
      </c>
      <c r="R46" s="61">
        <f t="shared" si="3"/>
        <v>74.46528693528694</v>
      </c>
      <c r="S46" s="1"/>
      <c r="T46" s="1"/>
      <c r="U46" s="1"/>
      <c r="V46" s="1"/>
      <c r="W46" s="1"/>
    </row>
    <row r="47" spans="1:23" ht="21" customHeight="1">
      <c r="A47" s="62">
        <v>36</v>
      </c>
      <c r="B47" s="52" t="s">
        <v>128</v>
      </c>
      <c r="C47" s="52" t="s">
        <v>129</v>
      </c>
      <c r="D47" s="53">
        <v>15</v>
      </c>
      <c r="E47" s="53">
        <v>83</v>
      </c>
      <c r="F47" s="63">
        <v>21</v>
      </c>
      <c r="G47" s="56">
        <f t="shared" si="0"/>
        <v>80.769230769230774</v>
      </c>
      <c r="H47" s="57">
        <v>10</v>
      </c>
      <c r="I47" s="58">
        <v>67</v>
      </c>
      <c r="J47" s="53">
        <v>11</v>
      </c>
      <c r="K47" s="54">
        <v>78.569999999999993</v>
      </c>
      <c r="L47" s="53">
        <v>15</v>
      </c>
      <c r="M47" s="59">
        <f t="shared" si="1"/>
        <v>83.333333333333343</v>
      </c>
      <c r="N47" s="53">
        <v>5</v>
      </c>
      <c r="O47" s="54">
        <v>100</v>
      </c>
      <c r="P47" s="60">
        <v>1</v>
      </c>
      <c r="Q47" s="56">
        <f t="shared" si="4"/>
        <v>25</v>
      </c>
      <c r="R47" s="61">
        <f t="shared" si="3"/>
        <v>73.95322344322345</v>
      </c>
      <c r="S47" s="1"/>
      <c r="T47" s="1"/>
      <c r="U47" s="1"/>
      <c r="V47" s="1"/>
      <c r="W47" s="1"/>
    </row>
    <row r="48" spans="1:23" ht="21" customHeight="1">
      <c r="A48" s="51">
        <v>37</v>
      </c>
      <c r="B48" s="52" t="s">
        <v>130</v>
      </c>
      <c r="C48" s="52" t="s">
        <v>131</v>
      </c>
      <c r="D48" s="53">
        <v>13</v>
      </c>
      <c r="E48" s="53">
        <v>72</v>
      </c>
      <c r="F48" s="63">
        <v>24</v>
      </c>
      <c r="G48" s="56">
        <f t="shared" si="0"/>
        <v>92.307692307692307</v>
      </c>
      <c r="H48" s="57">
        <v>11</v>
      </c>
      <c r="I48" s="58">
        <v>74</v>
      </c>
      <c r="J48" s="53">
        <v>10</v>
      </c>
      <c r="K48" s="54">
        <v>71.430000000000007</v>
      </c>
      <c r="L48" s="53">
        <v>16</v>
      </c>
      <c r="M48" s="59">
        <f t="shared" si="1"/>
        <v>88.888888888888886</v>
      </c>
      <c r="N48" s="53">
        <v>5</v>
      </c>
      <c r="O48" s="54">
        <v>100</v>
      </c>
      <c r="P48" s="60">
        <v>3</v>
      </c>
      <c r="Q48" s="56">
        <f t="shared" si="4"/>
        <v>75</v>
      </c>
      <c r="R48" s="61">
        <f t="shared" si="3"/>
        <v>81.946654456654457</v>
      </c>
      <c r="S48" s="1"/>
      <c r="T48" s="1"/>
      <c r="U48" s="1"/>
      <c r="V48" s="1"/>
      <c r="W48" s="1"/>
    </row>
    <row r="49" spans="1:23" ht="21" customHeight="1">
      <c r="A49" s="62">
        <v>38</v>
      </c>
      <c r="B49" s="52" t="s">
        <v>132</v>
      </c>
      <c r="C49" s="52" t="s">
        <v>133</v>
      </c>
      <c r="D49" s="53">
        <v>6</v>
      </c>
      <c r="E49" s="53">
        <v>33</v>
      </c>
      <c r="F49" s="63">
        <v>15</v>
      </c>
      <c r="G49" s="56">
        <f t="shared" si="0"/>
        <v>57.692307692307686</v>
      </c>
      <c r="H49" s="57">
        <v>11</v>
      </c>
      <c r="I49" s="58">
        <v>74</v>
      </c>
      <c r="J49" s="53">
        <v>7</v>
      </c>
      <c r="K49" s="54">
        <v>50</v>
      </c>
      <c r="L49" s="53">
        <v>12</v>
      </c>
      <c r="M49" s="59">
        <f t="shared" si="1"/>
        <v>66.666666666666657</v>
      </c>
      <c r="N49" s="53">
        <v>2</v>
      </c>
      <c r="O49" s="54">
        <v>40</v>
      </c>
      <c r="P49" s="60">
        <v>3</v>
      </c>
      <c r="Q49" s="56">
        <f t="shared" si="4"/>
        <v>75</v>
      </c>
      <c r="R49" s="61">
        <f t="shared" si="3"/>
        <v>56.62271062271062</v>
      </c>
      <c r="S49" s="1"/>
      <c r="T49" s="1"/>
      <c r="U49" s="1"/>
      <c r="V49" s="1"/>
      <c r="W49" s="1"/>
    </row>
    <row r="50" spans="1:23" ht="21" customHeight="1">
      <c r="A50" s="51">
        <v>39</v>
      </c>
      <c r="B50" s="52" t="s">
        <v>134</v>
      </c>
      <c r="C50" s="52" t="s">
        <v>135</v>
      </c>
      <c r="D50" s="53">
        <v>14</v>
      </c>
      <c r="E50" s="53">
        <v>78</v>
      </c>
      <c r="F50" s="63">
        <v>16</v>
      </c>
      <c r="G50" s="56">
        <f t="shared" si="0"/>
        <v>61.53846153846154</v>
      </c>
      <c r="H50" s="57">
        <v>13</v>
      </c>
      <c r="I50" s="58">
        <v>87</v>
      </c>
      <c r="J50" s="53">
        <v>8</v>
      </c>
      <c r="K50" s="54">
        <v>57</v>
      </c>
      <c r="L50" s="53">
        <v>10</v>
      </c>
      <c r="M50" s="59">
        <f t="shared" si="1"/>
        <v>55.555555555555557</v>
      </c>
      <c r="N50" s="53">
        <v>4</v>
      </c>
      <c r="O50" s="54">
        <v>80</v>
      </c>
      <c r="P50" s="60">
        <v>1</v>
      </c>
      <c r="Q50" s="56">
        <f t="shared" si="4"/>
        <v>25</v>
      </c>
      <c r="R50" s="61">
        <f t="shared" si="3"/>
        <v>63.44200244200244</v>
      </c>
      <c r="S50" s="1"/>
      <c r="T50" s="1"/>
      <c r="U50" s="1"/>
      <c r="V50" s="1"/>
      <c r="W50" s="1"/>
    </row>
    <row r="51" spans="1:23" ht="21" customHeight="1">
      <c r="A51" s="62">
        <v>40</v>
      </c>
      <c r="B51" s="52" t="s">
        <v>136</v>
      </c>
      <c r="C51" s="52" t="s">
        <v>137</v>
      </c>
      <c r="D51" s="53">
        <v>11</v>
      </c>
      <c r="E51" s="53">
        <v>61</v>
      </c>
      <c r="F51" s="63">
        <v>17</v>
      </c>
      <c r="G51" s="56">
        <f t="shared" si="0"/>
        <v>65.384615384615387</v>
      </c>
      <c r="H51" s="57">
        <v>11</v>
      </c>
      <c r="I51" s="58">
        <v>74</v>
      </c>
      <c r="J51" s="53">
        <v>10</v>
      </c>
      <c r="K51" s="54">
        <v>71.430000000000007</v>
      </c>
      <c r="L51" s="53">
        <v>13</v>
      </c>
      <c r="M51" s="59">
        <f t="shared" si="1"/>
        <v>72.222222222222214</v>
      </c>
      <c r="N51" s="53">
        <v>4</v>
      </c>
      <c r="O51" s="54">
        <v>80</v>
      </c>
      <c r="P51" s="60">
        <v>3</v>
      </c>
      <c r="Q51" s="56">
        <f t="shared" si="4"/>
        <v>75</v>
      </c>
      <c r="R51" s="61">
        <f t="shared" si="3"/>
        <v>71.290976800976807</v>
      </c>
      <c r="S51" s="1"/>
      <c r="T51" s="1"/>
      <c r="U51" s="1"/>
      <c r="V51" s="1"/>
      <c r="W51" s="1"/>
    </row>
    <row r="52" spans="1:23" ht="21" customHeight="1">
      <c r="A52" s="51">
        <v>41</v>
      </c>
      <c r="B52" s="52" t="s">
        <v>138</v>
      </c>
      <c r="C52" s="52" t="s">
        <v>139</v>
      </c>
      <c r="D52" s="53">
        <v>12</v>
      </c>
      <c r="E52" s="53">
        <v>67</v>
      </c>
      <c r="F52" s="63">
        <v>20</v>
      </c>
      <c r="G52" s="56">
        <f t="shared" si="0"/>
        <v>76.923076923076934</v>
      </c>
      <c r="H52" s="57">
        <v>12</v>
      </c>
      <c r="I52" s="58">
        <v>80</v>
      </c>
      <c r="J52" s="53">
        <v>10</v>
      </c>
      <c r="K52" s="54">
        <v>71.430000000000007</v>
      </c>
      <c r="L52" s="53">
        <v>14</v>
      </c>
      <c r="M52" s="59">
        <f t="shared" si="1"/>
        <v>77.777777777777786</v>
      </c>
      <c r="N52" s="53">
        <v>3</v>
      </c>
      <c r="O52" s="54">
        <v>60</v>
      </c>
      <c r="P52" s="60">
        <v>3</v>
      </c>
      <c r="Q52" s="56">
        <f t="shared" si="4"/>
        <v>75</v>
      </c>
      <c r="R52" s="61">
        <f t="shared" si="3"/>
        <v>72.590122100122102</v>
      </c>
      <c r="S52" s="1"/>
      <c r="T52" s="1"/>
      <c r="U52" s="1"/>
      <c r="V52" s="1"/>
      <c r="W52" s="1"/>
    </row>
    <row r="53" spans="1:23" ht="21" customHeight="1">
      <c r="A53" s="62">
        <v>42</v>
      </c>
      <c r="B53" s="52" t="s">
        <v>140</v>
      </c>
      <c r="C53" s="52" t="s">
        <v>141</v>
      </c>
      <c r="D53" s="53">
        <v>16</v>
      </c>
      <c r="E53" s="53">
        <v>89</v>
      </c>
      <c r="F53" s="63">
        <v>24</v>
      </c>
      <c r="G53" s="56">
        <f t="shared" si="0"/>
        <v>92.307692307692307</v>
      </c>
      <c r="H53" s="57">
        <v>13</v>
      </c>
      <c r="I53" s="58">
        <v>87</v>
      </c>
      <c r="J53" s="53">
        <v>13</v>
      </c>
      <c r="K53" s="54">
        <v>93</v>
      </c>
      <c r="L53" s="53">
        <v>15</v>
      </c>
      <c r="M53" s="59">
        <f t="shared" si="1"/>
        <v>83.333333333333343</v>
      </c>
      <c r="N53" s="53">
        <v>5</v>
      </c>
      <c r="O53" s="54">
        <v>100</v>
      </c>
      <c r="P53" s="60">
        <v>4</v>
      </c>
      <c r="Q53" s="56">
        <f t="shared" si="4"/>
        <v>100</v>
      </c>
      <c r="R53" s="61">
        <f t="shared" si="3"/>
        <v>92.091575091575095</v>
      </c>
      <c r="S53" s="1"/>
      <c r="T53" s="1"/>
      <c r="U53" s="1"/>
      <c r="V53" s="1"/>
      <c r="W53" s="1"/>
    </row>
    <row r="54" spans="1:23" ht="21" customHeight="1">
      <c r="A54" s="51">
        <v>43</v>
      </c>
      <c r="B54" s="52" t="s">
        <v>142</v>
      </c>
      <c r="C54" s="52" t="s">
        <v>143</v>
      </c>
      <c r="D54" s="53">
        <v>7</v>
      </c>
      <c r="E54" s="53">
        <v>39</v>
      </c>
      <c r="F54" s="63">
        <v>16</v>
      </c>
      <c r="G54" s="56">
        <f t="shared" si="0"/>
        <v>61.53846153846154</v>
      </c>
      <c r="H54" s="57">
        <v>11</v>
      </c>
      <c r="I54" s="58">
        <v>74</v>
      </c>
      <c r="J54" s="53">
        <v>4</v>
      </c>
      <c r="K54" s="54">
        <v>28.57</v>
      </c>
      <c r="L54" s="53">
        <v>10</v>
      </c>
      <c r="M54" s="59">
        <f t="shared" si="1"/>
        <v>55.555555555555557</v>
      </c>
      <c r="N54" s="53">
        <v>5</v>
      </c>
      <c r="O54" s="54">
        <v>100</v>
      </c>
      <c r="P54" s="60">
        <v>1</v>
      </c>
      <c r="Q54" s="56">
        <f t="shared" si="4"/>
        <v>25</v>
      </c>
      <c r="R54" s="61">
        <f t="shared" si="3"/>
        <v>54.8091452991453</v>
      </c>
      <c r="S54" s="1"/>
      <c r="T54" s="1"/>
      <c r="U54" s="1"/>
      <c r="V54" s="1"/>
      <c r="W54" s="1"/>
    </row>
    <row r="55" spans="1:23" ht="21" customHeight="1">
      <c r="A55" s="62">
        <v>44</v>
      </c>
      <c r="B55" s="52" t="s">
        <v>144</v>
      </c>
      <c r="C55" s="52" t="s">
        <v>145</v>
      </c>
      <c r="D55" s="53">
        <v>16</v>
      </c>
      <c r="E55" s="53">
        <v>89</v>
      </c>
      <c r="F55" s="63">
        <v>23</v>
      </c>
      <c r="G55" s="56">
        <f t="shared" si="0"/>
        <v>88.461538461538453</v>
      </c>
      <c r="H55" s="57">
        <v>12</v>
      </c>
      <c r="I55" s="58">
        <v>74</v>
      </c>
      <c r="J55" s="53">
        <v>10</v>
      </c>
      <c r="K55" s="54">
        <v>71.430000000000007</v>
      </c>
      <c r="L55" s="53">
        <v>17</v>
      </c>
      <c r="M55" s="59">
        <f t="shared" si="1"/>
        <v>94.444444444444443</v>
      </c>
      <c r="N55" s="53">
        <v>5</v>
      </c>
      <c r="O55" s="54">
        <v>100</v>
      </c>
      <c r="P55" s="60">
        <v>4</v>
      </c>
      <c r="Q55" s="56">
        <f t="shared" si="4"/>
        <v>100</v>
      </c>
      <c r="R55" s="61">
        <f t="shared" si="3"/>
        <v>88.190854700854715</v>
      </c>
      <c r="S55" s="1"/>
      <c r="T55" s="1"/>
      <c r="U55" s="1"/>
      <c r="V55" s="1"/>
      <c r="W55" s="1"/>
    </row>
    <row r="56" spans="1:23" ht="21" customHeight="1">
      <c r="A56" s="51">
        <v>45</v>
      </c>
      <c r="B56" s="52" t="s">
        <v>146</v>
      </c>
      <c r="C56" s="52" t="s">
        <v>147</v>
      </c>
      <c r="D56" s="53">
        <v>17</v>
      </c>
      <c r="E56" s="53">
        <v>94</v>
      </c>
      <c r="F56" s="63">
        <v>26</v>
      </c>
      <c r="G56" s="56">
        <f t="shared" si="0"/>
        <v>100</v>
      </c>
      <c r="H56" s="57">
        <v>10</v>
      </c>
      <c r="I56" s="58">
        <v>67</v>
      </c>
      <c r="J56" s="53">
        <v>14</v>
      </c>
      <c r="K56" s="54">
        <v>100</v>
      </c>
      <c r="L56" s="53">
        <v>17</v>
      </c>
      <c r="M56" s="59">
        <f t="shared" si="1"/>
        <v>94.444444444444443</v>
      </c>
      <c r="N56" s="53">
        <v>5</v>
      </c>
      <c r="O56" s="54">
        <v>100</v>
      </c>
      <c r="P56" s="60">
        <v>3</v>
      </c>
      <c r="Q56" s="56">
        <f t="shared" si="4"/>
        <v>75</v>
      </c>
      <c r="R56" s="61">
        <f t="shared" si="3"/>
        <v>90.063492063492063</v>
      </c>
      <c r="S56" s="1"/>
      <c r="T56" s="1"/>
      <c r="U56" s="1"/>
      <c r="V56" s="1"/>
      <c r="W56" s="1"/>
    </row>
    <row r="57" spans="1:23" ht="21" customHeight="1">
      <c r="A57" s="62">
        <v>46</v>
      </c>
      <c r="B57" s="52" t="s">
        <v>148</v>
      </c>
      <c r="C57" s="52" t="s">
        <v>149</v>
      </c>
      <c r="D57" s="53">
        <v>16</v>
      </c>
      <c r="E57" s="53">
        <v>89</v>
      </c>
      <c r="F57" s="63">
        <v>26</v>
      </c>
      <c r="G57" s="56">
        <f t="shared" si="0"/>
        <v>100</v>
      </c>
      <c r="H57" s="57">
        <v>10</v>
      </c>
      <c r="I57" s="58">
        <v>67</v>
      </c>
      <c r="J57" s="53">
        <v>11</v>
      </c>
      <c r="K57" s="54">
        <v>78.569999999999993</v>
      </c>
      <c r="L57" s="53">
        <v>18</v>
      </c>
      <c r="M57" s="59">
        <f t="shared" si="1"/>
        <v>100</v>
      </c>
      <c r="N57" s="53">
        <v>5</v>
      </c>
      <c r="O57" s="54">
        <v>100</v>
      </c>
      <c r="P57" s="60">
        <v>4</v>
      </c>
      <c r="Q57" s="56">
        <f t="shared" si="4"/>
        <v>100</v>
      </c>
      <c r="R57" s="61">
        <f t="shared" si="3"/>
        <v>90.65285714285713</v>
      </c>
      <c r="S57" s="1"/>
      <c r="T57" s="1"/>
      <c r="U57" s="1"/>
      <c r="V57" s="1"/>
      <c r="W57" s="1"/>
    </row>
    <row r="58" spans="1:23" ht="21" customHeight="1">
      <c r="A58" s="51">
        <v>47</v>
      </c>
      <c r="B58" s="52" t="s">
        <v>150</v>
      </c>
      <c r="C58" s="52" t="s">
        <v>151</v>
      </c>
      <c r="D58" s="53">
        <v>13</v>
      </c>
      <c r="E58" s="53">
        <v>72</v>
      </c>
      <c r="F58" s="63">
        <v>20</v>
      </c>
      <c r="G58" s="56">
        <f t="shared" si="0"/>
        <v>76.923076923076934</v>
      </c>
      <c r="H58" s="57">
        <v>11</v>
      </c>
      <c r="I58" s="58">
        <v>74</v>
      </c>
      <c r="J58" s="53">
        <v>9</v>
      </c>
      <c r="K58" s="54">
        <v>64.290000000000006</v>
      </c>
      <c r="L58" s="53">
        <v>14</v>
      </c>
      <c r="M58" s="59">
        <f t="shared" si="1"/>
        <v>77.777777777777786</v>
      </c>
      <c r="N58" s="53">
        <v>4</v>
      </c>
      <c r="O58" s="54">
        <v>80</v>
      </c>
      <c r="P58" s="60">
        <v>2</v>
      </c>
      <c r="Q58" s="56">
        <f t="shared" si="4"/>
        <v>50</v>
      </c>
      <c r="R58" s="61">
        <f t="shared" si="3"/>
        <v>70.712979242979245</v>
      </c>
      <c r="S58" s="1"/>
      <c r="T58" s="1"/>
      <c r="U58" s="1"/>
      <c r="V58" s="1"/>
      <c r="W58" s="1"/>
    </row>
    <row r="59" spans="1:23" ht="21" customHeight="1">
      <c r="A59" s="62">
        <v>48</v>
      </c>
      <c r="B59" s="52" t="s">
        <v>152</v>
      </c>
      <c r="C59" s="52" t="s">
        <v>153</v>
      </c>
      <c r="D59" s="53">
        <v>15</v>
      </c>
      <c r="E59" s="53">
        <v>83</v>
      </c>
      <c r="F59" s="63">
        <v>21</v>
      </c>
      <c r="G59" s="56">
        <f t="shared" si="0"/>
        <v>80.769230769230774</v>
      </c>
      <c r="H59" s="57">
        <v>10</v>
      </c>
      <c r="I59" s="58">
        <v>67</v>
      </c>
      <c r="J59" s="53">
        <v>11</v>
      </c>
      <c r="K59" s="54">
        <v>78.569999999999993</v>
      </c>
      <c r="L59" s="53">
        <v>15</v>
      </c>
      <c r="M59" s="59">
        <f t="shared" si="1"/>
        <v>83.333333333333343</v>
      </c>
      <c r="N59" s="53">
        <v>4</v>
      </c>
      <c r="O59" s="54">
        <v>80</v>
      </c>
      <c r="P59" s="60">
        <v>3</v>
      </c>
      <c r="Q59" s="56">
        <f t="shared" si="4"/>
        <v>75</v>
      </c>
      <c r="R59" s="61">
        <f t="shared" si="3"/>
        <v>78.238937728937728</v>
      </c>
      <c r="S59" s="1"/>
      <c r="T59" s="1"/>
      <c r="U59" s="1"/>
      <c r="V59" s="1"/>
      <c r="W59" s="1"/>
    </row>
    <row r="60" spans="1:23" ht="21" customHeight="1">
      <c r="A60" s="51">
        <v>49</v>
      </c>
      <c r="B60" s="52" t="s">
        <v>154</v>
      </c>
      <c r="C60" s="52" t="s">
        <v>155</v>
      </c>
      <c r="D60" s="53">
        <v>10</v>
      </c>
      <c r="E60" s="53">
        <v>56</v>
      </c>
      <c r="F60" s="63">
        <v>13</v>
      </c>
      <c r="G60" s="56">
        <f t="shared" si="0"/>
        <v>50</v>
      </c>
      <c r="H60" s="57">
        <v>7</v>
      </c>
      <c r="I60" s="58">
        <v>47</v>
      </c>
      <c r="J60" s="53">
        <v>5</v>
      </c>
      <c r="K60" s="54">
        <v>35.71</v>
      </c>
      <c r="L60" s="53">
        <v>10</v>
      </c>
      <c r="M60" s="59">
        <f t="shared" si="1"/>
        <v>55.555555555555557</v>
      </c>
      <c r="N60" s="53">
        <v>2</v>
      </c>
      <c r="O60" s="54">
        <v>40</v>
      </c>
      <c r="P60" s="60">
        <v>1</v>
      </c>
      <c r="Q60" s="56">
        <f t="shared" si="4"/>
        <v>25</v>
      </c>
      <c r="R60" s="61">
        <f t="shared" si="3"/>
        <v>44.180793650793653</v>
      </c>
      <c r="S60" s="1"/>
      <c r="T60" s="1"/>
      <c r="U60" s="1"/>
      <c r="V60" s="1"/>
      <c r="W60" s="1"/>
    </row>
    <row r="61" spans="1:23" ht="21" customHeight="1">
      <c r="A61" s="62">
        <v>50</v>
      </c>
      <c r="B61" s="52" t="s">
        <v>158</v>
      </c>
      <c r="C61" s="52" t="s">
        <v>159</v>
      </c>
      <c r="D61" s="53">
        <v>9</v>
      </c>
      <c r="E61" s="53">
        <v>50</v>
      </c>
      <c r="F61" s="63">
        <v>15</v>
      </c>
      <c r="G61" s="56">
        <f t="shared" si="0"/>
        <v>57.692307692307686</v>
      </c>
      <c r="H61" s="57">
        <v>11</v>
      </c>
      <c r="I61" s="58">
        <v>74</v>
      </c>
      <c r="J61" s="53">
        <v>8</v>
      </c>
      <c r="K61" s="54">
        <v>57</v>
      </c>
      <c r="L61" s="53">
        <v>8</v>
      </c>
      <c r="M61" s="59">
        <f t="shared" si="1"/>
        <v>44.444444444444443</v>
      </c>
      <c r="N61" s="53">
        <v>2</v>
      </c>
      <c r="O61" s="54">
        <v>40</v>
      </c>
      <c r="P61" s="60">
        <v>1</v>
      </c>
      <c r="Q61" s="56">
        <f t="shared" si="4"/>
        <v>25</v>
      </c>
      <c r="R61" s="61">
        <f t="shared" si="3"/>
        <v>49.733821733821735</v>
      </c>
      <c r="S61" s="1"/>
      <c r="T61" s="1"/>
      <c r="U61" s="1"/>
      <c r="V61" s="1"/>
      <c r="W61" s="1"/>
    </row>
    <row r="62" spans="1:23" ht="21" customHeight="1">
      <c r="A62" s="51">
        <v>51</v>
      </c>
      <c r="B62" s="52" t="s">
        <v>160</v>
      </c>
      <c r="C62" s="52" t="s">
        <v>161</v>
      </c>
      <c r="D62" s="53">
        <v>17</v>
      </c>
      <c r="E62" s="53">
        <v>94</v>
      </c>
      <c r="F62" s="63">
        <v>26</v>
      </c>
      <c r="G62" s="56">
        <f t="shared" si="0"/>
        <v>100</v>
      </c>
      <c r="H62" s="57">
        <v>12</v>
      </c>
      <c r="I62" s="58">
        <v>80</v>
      </c>
      <c r="J62" s="53">
        <v>13</v>
      </c>
      <c r="K62" s="54">
        <v>92.86</v>
      </c>
      <c r="L62" s="53">
        <v>18</v>
      </c>
      <c r="M62" s="59">
        <f t="shared" si="1"/>
        <v>100</v>
      </c>
      <c r="N62" s="53">
        <v>4</v>
      </c>
      <c r="O62" s="54">
        <v>80</v>
      </c>
      <c r="P62" s="60">
        <v>3</v>
      </c>
      <c r="Q62" s="56">
        <f t="shared" si="4"/>
        <v>75</v>
      </c>
      <c r="R62" s="61">
        <f t="shared" si="3"/>
        <v>88.837142857142865</v>
      </c>
      <c r="S62" s="1"/>
      <c r="T62" s="1"/>
      <c r="U62" s="1"/>
      <c r="V62" s="1"/>
      <c r="W62" s="1"/>
    </row>
    <row r="63" spans="1:23" ht="21" customHeight="1">
      <c r="A63" s="62">
        <v>52</v>
      </c>
      <c r="B63" s="52" t="s">
        <v>163</v>
      </c>
      <c r="C63" s="52" t="s">
        <v>164</v>
      </c>
      <c r="D63" s="53">
        <v>16</v>
      </c>
      <c r="E63" s="53">
        <v>89</v>
      </c>
      <c r="F63" s="63">
        <v>24</v>
      </c>
      <c r="G63" s="56">
        <f t="shared" si="0"/>
        <v>92.307692307692307</v>
      </c>
      <c r="H63" s="57">
        <v>12</v>
      </c>
      <c r="I63" s="58">
        <v>80</v>
      </c>
      <c r="J63" s="53">
        <v>12</v>
      </c>
      <c r="K63" s="54">
        <v>85.71</v>
      </c>
      <c r="L63" s="53">
        <v>17</v>
      </c>
      <c r="M63" s="59">
        <f t="shared" si="1"/>
        <v>94.444444444444443</v>
      </c>
      <c r="N63" s="53">
        <v>5</v>
      </c>
      <c r="O63" s="54">
        <v>100</v>
      </c>
      <c r="P63" s="60">
        <v>3</v>
      </c>
      <c r="Q63" s="56">
        <f t="shared" si="4"/>
        <v>75</v>
      </c>
      <c r="R63" s="61">
        <f t="shared" si="3"/>
        <v>88.066019536019539</v>
      </c>
      <c r="S63" s="1"/>
      <c r="T63" s="1"/>
      <c r="U63" s="1"/>
      <c r="V63" s="1"/>
      <c r="W63" s="1"/>
    </row>
    <row r="64" spans="1:23" ht="21" customHeight="1">
      <c r="A64" s="51">
        <v>53</v>
      </c>
      <c r="B64" s="65" t="s">
        <v>166</v>
      </c>
      <c r="C64" s="65" t="s">
        <v>167</v>
      </c>
      <c r="D64" s="53">
        <v>0</v>
      </c>
      <c r="E64" s="53">
        <v>0</v>
      </c>
      <c r="F64" s="63">
        <v>2</v>
      </c>
      <c r="G64" s="56">
        <f t="shared" si="0"/>
        <v>7.6923076923076925</v>
      </c>
      <c r="H64" s="57">
        <v>2</v>
      </c>
      <c r="I64" s="58">
        <v>13</v>
      </c>
      <c r="J64" s="53">
        <v>3</v>
      </c>
      <c r="K64" s="54">
        <v>21.43</v>
      </c>
      <c r="L64" s="53">
        <v>2</v>
      </c>
      <c r="M64" s="59">
        <f t="shared" si="1"/>
        <v>11.111111111111111</v>
      </c>
      <c r="N64" s="53">
        <v>0</v>
      </c>
      <c r="O64" s="54">
        <v>0</v>
      </c>
      <c r="P64" s="60">
        <v>0</v>
      </c>
      <c r="Q64" s="56">
        <f t="shared" si="4"/>
        <v>0</v>
      </c>
      <c r="R64" s="61">
        <f t="shared" si="3"/>
        <v>7.6047741147741146</v>
      </c>
      <c r="S64" s="1"/>
      <c r="T64" s="1"/>
      <c r="U64" s="1"/>
      <c r="V64" s="1"/>
      <c r="W64" s="1"/>
    </row>
    <row r="65" spans="1:23" ht="21" customHeight="1">
      <c r="A65" s="62">
        <v>54</v>
      </c>
      <c r="B65" s="52" t="s">
        <v>169</v>
      </c>
      <c r="C65" s="52" t="s">
        <v>170</v>
      </c>
      <c r="D65" s="53">
        <v>12</v>
      </c>
      <c r="E65" s="53">
        <v>67</v>
      </c>
      <c r="F65" s="63">
        <v>21</v>
      </c>
      <c r="G65" s="56">
        <f t="shared" si="0"/>
        <v>80.769230769230774</v>
      </c>
      <c r="H65" s="57">
        <v>11</v>
      </c>
      <c r="I65" s="58">
        <v>74</v>
      </c>
      <c r="J65" s="53">
        <v>11</v>
      </c>
      <c r="K65" s="54">
        <v>78.569999999999993</v>
      </c>
      <c r="L65" s="53">
        <v>15</v>
      </c>
      <c r="M65" s="59">
        <f t="shared" si="1"/>
        <v>83.333333333333343</v>
      </c>
      <c r="N65" s="53">
        <v>4</v>
      </c>
      <c r="O65" s="54">
        <v>80</v>
      </c>
      <c r="P65" s="60">
        <v>3</v>
      </c>
      <c r="Q65" s="56">
        <f t="shared" si="4"/>
        <v>75</v>
      </c>
      <c r="R65" s="61">
        <f t="shared" si="3"/>
        <v>76.95322344322345</v>
      </c>
      <c r="S65" s="1"/>
      <c r="T65" s="1"/>
      <c r="U65" s="1"/>
      <c r="V65" s="1"/>
      <c r="W65" s="1"/>
    </row>
    <row r="66" spans="1:23" ht="21" customHeight="1">
      <c r="A66" s="51">
        <v>55</v>
      </c>
      <c r="B66" s="52" t="s">
        <v>172</v>
      </c>
      <c r="C66" s="52" t="s">
        <v>173</v>
      </c>
      <c r="D66" s="53">
        <v>15</v>
      </c>
      <c r="E66" s="53">
        <v>83</v>
      </c>
      <c r="F66" s="63">
        <v>21</v>
      </c>
      <c r="G66" s="56">
        <f t="shared" si="0"/>
        <v>80.769230769230774</v>
      </c>
      <c r="H66" s="57">
        <v>12</v>
      </c>
      <c r="I66" s="58">
        <v>80</v>
      </c>
      <c r="J66" s="53">
        <v>12</v>
      </c>
      <c r="K66" s="54">
        <v>85.71</v>
      </c>
      <c r="L66" s="53">
        <v>16</v>
      </c>
      <c r="M66" s="59">
        <f t="shared" si="1"/>
        <v>88.888888888888886</v>
      </c>
      <c r="N66" s="53">
        <v>4</v>
      </c>
      <c r="O66" s="54">
        <v>80</v>
      </c>
      <c r="P66" s="60">
        <v>2</v>
      </c>
      <c r="Q66" s="56">
        <f t="shared" si="4"/>
        <v>50</v>
      </c>
      <c r="R66" s="61">
        <f t="shared" si="3"/>
        <v>78.338302808302814</v>
      </c>
      <c r="S66" s="1"/>
      <c r="T66" s="1"/>
      <c r="U66" s="1"/>
      <c r="V66" s="1"/>
      <c r="W66" s="1"/>
    </row>
    <row r="67" spans="1:23" ht="21" customHeight="1">
      <c r="A67" s="62">
        <v>56</v>
      </c>
      <c r="B67" s="52" t="s">
        <v>175</v>
      </c>
      <c r="C67" s="52" t="s">
        <v>176</v>
      </c>
      <c r="D67" s="53">
        <v>17</v>
      </c>
      <c r="E67" s="53">
        <v>94</v>
      </c>
      <c r="F67" s="63">
        <v>21</v>
      </c>
      <c r="G67" s="56">
        <f t="shared" si="0"/>
        <v>80.769230769230774</v>
      </c>
      <c r="H67" s="57">
        <v>12</v>
      </c>
      <c r="I67" s="58">
        <v>80</v>
      </c>
      <c r="J67" s="66">
        <v>14</v>
      </c>
      <c r="K67" s="67">
        <v>100</v>
      </c>
      <c r="L67" s="53">
        <v>16</v>
      </c>
      <c r="M67" s="59">
        <f t="shared" si="1"/>
        <v>88.888888888888886</v>
      </c>
      <c r="N67" s="53">
        <v>4</v>
      </c>
      <c r="O67" s="54">
        <v>80</v>
      </c>
      <c r="P67" s="60">
        <v>3</v>
      </c>
      <c r="Q67" s="56">
        <f t="shared" si="4"/>
        <v>75</v>
      </c>
      <c r="R67" s="61">
        <f t="shared" si="3"/>
        <v>85.522588522588521</v>
      </c>
      <c r="S67" s="1"/>
      <c r="T67" s="1"/>
      <c r="U67" s="1"/>
      <c r="V67" s="1"/>
      <c r="W67" s="1"/>
    </row>
    <row r="68" spans="1:23" ht="37.5" customHeight="1">
      <c r="A68" s="145" t="s">
        <v>191</v>
      </c>
      <c r="B68" s="123"/>
      <c r="C68" s="115"/>
      <c r="D68" s="144" t="s">
        <v>23</v>
      </c>
      <c r="E68" s="115"/>
      <c r="F68" s="144" t="s">
        <v>26</v>
      </c>
      <c r="G68" s="115"/>
      <c r="H68" s="144" t="s">
        <v>29</v>
      </c>
      <c r="I68" s="115"/>
      <c r="J68" s="144" t="s">
        <v>32</v>
      </c>
      <c r="K68" s="115"/>
      <c r="L68" s="144" t="s">
        <v>192</v>
      </c>
      <c r="M68" s="115"/>
      <c r="N68" s="144" t="s">
        <v>32</v>
      </c>
      <c r="O68" s="115"/>
      <c r="P68" s="144" t="s">
        <v>40</v>
      </c>
      <c r="Q68" s="115"/>
      <c r="R68" s="56"/>
      <c r="S68" s="1"/>
      <c r="T68" s="68"/>
      <c r="U68" s="1"/>
      <c r="V68" s="1"/>
      <c r="W68" s="1"/>
    </row>
    <row r="69" spans="1:23" ht="16.5" customHeight="1">
      <c r="A69" s="46"/>
      <c r="B69" s="46"/>
      <c r="C69" s="46"/>
      <c r="D69" s="46"/>
      <c r="E69" s="46"/>
      <c r="F69" s="46"/>
      <c r="G69" s="46"/>
      <c r="H69" s="69"/>
      <c r="I69" s="69"/>
      <c r="J69" s="46"/>
      <c r="K69" s="46"/>
      <c r="L69" s="46"/>
      <c r="M69" s="70"/>
      <c r="N69" s="46"/>
      <c r="O69" s="46"/>
      <c r="P69" s="46"/>
      <c r="Q69" s="46"/>
      <c r="R69" s="46"/>
      <c r="S69" s="1"/>
      <c r="T69" s="27"/>
      <c r="U69" s="1"/>
      <c r="V69" s="1"/>
      <c r="W69" s="1"/>
    </row>
    <row r="70" spans="1:23" ht="37.5" customHeight="1">
      <c r="A70" s="46"/>
      <c r="B70" s="46"/>
      <c r="C70" s="46"/>
      <c r="D70" s="46"/>
      <c r="E70" s="46"/>
      <c r="F70" s="46"/>
      <c r="G70" s="46"/>
      <c r="H70" s="69"/>
      <c r="I70" s="69"/>
      <c r="J70" s="46"/>
      <c r="K70" s="46"/>
      <c r="L70" s="46"/>
      <c r="M70" s="70"/>
      <c r="N70" s="144"/>
      <c r="O70" s="115"/>
      <c r="P70" s="46"/>
      <c r="Q70" s="46"/>
      <c r="R70" s="46"/>
      <c r="S70" s="1"/>
      <c r="T70" s="27"/>
      <c r="U70" s="1"/>
      <c r="V70" s="1"/>
      <c r="W70" s="1"/>
    </row>
    <row r="71" spans="1:23" ht="30" customHeight="1">
      <c r="A71" s="146" t="s">
        <v>193</v>
      </c>
      <c r="B71" s="112"/>
      <c r="C71" s="112"/>
      <c r="D71" s="112"/>
      <c r="E71" s="112"/>
      <c r="F71" s="71"/>
      <c r="G71" s="144" t="s">
        <v>194</v>
      </c>
      <c r="H71" s="123"/>
      <c r="I71" s="123"/>
      <c r="J71" s="123"/>
      <c r="K71" s="123"/>
      <c r="L71" s="123"/>
      <c r="M71" s="115"/>
      <c r="N71" s="7"/>
      <c r="O71" s="7"/>
      <c r="P71" s="146" t="s">
        <v>195</v>
      </c>
      <c r="Q71" s="112"/>
      <c r="R71" s="112"/>
      <c r="S71" s="7"/>
      <c r="T71" s="27"/>
      <c r="U71" s="7"/>
      <c r="V71" s="7"/>
      <c r="W71" s="7"/>
    </row>
    <row r="72" spans="1:23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70"/>
      <c r="N72" s="1"/>
      <c r="O72" s="1"/>
      <c r="P72" s="1"/>
      <c r="Q72" s="1"/>
      <c r="R72" s="1"/>
      <c r="S72" s="1"/>
      <c r="T72" s="116"/>
      <c r="U72" s="1"/>
      <c r="V72" s="1"/>
      <c r="W72" s="1"/>
    </row>
    <row r="73" spans="1:2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70"/>
      <c r="N73" s="1"/>
      <c r="O73" s="1"/>
      <c r="P73" s="1"/>
      <c r="Q73" s="1"/>
      <c r="R73" s="1"/>
      <c r="S73" s="1"/>
      <c r="T73" s="112"/>
      <c r="U73" s="1"/>
      <c r="V73" s="1"/>
      <c r="W73" s="1"/>
    </row>
    <row r="74" spans="1:23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70"/>
      <c r="N74" s="1"/>
      <c r="O74" s="1"/>
      <c r="P74" s="1"/>
      <c r="Q74" s="1"/>
      <c r="R74" s="1"/>
      <c r="S74" s="1"/>
      <c r="T74" s="72"/>
      <c r="U74" s="1"/>
      <c r="V74" s="1"/>
      <c r="W74" s="1"/>
    </row>
    <row r="75" spans="1:23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70"/>
      <c r="N75" s="1"/>
      <c r="O75" s="1"/>
      <c r="P75" s="1"/>
      <c r="Q75" s="1"/>
      <c r="R75" s="1"/>
      <c r="S75" s="1"/>
      <c r="T75" s="116"/>
      <c r="U75" s="1"/>
      <c r="V75" s="1"/>
      <c r="W75" s="1"/>
    </row>
    <row r="76" spans="1:23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70"/>
      <c r="N76" s="1"/>
      <c r="O76" s="1"/>
      <c r="P76" s="1"/>
      <c r="Q76" s="1"/>
      <c r="R76" s="1"/>
      <c r="S76" s="1"/>
      <c r="T76" s="112"/>
      <c r="U76" s="1"/>
      <c r="V76" s="1"/>
      <c r="W76" s="1"/>
    </row>
    <row r="77" spans="1:2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70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0">
    <mergeCell ref="R8:R11"/>
    <mergeCell ref="N9:O9"/>
    <mergeCell ref="P9:Q9"/>
    <mergeCell ref="N10:N11"/>
    <mergeCell ref="O10:O11"/>
    <mergeCell ref="M10:M11"/>
    <mergeCell ref="P10:P11"/>
    <mergeCell ref="Q10:Q11"/>
    <mergeCell ref="N8:O8"/>
    <mergeCell ref="P8:Q8"/>
    <mergeCell ref="H10:H11"/>
    <mergeCell ref="I10:I11"/>
    <mergeCell ref="J10:J11"/>
    <mergeCell ref="K10:K11"/>
    <mergeCell ref="L10:L11"/>
    <mergeCell ref="N68:O68"/>
    <mergeCell ref="N70:O70"/>
    <mergeCell ref="T72:T73"/>
    <mergeCell ref="T75:T76"/>
    <mergeCell ref="A68:C68"/>
    <mergeCell ref="D68:E68"/>
    <mergeCell ref="F68:G68"/>
    <mergeCell ref="H68:I68"/>
    <mergeCell ref="J68:K68"/>
    <mergeCell ref="L68:M68"/>
    <mergeCell ref="P68:Q68"/>
    <mergeCell ref="A71:E71"/>
    <mergeCell ref="G71:M71"/>
    <mergeCell ref="P71:R71"/>
    <mergeCell ref="A8:B10"/>
    <mergeCell ref="D8:E8"/>
    <mergeCell ref="L9:M9"/>
    <mergeCell ref="D9:E9"/>
    <mergeCell ref="F9:G9"/>
    <mergeCell ref="C10:C11"/>
    <mergeCell ref="D10:D11"/>
    <mergeCell ref="E10:E11"/>
    <mergeCell ref="F10:F11"/>
    <mergeCell ref="G10:G11"/>
    <mergeCell ref="F8:G8"/>
    <mergeCell ref="H8:I8"/>
    <mergeCell ref="J8:K8"/>
    <mergeCell ref="L8:M8"/>
    <mergeCell ref="H9:I9"/>
    <mergeCell ref="J9:K9"/>
    <mergeCell ref="A2:Q2"/>
    <mergeCell ref="A3:Q3"/>
    <mergeCell ref="A4:Q4"/>
    <mergeCell ref="J6:L6"/>
    <mergeCell ref="P6:Q6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8"/>
  <sheetViews>
    <sheetView workbookViewId="0"/>
  </sheetViews>
  <sheetFormatPr defaultColWidth="12.5703125" defaultRowHeight="15" customHeight="1"/>
  <cols>
    <col min="1" max="1" width="5.5703125" customWidth="1"/>
    <col min="3" max="3" width="30.42578125" customWidth="1"/>
    <col min="4" max="4" width="16.42578125" customWidth="1"/>
    <col min="5" max="5" width="45.42578125" customWidth="1"/>
    <col min="6" max="6" width="15.85546875" customWidth="1"/>
  </cols>
  <sheetData>
    <row r="1" spans="1:6" ht="15" customHeight="1">
      <c r="A1" s="73"/>
      <c r="B1" s="74"/>
      <c r="C1" s="75" t="s">
        <v>196</v>
      </c>
      <c r="D1" s="75"/>
      <c r="E1" s="75"/>
      <c r="F1" s="75"/>
    </row>
    <row r="2" spans="1:6" ht="15" customHeight="1">
      <c r="A2" s="76" t="s">
        <v>8</v>
      </c>
      <c r="B2" s="77" t="s">
        <v>51</v>
      </c>
      <c r="C2" s="78" t="s">
        <v>188</v>
      </c>
      <c r="D2" s="78" t="s">
        <v>197</v>
      </c>
      <c r="E2" s="78" t="s">
        <v>198</v>
      </c>
      <c r="F2" s="78" t="s">
        <v>199</v>
      </c>
    </row>
    <row r="3" spans="1:6">
      <c r="A3" s="79">
        <v>1</v>
      </c>
      <c r="B3" s="80" t="s">
        <v>56</v>
      </c>
      <c r="C3" s="81" t="s">
        <v>57</v>
      </c>
      <c r="D3" s="82"/>
      <c r="E3" s="82"/>
      <c r="F3" s="82"/>
    </row>
    <row r="4" spans="1:6">
      <c r="A4" s="83">
        <v>2</v>
      </c>
      <c r="B4" s="80" t="s">
        <v>59</v>
      </c>
      <c r="C4" s="81" t="s">
        <v>60</v>
      </c>
      <c r="D4" s="82"/>
      <c r="E4" s="82"/>
      <c r="F4" s="82"/>
    </row>
    <row r="5" spans="1:6">
      <c r="A5" s="79">
        <v>3</v>
      </c>
      <c r="B5" s="80" t="s">
        <v>61</v>
      </c>
      <c r="C5" s="81" t="s">
        <v>62</v>
      </c>
      <c r="D5" s="82"/>
      <c r="E5" s="82"/>
      <c r="F5" s="82"/>
    </row>
    <row r="6" spans="1:6">
      <c r="A6" s="83">
        <v>4</v>
      </c>
      <c r="B6" s="80" t="s">
        <v>63</v>
      </c>
      <c r="C6" s="81" t="s">
        <v>64</v>
      </c>
      <c r="D6" s="82"/>
      <c r="E6" s="82"/>
      <c r="F6" s="82"/>
    </row>
    <row r="7" spans="1:6">
      <c r="A7" s="79">
        <v>5</v>
      </c>
      <c r="B7" s="80" t="s">
        <v>65</v>
      </c>
      <c r="C7" s="81" t="s">
        <v>66</v>
      </c>
      <c r="D7" s="84" t="s">
        <v>200</v>
      </c>
      <c r="E7" s="82"/>
      <c r="F7" s="82"/>
    </row>
    <row r="8" spans="1:6">
      <c r="A8" s="83">
        <v>6</v>
      </c>
      <c r="B8" s="80" t="s">
        <v>67</v>
      </c>
      <c r="C8" s="81" t="s">
        <v>68</v>
      </c>
      <c r="D8" s="82"/>
      <c r="E8" s="82"/>
      <c r="F8" s="82"/>
    </row>
    <row r="9" spans="1:6">
      <c r="A9" s="79">
        <v>7</v>
      </c>
      <c r="B9" s="80" t="s">
        <v>69</v>
      </c>
      <c r="C9" s="81" t="s">
        <v>70</v>
      </c>
      <c r="D9" s="82"/>
      <c r="E9" s="82"/>
      <c r="F9" s="82"/>
    </row>
    <row r="10" spans="1:6">
      <c r="A10" s="83">
        <v>8</v>
      </c>
      <c r="B10" s="80" t="s">
        <v>71</v>
      </c>
      <c r="C10" s="81" t="s">
        <v>72</v>
      </c>
      <c r="D10" s="82"/>
      <c r="E10" s="82"/>
      <c r="F10" s="82"/>
    </row>
    <row r="11" spans="1:6">
      <c r="A11" s="79">
        <v>9</v>
      </c>
      <c r="B11" s="80" t="s">
        <v>73</v>
      </c>
      <c r="C11" s="81" t="s">
        <v>74</v>
      </c>
      <c r="D11" s="82"/>
      <c r="E11" s="82"/>
      <c r="F11" s="82"/>
    </row>
    <row r="12" spans="1:6">
      <c r="A12" s="83">
        <v>10</v>
      </c>
      <c r="B12" s="80" t="s">
        <v>75</v>
      </c>
      <c r="C12" s="81" t="s">
        <v>76</v>
      </c>
      <c r="D12" s="82"/>
      <c r="E12" s="82"/>
      <c r="F12" s="82"/>
    </row>
    <row r="13" spans="1:6">
      <c r="A13" s="79">
        <v>11</v>
      </c>
      <c r="B13" s="80" t="s">
        <v>77</v>
      </c>
      <c r="C13" s="81" t="s">
        <v>78</v>
      </c>
      <c r="D13" s="82"/>
      <c r="E13" s="82"/>
      <c r="F13" s="82"/>
    </row>
    <row r="14" spans="1:6">
      <c r="A14" s="83">
        <v>12</v>
      </c>
      <c r="B14" s="80" t="s">
        <v>79</v>
      </c>
      <c r="C14" s="81" t="s">
        <v>80</v>
      </c>
      <c r="D14" s="82"/>
      <c r="E14" s="82"/>
      <c r="F14" s="82"/>
    </row>
    <row r="15" spans="1:6">
      <c r="A15" s="79">
        <v>13</v>
      </c>
      <c r="B15" s="80" t="s">
        <v>81</v>
      </c>
      <c r="C15" s="81" t="s">
        <v>82</v>
      </c>
      <c r="D15" s="82"/>
      <c r="E15" s="82"/>
      <c r="F15" s="82"/>
    </row>
    <row r="16" spans="1:6">
      <c r="A16" s="83">
        <v>14</v>
      </c>
      <c r="B16" s="80" t="s">
        <v>83</v>
      </c>
      <c r="C16" s="81" t="s">
        <v>84</v>
      </c>
      <c r="D16" s="82"/>
      <c r="E16" s="82"/>
      <c r="F16" s="82"/>
    </row>
    <row r="17" spans="1:6">
      <c r="A17" s="79">
        <v>15</v>
      </c>
      <c r="B17" s="80" t="s">
        <v>85</v>
      </c>
      <c r="C17" s="81" t="s">
        <v>86</v>
      </c>
      <c r="D17" s="82"/>
      <c r="E17" s="82"/>
      <c r="F17" s="82"/>
    </row>
    <row r="18" spans="1:6">
      <c r="A18" s="83">
        <v>16</v>
      </c>
      <c r="B18" s="80" t="s">
        <v>87</v>
      </c>
      <c r="C18" s="81" t="s">
        <v>88</v>
      </c>
      <c r="D18" s="82"/>
      <c r="E18" s="82"/>
      <c r="F18" s="82"/>
    </row>
    <row r="19" spans="1:6">
      <c r="A19" s="79">
        <v>17</v>
      </c>
      <c r="B19" s="80" t="s">
        <v>89</v>
      </c>
      <c r="C19" s="81" t="s">
        <v>90</v>
      </c>
      <c r="D19" s="82"/>
      <c r="E19" s="82"/>
      <c r="F19" s="82"/>
    </row>
    <row r="20" spans="1:6">
      <c r="A20" s="83">
        <v>18</v>
      </c>
      <c r="B20" s="80" t="s">
        <v>91</v>
      </c>
      <c r="C20" s="81" t="s">
        <v>92</v>
      </c>
      <c r="D20" s="82"/>
      <c r="E20" s="82"/>
      <c r="F20" s="82"/>
    </row>
    <row r="21" spans="1:6">
      <c r="A21" s="79">
        <v>19</v>
      </c>
      <c r="B21" s="80" t="s">
        <v>93</v>
      </c>
      <c r="C21" s="81" t="s">
        <v>94</v>
      </c>
      <c r="D21" s="82"/>
      <c r="E21" s="82"/>
      <c r="F21" s="82"/>
    </row>
    <row r="22" spans="1:6">
      <c r="A22" s="83">
        <v>20</v>
      </c>
      <c r="B22" s="80" t="s">
        <v>95</v>
      </c>
      <c r="C22" s="81" t="s">
        <v>96</v>
      </c>
      <c r="D22" s="82"/>
      <c r="E22" s="82"/>
      <c r="F22" s="82"/>
    </row>
    <row r="23" spans="1:6">
      <c r="A23" s="79">
        <v>21</v>
      </c>
      <c r="B23" s="80" t="s">
        <v>97</v>
      </c>
      <c r="C23" s="81" t="s">
        <v>98</v>
      </c>
      <c r="D23" s="82"/>
      <c r="E23" s="82"/>
      <c r="F23" s="82"/>
    </row>
    <row r="24" spans="1:6">
      <c r="A24" s="83">
        <v>22</v>
      </c>
      <c r="B24" s="80" t="s">
        <v>99</v>
      </c>
      <c r="C24" s="81" t="s">
        <v>100</v>
      </c>
      <c r="D24" s="82"/>
      <c r="E24" s="82"/>
      <c r="F24" s="82"/>
    </row>
    <row r="25" spans="1:6">
      <c r="A25" s="79">
        <v>23</v>
      </c>
      <c r="B25" s="80" t="s">
        <v>101</v>
      </c>
      <c r="C25" s="81" t="s">
        <v>102</v>
      </c>
      <c r="D25" s="82"/>
      <c r="E25" s="82"/>
      <c r="F25" s="82"/>
    </row>
    <row r="26" spans="1:6">
      <c r="A26" s="83">
        <v>24</v>
      </c>
      <c r="B26" s="80" t="s">
        <v>103</v>
      </c>
      <c r="C26" s="81" t="s">
        <v>104</v>
      </c>
      <c r="D26" s="82"/>
      <c r="E26" s="82"/>
      <c r="F26" s="82"/>
    </row>
    <row r="27" spans="1:6">
      <c r="A27" s="79">
        <v>25</v>
      </c>
      <c r="B27" s="80" t="s">
        <v>105</v>
      </c>
      <c r="C27" s="81" t="s">
        <v>106</v>
      </c>
      <c r="D27" s="82"/>
      <c r="E27" s="82"/>
      <c r="F27" s="82"/>
    </row>
    <row r="28" spans="1:6">
      <c r="A28" s="83">
        <v>26</v>
      </c>
      <c r="B28" s="80" t="s">
        <v>108</v>
      </c>
      <c r="C28" s="81" t="s">
        <v>109</v>
      </c>
      <c r="D28" s="82"/>
      <c r="E28" s="82"/>
      <c r="F28" s="82"/>
    </row>
    <row r="29" spans="1:6">
      <c r="A29" s="79">
        <v>27</v>
      </c>
      <c r="B29" s="80" t="s">
        <v>110</v>
      </c>
      <c r="C29" s="81" t="s">
        <v>111</v>
      </c>
      <c r="D29" s="82"/>
      <c r="E29" s="82"/>
      <c r="F29" s="84" t="s">
        <v>201</v>
      </c>
    </row>
    <row r="30" spans="1:6">
      <c r="A30" s="83">
        <v>28</v>
      </c>
      <c r="B30" s="80" t="s">
        <v>112</v>
      </c>
      <c r="C30" s="81" t="s">
        <v>113</v>
      </c>
      <c r="D30" s="82"/>
      <c r="E30" s="84" t="s">
        <v>202</v>
      </c>
      <c r="F30" s="82"/>
    </row>
    <row r="31" spans="1:6">
      <c r="A31" s="79">
        <v>29</v>
      </c>
      <c r="B31" s="80" t="s">
        <v>114</v>
      </c>
      <c r="C31" s="81" t="s">
        <v>115</v>
      </c>
      <c r="D31" s="82"/>
      <c r="E31" s="82"/>
      <c r="F31" s="82"/>
    </row>
    <row r="32" spans="1:6">
      <c r="A32" s="83">
        <v>30</v>
      </c>
      <c r="B32" s="80" t="s">
        <v>116</v>
      </c>
      <c r="C32" s="81" t="s">
        <v>117</v>
      </c>
      <c r="D32" s="82"/>
      <c r="E32" s="82"/>
      <c r="F32" s="82"/>
    </row>
    <row r="33" spans="1:6">
      <c r="A33" s="79">
        <v>31</v>
      </c>
      <c r="B33" s="80" t="s">
        <v>118</v>
      </c>
      <c r="C33" s="81" t="s">
        <v>119</v>
      </c>
      <c r="D33" s="82"/>
      <c r="E33" s="82"/>
      <c r="F33" s="82"/>
    </row>
    <row r="34" spans="1:6">
      <c r="A34" s="83">
        <v>32</v>
      </c>
      <c r="B34" s="80" t="s">
        <v>120</v>
      </c>
      <c r="C34" s="81" t="s">
        <v>121</v>
      </c>
      <c r="D34" s="82"/>
      <c r="E34" s="82"/>
      <c r="F34" s="82"/>
    </row>
    <row r="35" spans="1:6">
      <c r="A35" s="79">
        <v>33</v>
      </c>
      <c r="B35" s="80" t="s">
        <v>122</v>
      </c>
      <c r="C35" s="81" t="s">
        <v>123</v>
      </c>
      <c r="D35" s="82"/>
      <c r="E35" s="82"/>
      <c r="F35" s="82"/>
    </row>
    <row r="36" spans="1:6">
      <c r="A36" s="83">
        <v>34</v>
      </c>
      <c r="B36" s="80" t="s">
        <v>124</v>
      </c>
      <c r="C36" s="81" t="s">
        <v>125</v>
      </c>
      <c r="D36" s="82"/>
      <c r="E36" s="82"/>
      <c r="F36" s="82"/>
    </row>
    <row r="37" spans="1:6">
      <c r="A37" s="79">
        <v>35</v>
      </c>
      <c r="B37" s="80" t="s">
        <v>126</v>
      </c>
      <c r="C37" s="81" t="s">
        <v>127</v>
      </c>
      <c r="D37" s="82"/>
      <c r="E37" s="82"/>
      <c r="F37" s="82"/>
    </row>
    <row r="38" spans="1:6">
      <c r="A38" s="83">
        <v>36</v>
      </c>
      <c r="B38" s="80" t="s">
        <v>128</v>
      </c>
      <c r="C38" s="81" t="s">
        <v>129</v>
      </c>
      <c r="D38" s="82"/>
      <c r="E38" s="82"/>
      <c r="F38" s="82"/>
    </row>
    <row r="39" spans="1:6">
      <c r="A39" s="79">
        <v>37</v>
      </c>
      <c r="B39" s="80" t="s">
        <v>130</v>
      </c>
      <c r="C39" s="81" t="s">
        <v>131</v>
      </c>
      <c r="D39" s="82"/>
      <c r="E39" s="82"/>
      <c r="F39" s="82"/>
    </row>
    <row r="40" spans="1:6">
      <c r="A40" s="83">
        <v>38</v>
      </c>
      <c r="B40" s="80" t="s">
        <v>132</v>
      </c>
      <c r="C40" s="81" t="s">
        <v>133</v>
      </c>
      <c r="D40" s="82"/>
      <c r="E40" s="82"/>
      <c r="F40" s="82"/>
    </row>
    <row r="41" spans="1:6">
      <c r="A41" s="79">
        <v>39</v>
      </c>
      <c r="B41" s="80" t="s">
        <v>134</v>
      </c>
      <c r="C41" s="81" t="s">
        <v>135</v>
      </c>
      <c r="D41" s="84" t="s">
        <v>203</v>
      </c>
      <c r="E41" s="82"/>
      <c r="F41" s="82"/>
    </row>
    <row r="42" spans="1:6">
      <c r="A42" s="83">
        <v>40</v>
      </c>
      <c r="B42" s="80" t="s">
        <v>136</v>
      </c>
      <c r="C42" s="81" t="s">
        <v>137</v>
      </c>
      <c r="D42" s="82"/>
      <c r="E42" s="82"/>
      <c r="F42" s="82"/>
    </row>
    <row r="43" spans="1:6">
      <c r="A43" s="79">
        <v>41</v>
      </c>
      <c r="B43" s="80" t="s">
        <v>138</v>
      </c>
      <c r="C43" s="81" t="s">
        <v>139</v>
      </c>
      <c r="D43" s="82"/>
      <c r="E43" s="82"/>
      <c r="F43" s="82"/>
    </row>
    <row r="44" spans="1:6">
      <c r="A44" s="83">
        <v>42</v>
      </c>
      <c r="B44" s="80" t="s">
        <v>140</v>
      </c>
      <c r="C44" s="81" t="s">
        <v>141</v>
      </c>
      <c r="D44" s="82"/>
      <c r="E44" s="84" t="s">
        <v>204</v>
      </c>
      <c r="F44" s="82"/>
    </row>
    <row r="45" spans="1:6">
      <c r="A45" s="79">
        <v>43</v>
      </c>
      <c r="B45" s="80" t="s">
        <v>142</v>
      </c>
      <c r="C45" s="81" t="s">
        <v>143</v>
      </c>
      <c r="D45" s="82"/>
      <c r="E45" s="82"/>
      <c r="F45" s="82"/>
    </row>
    <row r="46" spans="1:6">
      <c r="A46" s="83">
        <v>44</v>
      </c>
      <c r="B46" s="80" t="s">
        <v>144</v>
      </c>
      <c r="C46" s="81" t="s">
        <v>145</v>
      </c>
      <c r="D46" s="82"/>
      <c r="E46" s="82"/>
      <c r="F46" s="82"/>
    </row>
    <row r="47" spans="1:6">
      <c r="A47" s="79">
        <v>45</v>
      </c>
      <c r="B47" s="80" t="s">
        <v>146</v>
      </c>
      <c r="C47" s="81" t="s">
        <v>147</v>
      </c>
      <c r="D47" s="82"/>
      <c r="E47" s="82"/>
      <c r="F47" s="82"/>
    </row>
    <row r="48" spans="1:6">
      <c r="A48" s="83">
        <v>46</v>
      </c>
      <c r="B48" s="80" t="s">
        <v>148</v>
      </c>
      <c r="C48" s="81" t="s">
        <v>149</v>
      </c>
      <c r="D48" s="82"/>
      <c r="E48" s="82"/>
      <c r="F48" s="82"/>
    </row>
    <row r="49" spans="1:6">
      <c r="A49" s="79">
        <v>47</v>
      </c>
      <c r="B49" s="80" t="s">
        <v>150</v>
      </c>
      <c r="C49" s="81" t="s">
        <v>151</v>
      </c>
      <c r="D49" s="82"/>
      <c r="E49" s="82"/>
      <c r="F49" s="82"/>
    </row>
    <row r="50" spans="1:6">
      <c r="A50" s="83">
        <v>48</v>
      </c>
      <c r="B50" s="80" t="s">
        <v>152</v>
      </c>
      <c r="C50" s="81" t="s">
        <v>153</v>
      </c>
      <c r="D50" s="82"/>
      <c r="E50" s="82"/>
      <c r="F50" s="82"/>
    </row>
    <row r="51" spans="1:6">
      <c r="A51" s="79">
        <v>49</v>
      </c>
      <c r="B51" s="80" t="s">
        <v>154</v>
      </c>
      <c r="C51" s="81" t="s">
        <v>155</v>
      </c>
      <c r="D51" s="82"/>
      <c r="E51" s="82"/>
      <c r="F51" s="82"/>
    </row>
    <row r="52" spans="1:6">
      <c r="A52" s="83">
        <v>50</v>
      </c>
      <c r="B52" s="80" t="s">
        <v>158</v>
      </c>
      <c r="C52" s="81" t="s">
        <v>159</v>
      </c>
      <c r="D52" s="84" t="s">
        <v>205</v>
      </c>
      <c r="E52" s="82"/>
      <c r="F52" s="82"/>
    </row>
    <row r="53" spans="1:6">
      <c r="A53" s="79">
        <v>51</v>
      </c>
      <c r="B53" s="80" t="s">
        <v>160</v>
      </c>
      <c r="C53" s="81" t="s">
        <v>161</v>
      </c>
      <c r="D53" s="82"/>
      <c r="E53" s="82"/>
      <c r="F53" s="82"/>
    </row>
    <row r="54" spans="1:6">
      <c r="A54" s="83">
        <v>52</v>
      </c>
      <c r="B54" s="80" t="s">
        <v>163</v>
      </c>
      <c r="C54" s="81" t="s">
        <v>164</v>
      </c>
      <c r="D54" s="82"/>
      <c r="E54" s="82"/>
      <c r="F54" s="82"/>
    </row>
    <row r="55" spans="1:6">
      <c r="A55" s="79">
        <v>53</v>
      </c>
      <c r="B55" s="80" t="s">
        <v>166</v>
      </c>
      <c r="C55" s="81" t="s">
        <v>167</v>
      </c>
      <c r="D55" s="82"/>
      <c r="E55" s="82"/>
      <c r="F55" s="82"/>
    </row>
    <row r="56" spans="1:6">
      <c r="A56" s="83">
        <v>54</v>
      </c>
      <c r="B56" s="80" t="s">
        <v>169</v>
      </c>
      <c r="C56" s="81" t="s">
        <v>170</v>
      </c>
      <c r="D56" s="82"/>
      <c r="E56" s="82"/>
      <c r="F56" s="82"/>
    </row>
    <row r="57" spans="1:6">
      <c r="A57" s="79">
        <v>55</v>
      </c>
      <c r="B57" s="80" t="s">
        <v>172</v>
      </c>
      <c r="C57" s="81" t="s">
        <v>173</v>
      </c>
      <c r="D57" s="82"/>
      <c r="E57" s="82"/>
      <c r="F57" s="82"/>
    </row>
    <row r="58" spans="1:6">
      <c r="A58" s="83">
        <v>56</v>
      </c>
      <c r="B58" s="80" t="s">
        <v>175</v>
      </c>
      <c r="C58" s="81" t="s">
        <v>176</v>
      </c>
      <c r="D58" s="82"/>
      <c r="E58" s="82"/>
      <c r="F58" s="8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S985"/>
  <sheetViews>
    <sheetView tabSelected="1" view="pageBreakPreview" zoomScale="130" zoomScaleNormal="130" zoomScaleSheetLayoutView="130" workbookViewId="0">
      <selection activeCell="J5" sqref="J5"/>
    </sheetView>
  </sheetViews>
  <sheetFormatPr defaultColWidth="12.5703125" defaultRowHeight="15" customHeight="1"/>
  <cols>
    <col min="1" max="1" width="5.42578125" bestFit="1" customWidth="1"/>
    <col min="2" max="2" width="13.140625" customWidth="1"/>
    <col min="3" max="3" width="22.28515625" customWidth="1"/>
    <col min="4" max="4" width="11.7109375" bestFit="1" customWidth="1"/>
    <col min="5" max="5" width="10.42578125" bestFit="1" customWidth="1"/>
    <col min="6" max="6" width="10.7109375" customWidth="1"/>
    <col min="7" max="7" width="11.28515625" customWidth="1"/>
    <col min="8" max="8" width="10.7109375" customWidth="1"/>
    <col min="9" max="9" width="10.28515625" style="107" customWidth="1"/>
  </cols>
  <sheetData>
    <row r="1" spans="1:19" s="89" customFormat="1" ht="15" customHeight="1">
      <c r="A1" s="149"/>
      <c r="B1" s="149"/>
      <c r="C1" s="149"/>
      <c r="D1" s="149"/>
      <c r="E1" s="149"/>
      <c r="F1" s="149"/>
      <c r="G1" s="148" t="s">
        <v>223</v>
      </c>
      <c r="H1" s="149"/>
      <c r="I1" s="149"/>
      <c r="J1" s="149"/>
    </row>
    <row r="2" spans="1:19" ht="15.75" customHeight="1">
      <c r="A2" s="154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4"/>
      <c r="L2" s="4"/>
      <c r="M2" s="4"/>
      <c r="N2" s="4"/>
      <c r="O2" s="4"/>
      <c r="P2" s="4"/>
      <c r="Q2" s="4"/>
      <c r="R2" s="4"/>
      <c r="S2" s="4"/>
    </row>
    <row r="3" spans="1:19" ht="15.75" customHeight="1">
      <c r="A3" s="154" t="s">
        <v>45</v>
      </c>
      <c r="B3" s="155"/>
      <c r="C3" s="155"/>
      <c r="D3" s="155"/>
      <c r="E3" s="155"/>
      <c r="F3" s="155"/>
      <c r="G3" s="155"/>
      <c r="H3" s="155"/>
      <c r="I3" s="155"/>
      <c r="J3" s="155"/>
      <c r="K3" s="4"/>
      <c r="L3" s="4"/>
      <c r="M3" s="4"/>
      <c r="N3" s="4"/>
      <c r="O3" s="4"/>
      <c r="P3" s="4"/>
      <c r="Q3" s="4"/>
      <c r="R3" s="4"/>
      <c r="S3" s="4"/>
    </row>
    <row r="4" spans="1:19" ht="15.75" customHeight="1">
      <c r="A4" s="154" t="s">
        <v>206</v>
      </c>
      <c r="B4" s="155"/>
      <c r="C4" s="155"/>
      <c r="D4" s="155"/>
      <c r="E4" s="155"/>
      <c r="F4" s="155"/>
      <c r="G4" s="155"/>
      <c r="H4" s="155"/>
      <c r="I4" s="155"/>
      <c r="J4" s="155"/>
      <c r="K4" s="4"/>
      <c r="L4" s="4"/>
      <c r="M4" s="4"/>
      <c r="N4" s="4"/>
      <c r="O4" s="4"/>
      <c r="P4" s="4"/>
      <c r="Q4" s="4"/>
      <c r="R4" s="4"/>
      <c r="S4" s="4"/>
    </row>
    <row r="5" spans="1:19" ht="15.75" customHeight="1">
      <c r="A5" s="96"/>
      <c r="B5" s="96"/>
      <c r="C5" s="150" t="s">
        <v>243</v>
      </c>
      <c r="D5" s="150"/>
      <c r="E5" s="151" t="s">
        <v>244</v>
      </c>
      <c r="F5" s="151"/>
      <c r="G5" s="97" t="s">
        <v>49</v>
      </c>
      <c r="H5" s="98" t="s">
        <v>50</v>
      </c>
      <c r="I5" s="98"/>
      <c r="J5" s="96"/>
      <c r="K5" s="4"/>
      <c r="L5" s="4"/>
      <c r="M5" s="4"/>
      <c r="N5" s="4"/>
      <c r="O5" s="4"/>
      <c r="P5" s="4"/>
      <c r="Q5" s="4"/>
      <c r="R5" s="4"/>
      <c r="S5" s="4"/>
    </row>
    <row r="6" spans="1:19" ht="15.75" customHeight="1">
      <c r="A6" s="162"/>
      <c r="B6" s="162"/>
      <c r="C6" s="162"/>
      <c r="D6" s="162"/>
      <c r="E6" s="162"/>
      <c r="F6" s="162"/>
      <c r="G6" s="162"/>
      <c r="H6" s="162"/>
      <c r="I6" s="162"/>
      <c r="J6" s="162"/>
      <c r="K6" s="4"/>
      <c r="L6" s="4"/>
      <c r="M6" s="4"/>
      <c r="N6" s="4"/>
      <c r="O6" s="4"/>
      <c r="P6" s="4"/>
      <c r="Q6" s="4"/>
      <c r="R6" s="4"/>
      <c r="S6" s="4"/>
    </row>
    <row r="7" spans="1:19" ht="15.75" customHeight="1">
      <c r="A7" s="96"/>
      <c r="B7" s="96"/>
      <c r="C7" s="102" t="s">
        <v>186</v>
      </c>
      <c r="D7" s="166" t="s">
        <v>224</v>
      </c>
      <c r="E7" s="166" t="s">
        <v>225</v>
      </c>
      <c r="F7" s="166" t="s">
        <v>226</v>
      </c>
      <c r="G7" s="166" t="s">
        <v>227</v>
      </c>
      <c r="H7" s="166" t="s">
        <v>228</v>
      </c>
      <c r="I7" s="166" t="s">
        <v>229</v>
      </c>
      <c r="J7" s="96"/>
      <c r="K7" s="4"/>
      <c r="L7" s="4"/>
      <c r="M7" s="4"/>
      <c r="N7" s="4"/>
      <c r="O7" s="4"/>
      <c r="P7" s="4"/>
      <c r="Q7" s="4"/>
      <c r="R7" s="4"/>
      <c r="S7" s="4"/>
    </row>
    <row r="8" spans="1:19" ht="30" customHeight="1">
      <c r="A8" s="156" t="s">
        <v>8</v>
      </c>
      <c r="B8" s="157" t="s">
        <v>51</v>
      </c>
      <c r="C8" s="85" t="s">
        <v>208</v>
      </c>
      <c r="D8" s="170" t="s">
        <v>230</v>
      </c>
      <c r="E8" s="169" t="s">
        <v>231</v>
      </c>
      <c r="F8" s="170" t="s">
        <v>232</v>
      </c>
      <c r="G8" s="170" t="s">
        <v>233</v>
      </c>
      <c r="H8" s="170" t="s">
        <v>234</v>
      </c>
      <c r="I8" s="170" t="s">
        <v>235</v>
      </c>
      <c r="J8" s="158" t="s">
        <v>214</v>
      </c>
      <c r="K8" s="4"/>
      <c r="L8" s="4"/>
      <c r="M8" s="4"/>
      <c r="N8" s="4"/>
      <c r="O8" s="4"/>
      <c r="P8" s="4"/>
      <c r="Q8" s="4"/>
      <c r="R8" s="4"/>
      <c r="S8" s="4"/>
    </row>
    <row r="9" spans="1:19" ht="15.75" customHeight="1">
      <c r="A9" s="127"/>
      <c r="B9" s="127"/>
      <c r="C9" s="87" t="s">
        <v>215</v>
      </c>
      <c r="D9" s="167" t="s">
        <v>236</v>
      </c>
      <c r="E9" s="167" t="s">
        <v>236</v>
      </c>
      <c r="F9" s="167" t="s">
        <v>236</v>
      </c>
      <c r="G9" s="167" t="s">
        <v>236</v>
      </c>
      <c r="H9" s="167" t="s">
        <v>236</v>
      </c>
      <c r="I9" s="167" t="s">
        <v>236</v>
      </c>
      <c r="J9" s="137"/>
      <c r="K9" s="4"/>
      <c r="L9" s="4"/>
      <c r="M9" s="4"/>
      <c r="N9" s="4"/>
      <c r="O9" s="4"/>
      <c r="P9" s="4"/>
      <c r="Q9" s="4"/>
      <c r="R9" s="4"/>
      <c r="S9" s="4"/>
    </row>
    <row r="10" spans="1:19" ht="15.75" customHeight="1">
      <c r="A10" s="127"/>
      <c r="B10" s="127"/>
      <c r="C10" s="90" t="s">
        <v>188</v>
      </c>
      <c r="D10" s="168"/>
      <c r="E10" s="168"/>
      <c r="F10" s="168"/>
      <c r="G10" s="168"/>
      <c r="H10" s="168"/>
      <c r="I10" s="168"/>
      <c r="J10" s="137"/>
      <c r="K10" s="4"/>
      <c r="L10" s="4"/>
      <c r="M10" s="4"/>
      <c r="N10" s="4"/>
      <c r="O10" s="4"/>
      <c r="P10" s="4"/>
      <c r="Q10" s="4"/>
      <c r="R10" s="4"/>
      <c r="S10" s="4"/>
    </row>
    <row r="11" spans="1:19" ht="18" customHeight="1">
      <c r="A11" s="91">
        <v>1</v>
      </c>
      <c r="B11" s="92" t="s">
        <v>56</v>
      </c>
      <c r="C11" s="92" t="s">
        <v>57</v>
      </c>
      <c r="D11" s="28">
        <v>49</v>
      </c>
      <c r="E11" s="171">
        <v>45</v>
      </c>
      <c r="F11" s="28">
        <v>40</v>
      </c>
      <c r="G11" s="28">
        <v>41</v>
      </c>
      <c r="H11" s="28">
        <v>42</v>
      </c>
      <c r="I11" s="172">
        <v>32</v>
      </c>
      <c r="J11" s="173">
        <v>0</v>
      </c>
      <c r="K11" s="4"/>
      <c r="L11" s="88"/>
      <c r="M11" s="88"/>
      <c r="N11" s="4"/>
      <c r="O11" s="4"/>
      <c r="P11" s="4"/>
      <c r="Q11" s="4"/>
      <c r="R11" s="4"/>
      <c r="S11" s="4"/>
    </row>
    <row r="12" spans="1:19" ht="18" customHeight="1">
      <c r="A12" s="91">
        <v>2</v>
      </c>
      <c r="B12" s="92" t="s">
        <v>59</v>
      </c>
      <c r="C12" s="92" t="s">
        <v>60</v>
      </c>
      <c r="D12" s="28">
        <v>25</v>
      </c>
      <c r="E12" s="171">
        <v>29</v>
      </c>
      <c r="F12" s="19">
        <v>36</v>
      </c>
      <c r="G12" s="28">
        <v>26</v>
      </c>
      <c r="H12" s="28">
        <v>47</v>
      </c>
      <c r="I12" s="172">
        <v>12</v>
      </c>
      <c r="J12" s="173">
        <v>1</v>
      </c>
      <c r="K12" s="4"/>
      <c r="L12" s="88"/>
      <c r="M12" s="88"/>
      <c r="N12" s="4"/>
      <c r="O12" s="4"/>
      <c r="P12" s="4"/>
      <c r="Q12" s="4"/>
      <c r="R12" s="4"/>
      <c r="S12" s="4"/>
    </row>
    <row r="13" spans="1:19" ht="18" customHeight="1">
      <c r="A13" s="91">
        <v>3</v>
      </c>
      <c r="B13" s="92" t="s">
        <v>61</v>
      </c>
      <c r="C13" s="92" t="s">
        <v>62</v>
      </c>
      <c r="D13" s="28" t="s">
        <v>216</v>
      </c>
      <c r="E13" s="171" t="s">
        <v>216</v>
      </c>
      <c r="F13" s="19" t="s">
        <v>216</v>
      </c>
      <c r="G13" s="28" t="s">
        <v>216</v>
      </c>
      <c r="H13" s="28">
        <v>29</v>
      </c>
      <c r="I13" s="172" t="s">
        <v>216</v>
      </c>
      <c r="J13" s="173">
        <v>5</v>
      </c>
      <c r="K13" s="4"/>
      <c r="L13" s="88"/>
      <c r="M13" s="88"/>
      <c r="N13" s="4"/>
      <c r="O13" s="4"/>
      <c r="P13" s="4"/>
      <c r="Q13" s="4"/>
      <c r="R13" s="4"/>
      <c r="S13" s="4"/>
    </row>
    <row r="14" spans="1:19" ht="18" customHeight="1">
      <c r="A14" s="91">
        <v>4</v>
      </c>
      <c r="B14" s="92" t="s">
        <v>63</v>
      </c>
      <c r="C14" s="92" t="s">
        <v>64</v>
      </c>
      <c r="D14" s="28">
        <v>32</v>
      </c>
      <c r="E14" s="171" t="s">
        <v>216</v>
      </c>
      <c r="F14" s="19">
        <v>25</v>
      </c>
      <c r="G14" s="28" t="s">
        <v>216</v>
      </c>
      <c r="H14" s="28">
        <v>40</v>
      </c>
      <c r="I14" s="172">
        <v>29</v>
      </c>
      <c r="J14" s="173">
        <v>2</v>
      </c>
      <c r="K14" s="4"/>
      <c r="L14" s="88"/>
      <c r="M14" s="88"/>
      <c r="N14" s="4"/>
      <c r="O14" s="4"/>
      <c r="P14" s="4"/>
      <c r="Q14" s="4"/>
      <c r="R14" s="4"/>
      <c r="S14" s="4"/>
    </row>
    <row r="15" spans="1:19" ht="18" customHeight="1">
      <c r="A15" s="91">
        <v>5</v>
      </c>
      <c r="B15" s="92" t="s">
        <v>65</v>
      </c>
      <c r="C15" s="92" t="s">
        <v>66</v>
      </c>
      <c r="D15" s="28">
        <v>20</v>
      </c>
      <c r="E15" s="171" t="s">
        <v>216</v>
      </c>
      <c r="F15" s="19">
        <v>25</v>
      </c>
      <c r="G15" s="28" t="s">
        <v>216</v>
      </c>
      <c r="H15" s="28">
        <v>38</v>
      </c>
      <c r="I15" s="172">
        <v>20</v>
      </c>
      <c r="J15" s="173">
        <v>4</v>
      </c>
      <c r="K15" s="4"/>
      <c r="L15" s="88"/>
      <c r="M15" s="88"/>
      <c r="N15" s="4"/>
      <c r="O15" s="4"/>
      <c r="P15" s="4"/>
      <c r="Q15" s="4"/>
      <c r="R15" s="4"/>
      <c r="S15" s="4"/>
    </row>
    <row r="16" spans="1:19" ht="18" customHeight="1">
      <c r="A16" s="91">
        <v>6</v>
      </c>
      <c r="B16" s="92" t="s">
        <v>67</v>
      </c>
      <c r="C16" s="92" t="s">
        <v>68</v>
      </c>
      <c r="D16" s="28">
        <v>28</v>
      </c>
      <c r="E16" s="171">
        <v>26</v>
      </c>
      <c r="F16" s="28">
        <v>35</v>
      </c>
      <c r="G16" s="28">
        <v>46</v>
      </c>
      <c r="H16" s="28">
        <v>31</v>
      </c>
      <c r="I16" s="172">
        <v>20</v>
      </c>
      <c r="J16" s="173">
        <v>1</v>
      </c>
      <c r="K16" s="4"/>
      <c r="L16" s="88"/>
      <c r="M16" s="88"/>
      <c r="N16" s="4"/>
      <c r="O16" s="4"/>
      <c r="P16" s="4"/>
      <c r="Q16" s="4"/>
      <c r="R16" s="4"/>
      <c r="S16" s="4"/>
    </row>
    <row r="17" spans="1:19" ht="18" customHeight="1">
      <c r="A17" s="91">
        <v>7</v>
      </c>
      <c r="B17" s="92" t="s">
        <v>69</v>
      </c>
      <c r="C17" s="92" t="s">
        <v>70</v>
      </c>
      <c r="D17" s="28">
        <v>22</v>
      </c>
      <c r="E17" s="171">
        <v>20</v>
      </c>
      <c r="F17" s="19">
        <v>24</v>
      </c>
      <c r="G17" s="28">
        <v>30</v>
      </c>
      <c r="H17" s="28">
        <v>32</v>
      </c>
      <c r="I17" s="172">
        <v>26</v>
      </c>
      <c r="J17" s="173">
        <v>2</v>
      </c>
      <c r="K17" s="4"/>
      <c r="L17" s="88"/>
      <c r="M17" s="88"/>
      <c r="N17" s="4"/>
      <c r="O17" s="4"/>
      <c r="P17" s="4"/>
      <c r="Q17" s="4"/>
      <c r="R17" s="4"/>
      <c r="S17" s="4"/>
    </row>
    <row r="18" spans="1:19" ht="18" customHeight="1">
      <c r="A18" s="91">
        <v>8</v>
      </c>
      <c r="B18" s="92" t="s">
        <v>71</v>
      </c>
      <c r="C18" s="92" t="s">
        <v>72</v>
      </c>
      <c r="D18" s="28">
        <v>30</v>
      </c>
      <c r="E18" s="171">
        <v>22</v>
      </c>
      <c r="F18" s="19">
        <v>30</v>
      </c>
      <c r="G18" s="28">
        <v>22</v>
      </c>
      <c r="H18" s="28">
        <v>24</v>
      </c>
      <c r="I18" s="172">
        <v>21</v>
      </c>
      <c r="J18" s="173">
        <v>3</v>
      </c>
      <c r="K18" s="4"/>
      <c r="L18" s="88"/>
      <c r="M18" s="88"/>
      <c r="N18" s="4"/>
      <c r="O18" s="4"/>
      <c r="P18" s="4"/>
      <c r="Q18" s="4"/>
      <c r="R18" s="4"/>
      <c r="S18" s="4"/>
    </row>
    <row r="19" spans="1:19" ht="18" customHeight="1">
      <c r="A19" s="91">
        <v>9</v>
      </c>
      <c r="B19" s="92" t="s">
        <v>73</v>
      </c>
      <c r="C19" s="92" t="s">
        <v>74</v>
      </c>
      <c r="D19" s="28">
        <v>38</v>
      </c>
      <c r="E19" s="171">
        <v>37</v>
      </c>
      <c r="F19" s="19">
        <v>38</v>
      </c>
      <c r="G19" s="28">
        <v>14</v>
      </c>
      <c r="H19" s="28">
        <v>37</v>
      </c>
      <c r="I19" s="172">
        <v>21</v>
      </c>
      <c r="J19" s="173">
        <v>2</v>
      </c>
      <c r="K19" s="4"/>
      <c r="L19" s="88"/>
      <c r="M19" s="88"/>
      <c r="N19" s="4"/>
      <c r="O19" s="4"/>
      <c r="P19" s="4"/>
      <c r="Q19" s="4"/>
      <c r="R19" s="4"/>
      <c r="S19" s="4"/>
    </row>
    <row r="20" spans="1:19" ht="18" customHeight="1">
      <c r="A20" s="91">
        <v>10</v>
      </c>
      <c r="B20" s="92" t="s">
        <v>75</v>
      </c>
      <c r="C20" s="92" t="s">
        <v>76</v>
      </c>
      <c r="D20" s="28">
        <v>29</v>
      </c>
      <c r="E20" s="171">
        <v>34</v>
      </c>
      <c r="F20" s="19">
        <v>41</v>
      </c>
      <c r="G20" s="28">
        <v>34</v>
      </c>
      <c r="H20" s="28">
        <v>42</v>
      </c>
      <c r="I20" s="172">
        <v>25</v>
      </c>
      <c r="J20" s="173">
        <v>0</v>
      </c>
      <c r="K20" s="4"/>
      <c r="L20" s="88"/>
      <c r="M20" s="88"/>
      <c r="N20" s="4"/>
      <c r="O20" s="4"/>
      <c r="P20" s="4"/>
      <c r="Q20" s="4"/>
      <c r="R20" s="4"/>
      <c r="S20" s="4"/>
    </row>
    <row r="21" spans="1:19" ht="18" customHeight="1">
      <c r="A21" s="91">
        <v>11</v>
      </c>
      <c r="B21" s="92" t="s">
        <v>77</v>
      </c>
      <c r="C21" s="92" t="s">
        <v>78</v>
      </c>
      <c r="D21" s="28">
        <v>33</v>
      </c>
      <c r="E21" s="171">
        <v>34</v>
      </c>
      <c r="F21" s="19">
        <v>40</v>
      </c>
      <c r="G21" s="28">
        <v>30</v>
      </c>
      <c r="H21" s="28">
        <v>40</v>
      </c>
      <c r="I21" s="172">
        <v>35</v>
      </c>
      <c r="J21" s="173">
        <v>0</v>
      </c>
      <c r="K21" s="4"/>
      <c r="L21" s="88"/>
      <c r="M21" s="88"/>
      <c r="N21" s="4"/>
      <c r="O21" s="4"/>
      <c r="P21" s="4"/>
      <c r="Q21" s="4"/>
      <c r="R21" s="4"/>
      <c r="S21" s="4"/>
    </row>
    <row r="22" spans="1:19" ht="18" customHeight="1">
      <c r="A22" s="91">
        <v>12</v>
      </c>
      <c r="B22" s="92" t="s">
        <v>79</v>
      </c>
      <c r="C22" s="92" t="s">
        <v>80</v>
      </c>
      <c r="D22" s="28">
        <v>35</v>
      </c>
      <c r="E22" s="171">
        <v>37</v>
      </c>
      <c r="F22" s="19">
        <v>42</v>
      </c>
      <c r="G22" s="28">
        <v>30</v>
      </c>
      <c r="H22" s="28">
        <v>46</v>
      </c>
      <c r="I22" s="172">
        <v>18</v>
      </c>
      <c r="J22" s="173">
        <v>1</v>
      </c>
      <c r="K22" s="4"/>
      <c r="L22" s="88"/>
      <c r="M22" s="88"/>
      <c r="N22" s="4"/>
      <c r="O22" s="4"/>
      <c r="P22" s="4"/>
      <c r="Q22" s="4"/>
      <c r="R22" s="4"/>
      <c r="S22" s="4"/>
    </row>
    <row r="23" spans="1:19" ht="18" customHeight="1">
      <c r="A23" s="91">
        <v>13</v>
      </c>
      <c r="B23" s="92" t="s">
        <v>81</v>
      </c>
      <c r="C23" s="92" t="s">
        <v>82</v>
      </c>
      <c r="D23" s="28">
        <v>49</v>
      </c>
      <c r="E23" s="171">
        <v>48</v>
      </c>
      <c r="F23" s="19">
        <v>48</v>
      </c>
      <c r="G23" s="28">
        <v>48</v>
      </c>
      <c r="H23" s="28">
        <v>48</v>
      </c>
      <c r="I23" s="172">
        <v>42</v>
      </c>
      <c r="J23" s="173">
        <v>0</v>
      </c>
      <c r="K23" s="4"/>
      <c r="L23" s="88"/>
      <c r="M23" s="88"/>
      <c r="N23" s="4"/>
      <c r="O23" s="4"/>
      <c r="P23" s="4"/>
      <c r="Q23" s="4"/>
      <c r="R23" s="4"/>
      <c r="S23" s="4"/>
    </row>
    <row r="24" spans="1:19" ht="18" customHeight="1">
      <c r="A24" s="91">
        <v>14</v>
      </c>
      <c r="B24" s="92" t="s">
        <v>83</v>
      </c>
      <c r="C24" s="92" t="s">
        <v>84</v>
      </c>
      <c r="D24" s="28">
        <v>31</v>
      </c>
      <c r="E24" s="171">
        <v>27</v>
      </c>
      <c r="F24" s="28">
        <v>37</v>
      </c>
      <c r="G24" s="28">
        <v>40</v>
      </c>
      <c r="H24" s="28">
        <v>42</v>
      </c>
      <c r="I24" s="172">
        <v>25</v>
      </c>
      <c r="J24" s="173">
        <v>0</v>
      </c>
      <c r="K24" s="4"/>
      <c r="L24" s="88"/>
      <c r="M24" s="88"/>
      <c r="N24" s="4"/>
      <c r="O24" s="4"/>
      <c r="P24" s="4"/>
      <c r="Q24" s="4"/>
      <c r="R24" s="4"/>
      <c r="S24" s="4"/>
    </row>
    <row r="25" spans="1:19" ht="18" customHeight="1">
      <c r="A25" s="91">
        <v>15</v>
      </c>
      <c r="B25" s="92" t="s">
        <v>85</v>
      </c>
      <c r="C25" s="92" t="s">
        <v>86</v>
      </c>
      <c r="D25" s="28">
        <v>22</v>
      </c>
      <c r="E25" s="171">
        <v>22</v>
      </c>
      <c r="F25" s="28">
        <v>36</v>
      </c>
      <c r="G25" s="28">
        <v>12</v>
      </c>
      <c r="H25" s="28">
        <v>25</v>
      </c>
      <c r="I25" s="172">
        <v>13</v>
      </c>
      <c r="J25" s="173">
        <v>4</v>
      </c>
      <c r="K25" s="4"/>
      <c r="L25" s="88"/>
      <c r="M25" s="88"/>
      <c r="N25" s="4"/>
      <c r="O25" s="4"/>
      <c r="P25" s="4"/>
      <c r="Q25" s="4"/>
      <c r="R25" s="4"/>
      <c r="S25" s="4"/>
    </row>
    <row r="26" spans="1:19" ht="18" customHeight="1">
      <c r="A26" s="91">
        <v>16</v>
      </c>
      <c r="B26" s="92" t="s">
        <v>87</v>
      </c>
      <c r="C26" s="92" t="s">
        <v>88</v>
      </c>
      <c r="D26" s="28">
        <v>11</v>
      </c>
      <c r="E26" s="171">
        <v>11</v>
      </c>
      <c r="F26" s="28">
        <v>17</v>
      </c>
      <c r="G26" s="28">
        <v>10</v>
      </c>
      <c r="H26" s="28">
        <v>19</v>
      </c>
      <c r="I26" s="172" t="s">
        <v>216</v>
      </c>
      <c r="J26" s="173">
        <v>6</v>
      </c>
      <c r="K26" s="4"/>
      <c r="L26" s="88"/>
      <c r="M26" s="88"/>
      <c r="N26" s="4"/>
      <c r="O26" s="4"/>
      <c r="P26" s="4"/>
      <c r="Q26" s="4"/>
      <c r="R26" s="4"/>
      <c r="S26" s="4"/>
    </row>
    <row r="27" spans="1:19" ht="18" customHeight="1">
      <c r="A27" s="91">
        <v>17</v>
      </c>
      <c r="B27" s="92" t="s">
        <v>89</v>
      </c>
      <c r="C27" s="92" t="s">
        <v>90</v>
      </c>
      <c r="D27" s="28">
        <v>16</v>
      </c>
      <c r="E27" s="171">
        <v>15</v>
      </c>
      <c r="F27" s="28">
        <v>24</v>
      </c>
      <c r="G27" s="28">
        <v>6</v>
      </c>
      <c r="H27" s="28">
        <v>24</v>
      </c>
      <c r="I27" s="172">
        <v>22</v>
      </c>
      <c r="J27" s="173">
        <v>4</v>
      </c>
      <c r="K27" s="4"/>
      <c r="L27" s="88"/>
      <c r="M27" s="88"/>
      <c r="N27" s="4"/>
      <c r="O27" s="4"/>
      <c r="P27" s="4"/>
      <c r="Q27" s="4"/>
      <c r="R27" s="4"/>
      <c r="S27" s="4"/>
    </row>
    <row r="28" spans="1:19" ht="18" customHeight="1">
      <c r="A28" s="91">
        <v>18</v>
      </c>
      <c r="B28" s="92" t="s">
        <v>91</v>
      </c>
      <c r="C28" s="92" t="s">
        <v>92</v>
      </c>
      <c r="D28" s="28">
        <v>8</v>
      </c>
      <c r="E28" s="171" t="s">
        <v>216</v>
      </c>
      <c r="F28" s="19">
        <v>8</v>
      </c>
      <c r="G28" s="28" t="s">
        <v>216</v>
      </c>
      <c r="H28" s="28">
        <v>28</v>
      </c>
      <c r="I28" s="172">
        <v>9</v>
      </c>
      <c r="J28" s="173">
        <v>5</v>
      </c>
      <c r="K28" s="4"/>
      <c r="L28" s="88"/>
      <c r="M28" s="88"/>
      <c r="N28" s="4"/>
      <c r="O28" s="4"/>
      <c r="P28" s="4"/>
      <c r="Q28" s="4"/>
      <c r="R28" s="4"/>
      <c r="S28" s="4"/>
    </row>
    <row r="29" spans="1:19" ht="18" customHeight="1">
      <c r="A29" s="91">
        <v>19</v>
      </c>
      <c r="B29" s="92" t="s">
        <v>93</v>
      </c>
      <c r="C29" s="92" t="s">
        <v>94</v>
      </c>
      <c r="D29" s="28">
        <v>12</v>
      </c>
      <c r="E29" s="171">
        <v>10</v>
      </c>
      <c r="F29" s="19">
        <v>24</v>
      </c>
      <c r="G29" s="28">
        <v>4</v>
      </c>
      <c r="H29" s="28">
        <v>28</v>
      </c>
      <c r="I29" s="172">
        <v>20</v>
      </c>
      <c r="J29" s="173">
        <v>4</v>
      </c>
      <c r="K29" s="4"/>
      <c r="L29" s="88"/>
      <c r="M29" s="88"/>
      <c r="N29" s="4"/>
      <c r="O29" s="4"/>
      <c r="P29" s="4"/>
      <c r="Q29" s="4"/>
      <c r="R29" s="4"/>
      <c r="S29" s="4"/>
    </row>
    <row r="30" spans="1:19" ht="18" customHeight="1">
      <c r="A30" s="91">
        <v>20</v>
      </c>
      <c r="B30" s="92" t="s">
        <v>95</v>
      </c>
      <c r="C30" s="92" t="s">
        <v>96</v>
      </c>
      <c r="D30" s="28">
        <v>26</v>
      </c>
      <c r="E30" s="171">
        <v>33</v>
      </c>
      <c r="F30" s="28">
        <v>26</v>
      </c>
      <c r="G30" s="28">
        <v>14</v>
      </c>
      <c r="H30" s="28">
        <v>31</v>
      </c>
      <c r="I30" s="172">
        <v>30</v>
      </c>
      <c r="J30" s="173">
        <v>1</v>
      </c>
      <c r="K30" s="4"/>
      <c r="L30" s="88"/>
      <c r="M30" s="88"/>
      <c r="N30" s="4"/>
      <c r="O30" s="4"/>
      <c r="P30" s="4"/>
      <c r="Q30" s="4"/>
      <c r="R30" s="4"/>
      <c r="S30" s="4"/>
    </row>
    <row r="31" spans="1:19" ht="18" customHeight="1">
      <c r="A31" s="91">
        <v>21</v>
      </c>
      <c r="B31" s="92" t="s">
        <v>97</v>
      </c>
      <c r="C31" s="92" t="s">
        <v>98</v>
      </c>
      <c r="D31" s="28">
        <v>36</v>
      </c>
      <c r="E31" s="171">
        <v>37</v>
      </c>
      <c r="F31" s="19">
        <v>40</v>
      </c>
      <c r="G31" s="28">
        <v>30</v>
      </c>
      <c r="H31" s="28">
        <v>36</v>
      </c>
      <c r="I31" s="172">
        <v>22</v>
      </c>
      <c r="J31" s="173">
        <v>1</v>
      </c>
      <c r="K31" s="4"/>
      <c r="L31" s="88"/>
      <c r="M31" s="88"/>
      <c r="N31" s="4"/>
      <c r="O31" s="4"/>
      <c r="P31" s="4"/>
      <c r="Q31" s="4"/>
      <c r="R31" s="4"/>
      <c r="S31" s="4"/>
    </row>
    <row r="32" spans="1:19" ht="18" customHeight="1">
      <c r="A32" s="91">
        <v>22</v>
      </c>
      <c r="B32" s="92" t="s">
        <v>99</v>
      </c>
      <c r="C32" s="92" t="s">
        <v>100</v>
      </c>
      <c r="D32" s="28">
        <v>22</v>
      </c>
      <c r="E32" s="171">
        <v>21</v>
      </c>
      <c r="F32" s="19">
        <v>14</v>
      </c>
      <c r="G32" s="28">
        <v>18</v>
      </c>
      <c r="H32" s="28">
        <v>23</v>
      </c>
      <c r="I32" s="172">
        <v>10</v>
      </c>
      <c r="J32" s="173">
        <v>6</v>
      </c>
      <c r="K32" s="4"/>
      <c r="L32" s="88"/>
      <c r="M32" s="88"/>
      <c r="N32" s="4"/>
      <c r="O32" s="4"/>
      <c r="P32" s="4"/>
      <c r="Q32" s="4"/>
      <c r="R32" s="4"/>
      <c r="S32" s="4"/>
    </row>
    <row r="33" spans="1:19" ht="18" customHeight="1">
      <c r="A33" s="91">
        <v>23</v>
      </c>
      <c r="B33" s="92" t="s">
        <v>101</v>
      </c>
      <c r="C33" s="92" t="s">
        <v>102</v>
      </c>
      <c r="D33" s="28">
        <v>20</v>
      </c>
      <c r="E33" s="171">
        <v>17</v>
      </c>
      <c r="F33" s="19">
        <v>18</v>
      </c>
      <c r="G33" s="28">
        <v>16</v>
      </c>
      <c r="H33" s="28">
        <v>38</v>
      </c>
      <c r="I33" s="172">
        <v>11</v>
      </c>
      <c r="J33" s="173">
        <v>5</v>
      </c>
      <c r="K33" s="4"/>
      <c r="L33" s="88"/>
      <c r="M33" s="88"/>
      <c r="N33" s="4"/>
      <c r="O33" s="4"/>
      <c r="P33" s="4"/>
      <c r="Q33" s="4"/>
      <c r="R33" s="4"/>
      <c r="S33" s="4"/>
    </row>
    <row r="34" spans="1:19" ht="18" customHeight="1">
      <c r="A34" s="91">
        <v>24</v>
      </c>
      <c r="B34" s="92" t="s">
        <v>103</v>
      </c>
      <c r="C34" s="92" t="s">
        <v>104</v>
      </c>
      <c r="D34" s="28">
        <v>17</v>
      </c>
      <c r="E34" s="171">
        <v>24</v>
      </c>
      <c r="F34" s="19">
        <v>28</v>
      </c>
      <c r="G34" s="28">
        <v>8</v>
      </c>
      <c r="H34" s="28">
        <v>26</v>
      </c>
      <c r="I34" s="172">
        <v>12</v>
      </c>
      <c r="J34" s="173">
        <v>3</v>
      </c>
      <c r="K34" s="4"/>
      <c r="L34" s="88"/>
      <c r="M34" s="88"/>
      <c r="N34" s="4"/>
      <c r="O34" s="4"/>
      <c r="P34" s="4"/>
      <c r="Q34" s="4"/>
      <c r="R34" s="4"/>
      <c r="S34" s="4"/>
    </row>
    <row r="35" spans="1:19" ht="18" customHeight="1">
      <c r="A35" s="91">
        <v>25</v>
      </c>
      <c r="B35" s="92" t="s">
        <v>105</v>
      </c>
      <c r="C35" s="92" t="s">
        <v>106</v>
      </c>
      <c r="D35" s="28">
        <v>20</v>
      </c>
      <c r="E35" s="171">
        <v>19</v>
      </c>
      <c r="F35" s="19">
        <v>22</v>
      </c>
      <c r="G35" s="28">
        <v>16</v>
      </c>
      <c r="H35" s="28">
        <v>37</v>
      </c>
      <c r="I35" s="172" t="s">
        <v>216</v>
      </c>
      <c r="J35" s="173">
        <v>5</v>
      </c>
      <c r="K35" s="4"/>
      <c r="L35" s="88"/>
      <c r="M35" s="88"/>
      <c r="N35" s="4"/>
      <c r="O35" s="4"/>
      <c r="P35" s="4"/>
      <c r="Q35" s="4"/>
      <c r="R35" s="4"/>
      <c r="S35" s="4"/>
    </row>
    <row r="36" spans="1:19" ht="18" customHeight="1">
      <c r="A36" s="91">
        <v>26</v>
      </c>
      <c r="B36" s="92" t="s">
        <v>108</v>
      </c>
      <c r="C36" s="92" t="s">
        <v>109</v>
      </c>
      <c r="D36" s="28">
        <v>32</v>
      </c>
      <c r="E36" s="171">
        <v>48</v>
      </c>
      <c r="F36" s="19">
        <v>32</v>
      </c>
      <c r="G36" s="28">
        <v>35</v>
      </c>
      <c r="H36" s="28">
        <v>43</v>
      </c>
      <c r="I36" s="172">
        <v>30</v>
      </c>
      <c r="J36" s="173">
        <v>0</v>
      </c>
      <c r="K36" s="4"/>
      <c r="L36" s="88"/>
      <c r="M36" s="88"/>
      <c r="N36" s="4"/>
      <c r="O36" s="4"/>
      <c r="P36" s="4"/>
      <c r="Q36" s="4"/>
      <c r="R36" s="4"/>
      <c r="S36" s="4"/>
    </row>
    <row r="37" spans="1:19" ht="18" customHeight="1">
      <c r="A37" s="91">
        <v>27</v>
      </c>
      <c r="B37" s="92" t="s">
        <v>110</v>
      </c>
      <c r="C37" s="92" t="s">
        <v>111</v>
      </c>
      <c r="D37" s="28">
        <v>11</v>
      </c>
      <c r="E37" s="171">
        <v>23</v>
      </c>
      <c r="F37" s="19">
        <v>15</v>
      </c>
      <c r="G37" s="28">
        <v>16</v>
      </c>
      <c r="H37" s="28">
        <v>21</v>
      </c>
      <c r="I37" s="172">
        <v>18</v>
      </c>
      <c r="J37" s="173">
        <v>6</v>
      </c>
      <c r="K37" s="4"/>
      <c r="L37" s="88"/>
      <c r="M37" s="88"/>
      <c r="N37" s="4"/>
      <c r="O37" s="4"/>
      <c r="P37" s="4"/>
      <c r="Q37" s="4"/>
      <c r="R37" s="4"/>
      <c r="S37" s="4"/>
    </row>
    <row r="38" spans="1:19" ht="18" customHeight="1">
      <c r="A38" s="91">
        <v>28</v>
      </c>
      <c r="B38" s="92" t="s">
        <v>112</v>
      </c>
      <c r="C38" s="95" t="s">
        <v>113</v>
      </c>
      <c r="D38" s="28" t="s">
        <v>216</v>
      </c>
      <c r="E38" s="171">
        <v>10</v>
      </c>
      <c r="F38" s="28">
        <v>24</v>
      </c>
      <c r="G38" s="28">
        <v>9</v>
      </c>
      <c r="H38" s="28">
        <v>15</v>
      </c>
      <c r="I38" s="172">
        <v>8</v>
      </c>
      <c r="J38" s="173">
        <v>5</v>
      </c>
      <c r="K38" s="4"/>
      <c r="L38" s="88"/>
      <c r="M38" s="88"/>
      <c r="N38" s="4"/>
      <c r="O38" s="4"/>
      <c r="P38" s="4"/>
      <c r="Q38" s="4"/>
      <c r="R38" s="4"/>
      <c r="S38" s="4"/>
    </row>
    <row r="39" spans="1:19" ht="18" customHeight="1">
      <c r="A39" s="91">
        <v>29</v>
      </c>
      <c r="B39" s="92" t="s">
        <v>114</v>
      </c>
      <c r="C39" s="95" t="s">
        <v>115</v>
      </c>
      <c r="D39" s="28">
        <v>10</v>
      </c>
      <c r="E39" s="171">
        <v>8</v>
      </c>
      <c r="F39" s="19" t="s">
        <v>216</v>
      </c>
      <c r="G39" s="28">
        <v>7</v>
      </c>
      <c r="H39" s="28">
        <v>19</v>
      </c>
      <c r="I39" s="172">
        <v>11</v>
      </c>
      <c r="J39" s="173">
        <v>6</v>
      </c>
      <c r="K39" s="4"/>
      <c r="L39" s="88"/>
      <c r="M39" s="88"/>
      <c r="N39" s="4"/>
      <c r="O39" s="4"/>
      <c r="P39" s="4"/>
      <c r="Q39" s="4"/>
      <c r="R39" s="4"/>
      <c r="S39" s="4"/>
    </row>
    <row r="40" spans="1:19" ht="18" customHeight="1">
      <c r="A40" s="91">
        <v>30</v>
      </c>
      <c r="B40" s="92" t="s">
        <v>116</v>
      </c>
      <c r="C40" s="92" t="s">
        <v>117</v>
      </c>
      <c r="D40" s="28">
        <v>2</v>
      </c>
      <c r="E40" s="171" t="s">
        <v>216</v>
      </c>
      <c r="F40" s="19" t="s">
        <v>216</v>
      </c>
      <c r="G40" s="28" t="s">
        <v>216</v>
      </c>
      <c r="H40" s="28">
        <v>27</v>
      </c>
      <c r="I40" s="172">
        <v>10</v>
      </c>
      <c r="J40" s="173">
        <v>5</v>
      </c>
      <c r="K40" s="4"/>
      <c r="L40" s="88"/>
      <c r="M40" s="88"/>
      <c r="N40" s="4"/>
      <c r="O40" s="4"/>
      <c r="P40" s="4"/>
      <c r="Q40" s="4"/>
      <c r="R40" s="4"/>
      <c r="S40" s="4"/>
    </row>
    <row r="41" spans="1:19" ht="18" customHeight="1">
      <c r="A41" s="91">
        <v>31</v>
      </c>
      <c r="B41" s="92" t="s">
        <v>118</v>
      </c>
      <c r="C41" s="92" t="s">
        <v>119</v>
      </c>
      <c r="D41" s="28">
        <v>43</v>
      </c>
      <c r="E41" s="171">
        <v>43</v>
      </c>
      <c r="F41" s="19">
        <v>42</v>
      </c>
      <c r="G41" s="28">
        <v>30</v>
      </c>
      <c r="H41" s="28">
        <v>41</v>
      </c>
      <c r="I41" s="172">
        <v>13</v>
      </c>
      <c r="J41" s="173">
        <v>1</v>
      </c>
      <c r="K41" s="4"/>
      <c r="L41" s="88"/>
      <c r="M41" s="88"/>
      <c r="N41" s="4"/>
      <c r="O41" s="4"/>
      <c r="P41" s="4"/>
      <c r="Q41" s="4"/>
      <c r="R41" s="4"/>
      <c r="S41" s="4"/>
    </row>
    <row r="42" spans="1:19" ht="18" customHeight="1">
      <c r="A42" s="91">
        <v>32</v>
      </c>
      <c r="B42" s="92" t="s">
        <v>120</v>
      </c>
      <c r="C42" s="92" t="s">
        <v>121</v>
      </c>
      <c r="D42" s="28">
        <v>42</v>
      </c>
      <c r="E42" s="171">
        <v>43</v>
      </c>
      <c r="F42" s="19">
        <v>44</v>
      </c>
      <c r="G42" s="28">
        <v>40</v>
      </c>
      <c r="H42" s="28">
        <v>27</v>
      </c>
      <c r="I42" s="172">
        <v>27</v>
      </c>
      <c r="J42" s="173">
        <v>0</v>
      </c>
      <c r="K42" s="4"/>
      <c r="L42" s="88"/>
      <c r="M42" s="88"/>
      <c r="N42" s="4"/>
      <c r="O42" s="4"/>
      <c r="P42" s="4"/>
      <c r="Q42" s="4"/>
      <c r="R42" s="4"/>
      <c r="S42" s="4"/>
    </row>
    <row r="43" spans="1:19" ht="18" customHeight="1">
      <c r="A43" s="91">
        <v>33</v>
      </c>
      <c r="B43" s="92" t="s">
        <v>122</v>
      </c>
      <c r="C43" s="92" t="s">
        <v>123</v>
      </c>
      <c r="D43" s="28">
        <v>30</v>
      </c>
      <c r="E43" s="171">
        <v>42</v>
      </c>
      <c r="F43" s="19">
        <v>27</v>
      </c>
      <c r="G43" s="28">
        <v>13</v>
      </c>
      <c r="H43" s="28">
        <v>32</v>
      </c>
      <c r="I43" s="172">
        <v>23</v>
      </c>
      <c r="J43" s="173">
        <v>2</v>
      </c>
      <c r="K43" s="4"/>
      <c r="L43" s="88"/>
      <c r="M43" s="88"/>
      <c r="N43" s="4"/>
      <c r="O43" s="4"/>
      <c r="P43" s="4"/>
      <c r="Q43" s="4"/>
      <c r="R43" s="4"/>
      <c r="S43" s="4"/>
    </row>
    <row r="44" spans="1:19" ht="18" customHeight="1">
      <c r="A44" s="91">
        <v>34</v>
      </c>
      <c r="B44" s="92" t="s">
        <v>124</v>
      </c>
      <c r="C44" s="92" t="s">
        <v>125</v>
      </c>
      <c r="D44" s="28">
        <v>43</v>
      </c>
      <c r="E44" s="171">
        <v>45</v>
      </c>
      <c r="F44" s="19">
        <v>40</v>
      </c>
      <c r="G44" s="28">
        <v>45</v>
      </c>
      <c r="H44" s="28">
        <v>34</v>
      </c>
      <c r="I44" s="172">
        <v>28</v>
      </c>
      <c r="J44" s="173">
        <v>0</v>
      </c>
      <c r="K44" s="4"/>
      <c r="L44" s="88"/>
      <c r="M44" s="88"/>
      <c r="N44" s="4"/>
      <c r="O44" s="4"/>
      <c r="P44" s="4"/>
      <c r="Q44" s="4"/>
      <c r="R44" s="4"/>
      <c r="S44" s="4"/>
    </row>
    <row r="45" spans="1:19" ht="18" customHeight="1">
      <c r="A45" s="91">
        <v>35</v>
      </c>
      <c r="B45" s="92" t="s">
        <v>126</v>
      </c>
      <c r="C45" s="92" t="s">
        <v>127</v>
      </c>
      <c r="D45" s="28">
        <v>30</v>
      </c>
      <c r="E45" s="171">
        <v>39</v>
      </c>
      <c r="F45" s="28">
        <v>36</v>
      </c>
      <c r="G45" s="28">
        <v>22</v>
      </c>
      <c r="H45" s="28">
        <v>32</v>
      </c>
      <c r="I45" s="172">
        <v>18</v>
      </c>
      <c r="J45" s="173">
        <v>2</v>
      </c>
      <c r="K45" s="4"/>
      <c r="L45" s="88"/>
      <c r="M45" s="88"/>
      <c r="N45" s="4"/>
      <c r="O45" s="4"/>
      <c r="P45" s="4"/>
      <c r="Q45" s="4"/>
      <c r="R45" s="4"/>
      <c r="S45" s="4"/>
    </row>
    <row r="46" spans="1:19" ht="18" customHeight="1">
      <c r="A46" s="91">
        <v>36</v>
      </c>
      <c r="B46" s="92" t="s">
        <v>128</v>
      </c>
      <c r="C46" s="92" t="s">
        <v>129</v>
      </c>
      <c r="D46" s="28">
        <v>17</v>
      </c>
      <c r="E46" s="171">
        <v>27</v>
      </c>
      <c r="F46" s="28">
        <v>27</v>
      </c>
      <c r="G46" s="28">
        <v>14</v>
      </c>
      <c r="H46" s="28">
        <v>25</v>
      </c>
      <c r="I46" s="172">
        <v>23</v>
      </c>
      <c r="J46" s="173">
        <v>3</v>
      </c>
      <c r="K46" s="4"/>
      <c r="L46" s="88"/>
      <c r="M46" s="88"/>
      <c r="N46" s="4"/>
      <c r="O46" s="4"/>
      <c r="P46" s="4"/>
      <c r="Q46" s="4"/>
      <c r="R46" s="4"/>
      <c r="S46" s="4"/>
    </row>
    <row r="47" spans="1:19" ht="18" customHeight="1">
      <c r="A47" s="91">
        <v>37</v>
      </c>
      <c r="B47" s="92" t="s">
        <v>130</v>
      </c>
      <c r="C47" s="92" t="s">
        <v>131</v>
      </c>
      <c r="D47" s="28">
        <v>6</v>
      </c>
      <c r="E47" s="171" t="s">
        <v>216</v>
      </c>
      <c r="F47" s="28" t="s">
        <v>216</v>
      </c>
      <c r="G47" s="28">
        <v>10</v>
      </c>
      <c r="H47" s="28">
        <v>23</v>
      </c>
      <c r="I47" s="172" t="s">
        <v>216</v>
      </c>
      <c r="J47" s="173">
        <v>6</v>
      </c>
      <c r="K47" s="4"/>
      <c r="L47" s="88"/>
      <c r="M47" s="88"/>
      <c r="N47" s="4"/>
      <c r="O47" s="4"/>
      <c r="P47" s="4"/>
      <c r="Q47" s="4"/>
      <c r="R47" s="4"/>
      <c r="S47" s="4"/>
    </row>
    <row r="48" spans="1:19" ht="18" customHeight="1">
      <c r="A48" s="91">
        <v>38</v>
      </c>
      <c r="B48" s="92" t="s">
        <v>132</v>
      </c>
      <c r="C48" s="92" t="s">
        <v>133</v>
      </c>
      <c r="D48" s="28" t="s">
        <v>216</v>
      </c>
      <c r="E48" s="171" t="s">
        <v>216</v>
      </c>
      <c r="F48" s="28" t="s">
        <v>216</v>
      </c>
      <c r="G48" s="28" t="s">
        <v>216</v>
      </c>
      <c r="H48" s="28" t="s">
        <v>216</v>
      </c>
      <c r="I48" s="172" t="s">
        <v>216</v>
      </c>
      <c r="J48" s="173">
        <v>6</v>
      </c>
      <c r="K48" s="4"/>
      <c r="L48" s="88"/>
      <c r="M48" s="88"/>
      <c r="N48" s="4"/>
      <c r="O48" s="4"/>
      <c r="P48" s="4"/>
      <c r="Q48" s="4"/>
      <c r="R48" s="4"/>
      <c r="S48" s="4"/>
    </row>
    <row r="49" spans="1:19" ht="18" customHeight="1">
      <c r="A49" s="91">
        <v>39</v>
      </c>
      <c r="B49" s="92" t="s">
        <v>134</v>
      </c>
      <c r="C49" s="92" t="s">
        <v>135</v>
      </c>
      <c r="D49" s="28">
        <v>13</v>
      </c>
      <c r="E49" s="171">
        <v>16</v>
      </c>
      <c r="F49" s="28">
        <v>19</v>
      </c>
      <c r="G49" s="28">
        <v>10</v>
      </c>
      <c r="H49" s="28">
        <v>23</v>
      </c>
      <c r="I49" s="172">
        <v>9</v>
      </c>
      <c r="J49" s="173">
        <v>6</v>
      </c>
      <c r="K49" s="4"/>
      <c r="L49" s="88"/>
      <c r="M49" s="88"/>
      <c r="N49" s="4"/>
      <c r="O49" s="4"/>
      <c r="P49" s="4"/>
      <c r="Q49" s="4"/>
      <c r="R49" s="4"/>
      <c r="S49" s="4"/>
    </row>
    <row r="50" spans="1:19" ht="18" customHeight="1">
      <c r="A50" s="91">
        <v>40</v>
      </c>
      <c r="B50" s="92" t="s">
        <v>136</v>
      </c>
      <c r="C50" s="92" t="s">
        <v>137</v>
      </c>
      <c r="D50" s="28">
        <v>29</v>
      </c>
      <c r="E50" s="171">
        <v>26</v>
      </c>
      <c r="F50" s="19">
        <v>37</v>
      </c>
      <c r="G50" s="28">
        <v>28</v>
      </c>
      <c r="H50" s="28">
        <v>31</v>
      </c>
      <c r="I50" s="172">
        <v>18</v>
      </c>
      <c r="J50" s="173">
        <v>1</v>
      </c>
      <c r="K50" s="4"/>
      <c r="L50" s="88"/>
      <c r="M50" s="88"/>
      <c r="N50" s="4"/>
      <c r="O50" s="4"/>
      <c r="P50" s="4"/>
      <c r="Q50" s="4"/>
      <c r="R50" s="4"/>
      <c r="S50" s="4"/>
    </row>
    <row r="51" spans="1:19" ht="18" customHeight="1">
      <c r="A51" s="91">
        <v>41</v>
      </c>
      <c r="B51" s="92" t="s">
        <v>138</v>
      </c>
      <c r="C51" s="92" t="s">
        <v>139</v>
      </c>
      <c r="D51" s="28">
        <v>23</v>
      </c>
      <c r="E51" s="171">
        <v>33</v>
      </c>
      <c r="F51" s="28">
        <v>27</v>
      </c>
      <c r="G51" s="28">
        <v>26</v>
      </c>
      <c r="H51" s="28">
        <v>38</v>
      </c>
      <c r="I51" s="172">
        <v>22</v>
      </c>
      <c r="J51" s="173">
        <v>2</v>
      </c>
      <c r="K51" s="4"/>
      <c r="L51" s="88"/>
      <c r="M51" s="88"/>
      <c r="N51" s="4"/>
      <c r="O51" s="4"/>
      <c r="P51" s="4"/>
      <c r="Q51" s="4"/>
      <c r="R51" s="4"/>
      <c r="S51" s="4"/>
    </row>
    <row r="52" spans="1:19" ht="18" customHeight="1">
      <c r="A52" s="91">
        <v>42</v>
      </c>
      <c r="B52" s="92" t="s">
        <v>140</v>
      </c>
      <c r="C52" s="92" t="s">
        <v>141</v>
      </c>
      <c r="D52" s="28">
        <v>20</v>
      </c>
      <c r="E52" s="171">
        <v>19</v>
      </c>
      <c r="F52" s="19">
        <v>32</v>
      </c>
      <c r="G52" s="28">
        <v>11</v>
      </c>
      <c r="H52" s="28">
        <v>45</v>
      </c>
      <c r="I52" s="172">
        <v>21</v>
      </c>
      <c r="J52" s="173">
        <v>4</v>
      </c>
      <c r="K52" s="4"/>
      <c r="L52" s="88"/>
      <c r="M52" s="88"/>
      <c r="N52" s="4"/>
      <c r="O52" s="4"/>
      <c r="P52" s="4"/>
      <c r="Q52" s="4"/>
      <c r="R52" s="4"/>
      <c r="S52" s="4"/>
    </row>
    <row r="53" spans="1:19" ht="18" customHeight="1">
      <c r="A53" s="91">
        <v>43</v>
      </c>
      <c r="B53" s="92" t="s">
        <v>142</v>
      </c>
      <c r="C53" s="92" t="s">
        <v>143</v>
      </c>
      <c r="D53" s="28">
        <v>27</v>
      </c>
      <c r="E53" s="171">
        <v>20</v>
      </c>
      <c r="F53" s="19">
        <v>31</v>
      </c>
      <c r="G53" s="28">
        <v>17</v>
      </c>
      <c r="H53" s="28">
        <v>29</v>
      </c>
      <c r="I53" s="172">
        <v>16</v>
      </c>
      <c r="J53" s="173">
        <v>3</v>
      </c>
      <c r="K53" s="4"/>
      <c r="L53" s="88"/>
      <c r="M53" s="88"/>
      <c r="N53" s="4"/>
      <c r="O53" s="4"/>
      <c r="P53" s="4"/>
      <c r="Q53" s="4"/>
      <c r="R53" s="4"/>
      <c r="S53" s="4"/>
    </row>
    <row r="54" spans="1:19" ht="18" customHeight="1">
      <c r="A54" s="91">
        <v>44</v>
      </c>
      <c r="B54" s="92" t="s">
        <v>144</v>
      </c>
      <c r="C54" s="92" t="s">
        <v>145</v>
      </c>
      <c r="D54" s="28">
        <v>43</v>
      </c>
      <c r="E54" s="171">
        <v>47</v>
      </c>
      <c r="F54" s="19">
        <v>45</v>
      </c>
      <c r="G54" s="28">
        <v>48</v>
      </c>
      <c r="H54" s="28">
        <v>41</v>
      </c>
      <c r="I54" s="172">
        <v>24</v>
      </c>
      <c r="J54" s="173">
        <v>0</v>
      </c>
      <c r="K54" s="4"/>
      <c r="L54" s="88"/>
      <c r="M54" s="88"/>
      <c r="N54" s="4"/>
      <c r="O54" s="4"/>
      <c r="P54" s="4"/>
      <c r="Q54" s="4"/>
      <c r="R54" s="4"/>
      <c r="S54" s="4"/>
    </row>
    <row r="55" spans="1:19" ht="18" customHeight="1">
      <c r="A55" s="91">
        <v>45</v>
      </c>
      <c r="B55" s="92" t="s">
        <v>146</v>
      </c>
      <c r="C55" s="92" t="s">
        <v>147</v>
      </c>
      <c r="D55" s="28">
        <v>30</v>
      </c>
      <c r="E55" s="171">
        <v>25</v>
      </c>
      <c r="F55" s="19">
        <v>32</v>
      </c>
      <c r="G55" s="28">
        <v>40</v>
      </c>
      <c r="H55" s="28">
        <v>39</v>
      </c>
      <c r="I55" s="172">
        <v>24</v>
      </c>
      <c r="J55" s="173">
        <v>0</v>
      </c>
      <c r="K55" s="4"/>
      <c r="L55" s="88"/>
      <c r="M55" s="88"/>
      <c r="N55" s="4"/>
      <c r="O55" s="4"/>
      <c r="P55" s="4"/>
      <c r="Q55" s="4"/>
      <c r="R55" s="4"/>
      <c r="S55" s="4"/>
    </row>
    <row r="56" spans="1:19" ht="18" customHeight="1">
      <c r="A56" s="91">
        <v>46</v>
      </c>
      <c r="B56" s="92" t="s">
        <v>148</v>
      </c>
      <c r="C56" s="92" t="s">
        <v>149</v>
      </c>
      <c r="D56" s="28">
        <v>34</v>
      </c>
      <c r="E56" s="171">
        <v>43</v>
      </c>
      <c r="F56" s="28">
        <v>40</v>
      </c>
      <c r="G56" s="28">
        <v>41</v>
      </c>
      <c r="H56" s="28">
        <v>41</v>
      </c>
      <c r="I56" s="172">
        <v>37</v>
      </c>
      <c r="J56" s="173">
        <v>0</v>
      </c>
      <c r="K56" s="4"/>
      <c r="L56" s="88"/>
      <c r="M56" s="88"/>
      <c r="N56" s="4"/>
      <c r="O56" s="4"/>
      <c r="P56" s="4"/>
      <c r="Q56" s="4"/>
      <c r="R56" s="4"/>
      <c r="S56" s="4"/>
    </row>
    <row r="57" spans="1:19" ht="18" customHeight="1">
      <c r="A57" s="91">
        <v>47</v>
      </c>
      <c r="B57" s="92" t="s">
        <v>150</v>
      </c>
      <c r="C57" s="92" t="s">
        <v>151</v>
      </c>
      <c r="D57" s="28">
        <v>30</v>
      </c>
      <c r="E57" s="171">
        <v>48</v>
      </c>
      <c r="F57" s="28">
        <v>38</v>
      </c>
      <c r="G57" s="28">
        <v>22</v>
      </c>
      <c r="H57" s="28">
        <v>37</v>
      </c>
      <c r="I57" s="172">
        <v>25</v>
      </c>
      <c r="J57" s="173">
        <v>1</v>
      </c>
      <c r="K57" s="4"/>
      <c r="L57" s="88"/>
      <c r="M57" s="88"/>
      <c r="N57" s="4"/>
      <c r="O57" s="4"/>
      <c r="P57" s="4"/>
      <c r="Q57" s="4"/>
      <c r="R57" s="4"/>
      <c r="S57" s="4"/>
    </row>
    <row r="58" spans="1:19" ht="18" customHeight="1">
      <c r="A58" s="91">
        <v>48</v>
      </c>
      <c r="B58" s="92" t="s">
        <v>152</v>
      </c>
      <c r="C58" s="92" t="s">
        <v>153</v>
      </c>
      <c r="D58" s="28">
        <v>35</v>
      </c>
      <c r="E58" s="171">
        <v>48</v>
      </c>
      <c r="F58" s="19">
        <v>42</v>
      </c>
      <c r="G58" s="28">
        <v>18</v>
      </c>
      <c r="H58" s="28">
        <v>26</v>
      </c>
      <c r="I58" s="172">
        <v>31</v>
      </c>
      <c r="J58" s="173">
        <v>1</v>
      </c>
      <c r="K58" s="4"/>
      <c r="L58" s="88"/>
      <c r="M58" s="88"/>
      <c r="N58" s="4"/>
      <c r="O58" s="4"/>
      <c r="P58" s="4"/>
      <c r="Q58" s="4"/>
      <c r="R58" s="4"/>
      <c r="S58" s="4"/>
    </row>
    <row r="59" spans="1:19" ht="18" customHeight="1">
      <c r="A59" s="91">
        <v>49</v>
      </c>
      <c r="B59" s="92" t="s">
        <v>154</v>
      </c>
      <c r="C59" s="92" t="s">
        <v>155</v>
      </c>
      <c r="D59" s="28">
        <v>39</v>
      </c>
      <c r="E59" s="171">
        <v>34</v>
      </c>
      <c r="F59" s="19">
        <v>24</v>
      </c>
      <c r="G59" s="28">
        <v>31</v>
      </c>
      <c r="H59" s="28">
        <v>44</v>
      </c>
      <c r="I59" s="172" t="s">
        <v>216</v>
      </c>
      <c r="J59" s="173">
        <v>1</v>
      </c>
      <c r="K59" s="4"/>
      <c r="L59" s="88"/>
      <c r="M59" s="88"/>
      <c r="N59" s="4"/>
      <c r="O59" s="4"/>
      <c r="P59" s="4"/>
      <c r="Q59" s="4"/>
      <c r="R59" s="4"/>
      <c r="S59" s="4"/>
    </row>
    <row r="60" spans="1:19" ht="18" customHeight="1">
      <c r="A60" s="91">
        <v>50</v>
      </c>
      <c r="B60" s="92" t="s">
        <v>158</v>
      </c>
      <c r="C60" s="92" t="s">
        <v>159</v>
      </c>
      <c r="D60" s="28">
        <v>13</v>
      </c>
      <c r="E60" s="171" t="s">
        <v>216</v>
      </c>
      <c r="F60" s="19">
        <v>26</v>
      </c>
      <c r="G60" s="28">
        <v>15</v>
      </c>
      <c r="H60" s="28">
        <v>31</v>
      </c>
      <c r="I60" s="172" t="s">
        <v>216</v>
      </c>
      <c r="J60" s="173">
        <v>4</v>
      </c>
      <c r="K60" s="4"/>
      <c r="L60" s="88"/>
      <c r="M60" s="88"/>
      <c r="N60" s="4"/>
      <c r="O60" s="4"/>
      <c r="P60" s="4"/>
      <c r="Q60" s="4"/>
      <c r="R60" s="4"/>
      <c r="S60" s="4"/>
    </row>
    <row r="61" spans="1:19" ht="18" customHeight="1">
      <c r="A61" s="91">
        <v>51</v>
      </c>
      <c r="B61" s="92" t="s">
        <v>160</v>
      </c>
      <c r="C61" s="92" t="s">
        <v>161</v>
      </c>
      <c r="D61" s="28">
        <v>40</v>
      </c>
      <c r="E61" s="171">
        <v>9</v>
      </c>
      <c r="F61" s="19" t="s">
        <v>216</v>
      </c>
      <c r="G61" s="28" t="s">
        <v>216</v>
      </c>
      <c r="H61" s="28">
        <v>31</v>
      </c>
      <c r="I61" s="172" t="s">
        <v>216</v>
      </c>
      <c r="J61" s="173">
        <v>4</v>
      </c>
      <c r="K61" s="4"/>
      <c r="L61" s="88"/>
      <c r="M61" s="88"/>
      <c r="N61" s="4"/>
      <c r="O61" s="4"/>
      <c r="P61" s="4"/>
      <c r="Q61" s="4"/>
      <c r="R61" s="4"/>
      <c r="S61" s="4"/>
    </row>
    <row r="62" spans="1:19" ht="18" customHeight="1">
      <c r="A62" s="91">
        <v>52</v>
      </c>
      <c r="B62" s="92" t="s">
        <v>163</v>
      </c>
      <c r="C62" s="92" t="s">
        <v>164</v>
      </c>
      <c r="D62" s="28">
        <v>21</v>
      </c>
      <c r="E62" s="171">
        <v>19</v>
      </c>
      <c r="F62" s="19">
        <v>34</v>
      </c>
      <c r="G62" s="28">
        <v>10</v>
      </c>
      <c r="H62" s="28">
        <v>34</v>
      </c>
      <c r="I62" s="172">
        <v>21</v>
      </c>
      <c r="J62" s="173">
        <v>4</v>
      </c>
      <c r="K62" s="4"/>
      <c r="L62" s="88"/>
      <c r="M62" s="88"/>
      <c r="N62" s="4"/>
      <c r="O62" s="4"/>
      <c r="P62" s="4"/>
      <c r="Q62" s="4"/>
      <c r="R62" s="4"/>
      <c r="S62" s="4"/>
    </row>
    <row r="63" spans="1:19" ht="18" customHeight="1">
      <c r="A63" s="91">
        <v>53</v>
      </c>
      <c r="B63" s="94" t="s">
        <v>166</v>
      </c>
      <c r="C63" s="94" t="s">
        <v>167</v>
      </c>
      <c r="D63" s="28" t="s">
        <v>216</v>
      </c>
      <c r="E63" s="171" t="s">
        <v>216</v>
      </c>
      <c r="F63" s="19">
        <v>18</v>
      </c>
      <c r="G63" s="28">
        <v>13</v>
      </c>
      <c r="H63" s="28">
        <v>46</v>
      </c>
      <c r="I63" s="172">
        <v>6</v>
      </c>
      <c r="J63" s="173">
        <v>5</v>
      </c>
      <c r="K63" s="4"/>
      <c r="L63" s="88"/>
      <c r="M63" s="88"/>
      <c r="N63" s="4"/>
      <c r="O63" s="4"/>
      <c r="P63" s="4"/>
      <c r="Q63" s="4"/>
      <c r="R63" s="4"/>
      <c r="S63" s="4"/>
    </row>
    <row r="64" spans="1:19" ht="18" customHeight="1">
      <c r="A64" s="91">
        <v>54</v>
      </c>
      <c r="B64" s="92" t="s">
        <v>169</v>
      </c>
      <c r="C64" s="92" t="s">
        <v>170</v>
      </c>
      <c r="D64" s="28">
        <v>26</v>
      </c>
      <c r="E64" s="171">
        <v>28</v>
      </c>
      <c r="F64" s="19">
        <v>28</v>
      </c>
      <c r="G64" s="28">
        <v>20</v>
      </c>
      <c r="H64" s="28">
        <v>35</v>
      </c>
      <c r="I64" s="172">
        <v>22</v>
      </c>
      <c r="J64" s="173">
        <v>2</v>
      </c>
      <c r="K64" s="4"/>
      <c r="L64" s="88"/>
      <c r="M64" s="88"/>
      <c r="N64" s="4"/>
      <c r="O64" s="4"/>
      <c r="P64" s="4"/>
      <c r="Q64" s="4"/>
      <c r="R64" s="4"/>
      <c r="S64" s="4"/>
    </row>
    <row r="65" spans="1:19" ht="18" customHeight="1">
      <c r="A65" s="91">
        <v>55</v>
      </c>
      <c r="B65" s="92" t="s">
        <v>175</v>
      </c>
      <c r="C65" s="92" t="s">
        <v>176</v>
      </c>
      <c r="D65" s="28">
        <v>39</v>
      </c>
      <c r="E65" s="171">
        <v>43</v>
      </c>
      <c r="F65" s="19">
        <v>42</v>
      </c>
      <c r="G65" s="28">
        <v>43</v>
      </c>
      <c r="H65" s="28">
        <v>46</v>
      </c>
      <c r="I65" s="172" t="s">
        <v>216</v>
      </c>
      <c r="J65" s="173">
        <v>1</v>
      </c>
      <c r="K65" s="4"/>
      <c r="L65" s="88"/>
      <c r="M65" s="88"/>
      <c r="N65" s="4"/>
      <c r="O65" s="4"/>
      <c r="P65" s="4"/>
      <c r="Q65" s="4"/>
      <c r="R65" s="4"/>
      <c r="S65" s="4"/>
    </row>
    <row r="66" spans="1:19" ht="15.75" customHeight="1">
      <c r="A66" s="153"/>
      <c r="B66" s="153"/>
      <c r="C66" s="153"/>
      <c r="D66" s="153"/>
      <c r="E66" s="153"/>
      <c r="F66" s="153"/>
      <c r="G66" s="153"/>
      <c r="H66" s="153"/>
      <c r="I66" s="153"/>
      <c r="J66" s="153"/>
      <c r="K66" s="4"/>
      <c r="L66" s="4"/>
      <c r="M66" s="4"/>
      <c r="N66" s="4"/>
      <c r="O66" s="4"/>
      <c r="P66" s="4"/>
      <c r="Q66" s="4"/>
      <c r="R66" s="4"/>
      <c r="S66" s="4"/>
    </row>
    <row r="67" spans="1:19" ht="15.75" customHeight="1">
      <c r="A67" s="163"/>
      <c r="B67" s="178" t="s">
        <v>217</v>
      </c>
      <c r="C67" s="152"/>
      <c r="D67" s="108">
        <f t="shared" ref="D67:I67" si="0">55-D68</f>
        <v>51</v>
      </c>
      <c r="E67" s="108">
        <f t="shared" si="0"/>
        <v>46</v>
      </c>
      <c r="F67" s="108">
        <f t="shared" si="0"/>
        <v>49</v>
      </c>
      <c r="G67" s="108">
        <f t="shared" si="0"/>
        <v>48</v>
      </c>
      <c r="H67" s="108">
        <f t="shared" si="0"/>
        <v>54</v>
      </c>
      <c r="I67" s="108">
        <f t="shared" si="0"/>
        <v>46</v>
      </c>
      <c r="J67" s="162"/>
      <c r="K67" s="4"/>
      <c r="L67" s="4"/>
      <c r="M67" s="4"/>
      <c r="N67" s="4"/>
      <c r="O67" s="4"/>
      <c r="P67" s="4"/>
      <c r="Q67" s="4"/>
      <c r="R67" s="4"/>
      <c r="S67" s="4"/>
    </row>
    <row r="68" spans="1:19" ht="15.75" customHeight="1">
      <c r="A68" s="152"/>
      <c r="B68" s="178" t="s">
        <v>218</v>
      </c>
      <c r="C68" s="152"/>
      <c r="D68" s="108">
        <f t="shared" ref="D68:I68" si="1">COUNTIF(D11:D65,"AB")</f>
        <v>4</v>
      </c>
      <c r="E68" s="108">
        <f t="shared" si="1"/>
        <v>9</v>
      </c>
      <c r="F68" s="108">
        <f t="shared" si="1"/>
        <v>6</v>
      </c>
      <c r="G68" s="108">
        <f t="shared" si="1"/>
        <v>7</v>
      </c>
      <c r="H68" s="108">
        <f t="shared" si="1"/>
        <v>1</v>
      </c>
      <c r="I68" s="108">
        <f t="shared" si="1"/>
        <v>9</v>
      </c>
      <c r="J68" s="162"/>
      <c r="K68" s="4"/>
      <c r="L68" s="4"/>
      <c r="M68" s="4"/>
      <c r="N68" s="4"/>
      <c r="O68" s="4"/>
      <c r="P68" s="4"/>
      <c r="Q68" s="4"/>
      <c r="R68" s="4"/>
      <c r="S68" s="4"/>
    </row>
    <row r="69" spans="1:19" ht="15.75" customHeight="1">
      <c r="A69" s="152"/>
      <c r="B69" s="178" t="s">
        <v>219</v>
      </c>
      <c r="C69" s="152"/>
      <c r="D69" s="108">
        <f t="shared" ref="D69:I69" si="2">COUNTIF(D11:D65,"&lt;24")</f>
        <v>21</v>
      </c>
      <c r="E69" s="108">
        <f t="shared" si="2"/>
        <v>17</v>
      </c>
      <c r="F69" s="108">
        <f t="shared" si="2"/>
        <v>8</v>
      </c>
      <c r="G69" s="108">
        <f t="shared" si="2"/>
        <v>27</v>
      </c>
      <c r="H69" s="108">
        <f t="shared" si="2"/>
        <v>7</v>
      </c>
      <c r="I69" s="108">
        <f t="shared" si="2"/>
        <v>30</v>
      </c>
      <c r="J69" s="162"/>
      <c r="K69" s="4"/>
      <c r="L69" s="4"/>
      <c r="M69" s="4"/>
      <c r="N69" s="4"/>
      <c r="O69" s="4"/>
      <c r="P69" s="4"/>
      <c r="Q69" s="4"/>
      <c r="R69" s="4"/>
      <c r="S69" s="4"/>
    </row>
    <row r="70" spans="1:19" ht="35.25" customHeight="1">
      <c r="A70" s="174" t="s">
        <v>220</v>
      </c>
      <c r="B70" s="175"/>
      <c r="C70" s="176"/>
      <c r="D70" s="179" t="s">
        <v>237</v>
      </c>
      <c r="E70" s="177" t="s">
        <v>238</v>
      </c>
      <c r="F70" s="180" t="s">
        <v>242</v>
      </c>
      <c r="G70" s="180" t="s">
        <v>239</v>
      </c>
      <c r="H70" s="180" t="s">
        <v>240</v>
      </c>
      <c r="I70" s="181" t="s">
        <v>241</v>
      </c>
      <c r="J70" s="162"/>
      <c r="K70" s="4"/>
      <c r="L70" s="4"/>
      <c r="M70" s="4"/>
      <c r="N70" s="4"/>
      <c r="O70" s="4"/>
      <c r="P70" s="4"/>
      <c r="Q70" s="4"/>
      <c r="R70" s="4"/>
      <c r="S70" s="4"/>
    </row>
    <row r="71" spans="1:19" ht="15.75" customHeight="1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4"/>
      <c r="L71" s="4"/>
      <c r="M71" s="4"/>
      <c r="N71" s="4"/>
      <c r="O71" s="4"/>
      <c r="P71" s="4"/>
      <c r="Q71" s="4"/>
      <c r="R71" s="4"/>
      <c r="S71" s="4"/>
    </row>
    <row r="72" spans="1:19" ht="15.75" customHeight="1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4"/>
      <c r="L72" s="4"/>
      <c r="M72" s="4"/>
      <c r="N72" s="4"/>
      <c r="O72" s="4"/>
      <c r="P72" s="4"/>
      <c r="Q72" s="4"/>
      <c r="R72" s="4"/>
      <c r="S72" s="4"/>
    </row>
    <row r="73" spans="1:19" ht="15.75" customHeight="1">
      <c r="A73" s="160" t="s">
        <v>221</v>
      </c>
      <c r="B73" s="160"/>
      <c r="C73" s="160"/>
      <c r="D73" s="161" t="s">
        <v>194</v>
      </c>
      <c r="E73" s="161"/>
      <c r="F73" s="161"/>
      <c r="G73" s="162" t="s">
        <v>222</v>
      </c>
      <c r="H73" s="162"/>
      <c r="I73" s="162"/>
      <c r="J73" s="162"/>
      <c r="K73" s="4"/>
      <c r="L73" s="4"/>
      <c r="M73" s="4"/>
      <c r="N73" s="4"/>
      <c r="O73" s="4"/>
      <c r="P73" s="4"/>
      <c r="Q73" s="4"/>
      <c r="R73" s="4"/>
      <c r="S73" s="4"/>
    </row>
    <row r="74" spans="1:19" ht="15.75" customHeight="1">
      <c r="A74" s="4"/>
      <c r="B74" s="4"/>
      <c r="C74" s="34"/>
      <c r="D74" s="27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spans="1:19" ht="15.75" customHeight="1">
      <c r="A75" s="4"/>
      <c r="B75" s="4"/>
      <c r="C75" s="3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spans="1:19" ht="15.75" customHeight="1">
      <c r="A76" s="4"/>
      <c r="B76" s="4"/>
      <c r="C76" s="3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spans="1:19" ht="15.75" customHeight="1">
      <c r="A77" s="4"/>
      <c r="B77" s="4"/>
      <c r="C77" s="3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spans="1:19" ht="15.75" customHeight="1">
      <c r="A78" s="4"/>
      <c r="B78" s="4"/>
      <c r="C78" s="3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spans="1:19" ht="15.75" customHeight="1">
      <c r="A79" s="4"/>
      <c r="B79" s="4"/>
      <c r="C79" s="3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spans="1:19" ht="15.75" customHeight="1">
      <c r="A80" s="4"/>
      <c r="B80" s="4"/>
      <c r="C80" s="3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spans="1:19" ht="15.75" customHeight="1">
      <c r="A81" s="4"/>
      <c r="B81" s="4"/>
      <c r="C81" s="3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spans="1:19" ht="15.75" customHeight="1">
      <c r="A82" s="4"/>
      <c r="B82" s="4"/>
      <c r="C82" s="3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spans="1:19" ht="15.75" customHeight="1">
      <c r="A83" s="4"/>
      <c r="B83" s="4"/>
      <c r="C83" s="3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spans="1:19" ht="15.75" customHeight="1">
      <c r="A84" s="4"/>
      <c r="B84" s="4"/>
      <c r="C84" s="3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spans="1:19" ht="15.75" customHeight="1">
      <c r="A85" s="4"/>
      <c r="B85" s="4"/>
      <c r="C85" s="3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spans="1:19" ht="15.75" customHeight="1">
      <c r="A86" s="4"/>
      <c r="B86" s="4"/>
      <c r="C86" s="3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spans="1:19" ht="15.75" customHeight="1">
      <c r="A87" s="4"/>
      <c r="B87" s="4"/>
      <c r="C87" s="3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1:19" ht="15.75" customHeight="1">
      <c r="A88" s="4"/>
      <c r="B88" s="4"/>
      <c r="C88" s="3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spans="1:19" ht="15.75" customHeight="1">
      <c r="A89" s="4"/>
      <c r="B89" s="4"/>
      <c r="C89" s="3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spans="1:19" ht="15.75" customHeight="1">
      <c r="A90" s="4"/>
      <c r="B90" s="4"/>
      <c r="C90" s="3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spans="1:19" ht="15.75" customHeight="1">
      <c r="A91" s="4"/>
      <c r="B91" s="4"/>
      <c r="C91" s="3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spans="1:19" ht="15.75" customHeight="1">
      <c r="A92" s="4"/>
      <c r="B92" s="4"/>
      <c r="C92" s="3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spans="1:19" ht="15.75" customHeight="1">
      <c r="A93" s="4"/>
      <c r="B93" s="4"/>
      <c r="C93" s="3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spans="1:19" ht="15.75" customHeight="1">
      <c r="A94" s="4"/>
      <c r="B94" s="4"/>
      <c r="C94" s="3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spans="1:19" ht="15.75" customHeight="1">
      <c r="A95" s="4"/>
      <c r="B95" s="4"/>
      <c r="C95" s="3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spans="1:19" ht="15.75" customHeight="1">
      <c r="A96" s="4"/>
      <c r="B96" s="4"/>
      <c r="C96" s="3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spans="1:19" ht="15.75" customHeight="1">
      <c r="A97" s="4"/>
      <c r="B97" s="4"/>
      <c r="C97" s="3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spans="1:19" ht="15.75" customHeight="1">
      <c r="A98" s="4"/>
      <c r="B98" s="4"/>
      <c r="C98" s="3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spans="1:19" ht="15.75" customHeight="1">
      <c r="A99" s="4"/>
      <c r="B99" s="4"/>
      <c r="C99" s="3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spans="1:19" ht="15.75" customHeight="1">
      <c r="A100" s="4"/>
      <c r="B100" s="4"/>
      <c r="C100" s="3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spans="1:19" ht="15.75" customHeight="1">
      <c r="A101" s="4"/>
      <c r="B101" s="4"/>
      <c r="C101" s="3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spans="1:19" ht="15.75" customHeight="1">
      <c r="A102" s="4"/>
      <c r="B102" s="4"/>
      <c r="C102" s="3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spans="1:19" ht="15.75" customHeight="1">
      <c r="A103" s="4"/>
      <c r="B103" s="4"/>
      <c r="C103" s="3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spans="1:19" ht="15.75" customHeight="1">
      <c r="A104" s="4"/>
      <c r="B104" s="4"/>
      <c r="C104" s="3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spans="1:19" ht="15.75" customHeight="1">
      <c r="A105" s="4"/>
      <c r="B105" s="4"/>
      <c r="C105" s="3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spans="1:19" ht="15.75" customHeight="1">
      <c r="A106" s="4"/>
      <c r="B106" s="4"/>
      <c r="C106" s="3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 spans="1:19" ht="15.75" customHeight="1">
      <c r="A107" s="4"/>
      <c r="B107" s="4"/>
      <c r="C107" s="3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spans="1:19" ht="15.75" customHeight="1">
      <c r="A108" s="4"/>
      <c r="B108" s="4"/>
      <c r="C108" s="3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spans="1:19" ht="15.75" customHeight="1">
      <c r="A109" s="4"/>
      <c r="B109" s="4"/>
      <c r="C109" s="3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spans="1:19" ht="15.75" customHeight="1">
      <c r="A110" s="4"/>
      <c r="B110" s="4"/>
      <c r="C110" s="3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spans="1:19" ht="15.75" customHeight="1">
      <c r="A111" s="4"/>
      <c r="B111" s="4"/>
      <c r="C111" s="3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spans="1:19" ht="15.75" customHeight="1">
      <c r="A112" s="4"/>
      <c r="B112" s="4"/>
      <c r="C112" s="3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spans="1:19" ht="15.75" customHeight="1">
      <c r="A113" s="4"/>
      <c r="B113" s="4"/>
      <c r="C113" s="3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spans="1:19" ht="15.75" customHeight="1">
      <c r="A114" s="4"/>
      <c r="B114" s="4"/>
      <c r="C114" s="3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spans="1:19" ht="15.75" customHeight="1">
      <c r="A115" s="4"/>
      <c r="B115" s="4"/>
      <c r="C115" s="3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spans="1:19" ht="15.75" customHeight="1">
      <c r="A116" s="4"/>
      <c r="B116" s="4"/>
      <c r="C116" s="3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spans="1:19" ht="15.75" customHeight="1">
      <c r="A117" s="4"/>
      <c r="B117" s="4"/>
      <c r="C117" s="3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spans="1:19" ht="15.75" customHeight="1">
      <c r="A118" s="4"/>
      <c r="B118" s="4"/>
      <c r="C118" s="3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spans="1:19" ht="15.75" customHeight="1">
      <c r="A119" s="4"/>
      <c r="B119" s="4"/>
      <c r="C119" s="3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 spans="1:19" ht="15.75" customHeight="1">
      <c r="A120" s="4"/>
      <c r="B120" s="4"/>
      <c r="C120" s="3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 spans="1:19" ht="15.75" customHeight="1">
      <c r="A121" s="4"/>
      <c r="B121" s="4"/>
      <c r="C121" s="3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 spans="1:19" ht="15.75" customHeight="1">
      <c r="A122" s="4"/>
      <c r="B122" s="4"/>
      <c r="C122" s="3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 spans="1:19" ht="15.75" customHeight="1">
      <c r="A123" s="4"/>
      <c r="B123" s="4"/>
      <c r="C123" s="3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spans="1:19" ht="15.75" customHeight="1">
      <c r="A124" s="4"/>
      <c r="B124" s="4"/>
      <c r="C124" s="3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spans="1:19" ht="15.75" customHeight="1">
      <c r="A125" s="4"/>
      <c r="B125" s="4"/>
      <c r="C125" s="3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spans="1:19" ht="15.75" customHeight="1">
      <c r="A126" s="4"/>
      <c r="B126" s="4"/>
      <c r="C126" s="3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spans="1:19" ht="15.75" customHeight="1">
      <c r="A127" s="4"/>
      <c r="B127" s="4"/>
      <c r="C127" s="3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spans="1:19" ht="15.75" customHeight="1">
      <c r="A128" s="4"/>
      <c r="B128" s="4"/>
      <c r="C128" s="3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spans="1:19" ht="15.75" customHeight="1">
      <c r="A129" s="4"/>
      <c r="B129" s="4"/>
      <c r="C129" s="3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spans="1:19" ht="15.75" customHeight="1">
      <c r="A130" s="4"/>
      <c r="B130" s="4"/>
      <c r="C130" s="3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spans="1:19" ht="15.75" customHeight="1">
      <c r="A131" s="4"/>
      <c r="B131" s="4"/>
      <c r="C131" s="3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spans="1:19" ht="15.75" customHeight="1">
      <c r="A132" s="4"/>
      <c r="B132" s="4"/>
      <c r="C132" s="3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spans="1:19" ht="15.75" customHeight="1">
      <c r="A133" s="4"/>
      <c r="B133" s="4"/>
      <c r="C133" s="3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 spans="1:19" ht="15.75" customHeight="1">
      <c r="A134" s="4"/>
      <c r="B134" s="4"/>
      <c r="C134" s="3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 spans="1:19" ht="15.75" customHeight="1">
      <c r="A135" s="4"/>
      <c r="B135" s="4"/>
      <c r="C135" s="3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 spans="1:19" ht="15.75" customHeight="1">
      <c r="A136" s="4"/>
      <c r="B136" s="4"/>
      <c r="C136" s="3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 spans="1:19" ht="15.75" customHeight="1">
      <c r="A137" s="4"/>
      <c r="B137" s="4"/>
      <c r="C137" s="3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 spans="1:19" ht="15.75" customHeight="1">
      <c r="A138" s="4"/>
      <c r="B138" s="4"/>
      <c r="C138" s="3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 spans="1:19" ht="15.75" customHeight="1">
      <c r="A139" s="4"/>
      <c r="B139" s="4"/>
      <c r="C139" s="3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 spans="1:19" ht="15.75" customHeight="1">
      <c r="A140" s="4"/>
      <c r="B140" s="4"/>
      <c r="C140" s="3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spans="1:19" ht="15.75" customHeight="1">
      <c r="A141" s="4"/>
      <c r="B141" s="4"/>
      <c r="C141" s="3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spans="1:19" ht="15.75" customHeight="1">
      <c r="A142" s="4"/>
      <c r="B142" s="4"/>
      <c r="C142" s="3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spans="1:19" ht="15.75" customHeight="1">
      <c r="A143" s="4"/>
      <c r="B143" s="4"/>
      <c r="C143" s="3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spans="1:19" ht="15.75" customHeight="1">
      <c r="A144" s="4"/>
      <c r="B144" s="4"/>
      <c r="C144" s="3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spans="1:19" ht="15.75" customHeight="1">
      <c r="A145" s="4"/>
      <c r="B145" s="4"/>
      <c r="C145" s="3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spans="1:19" ht="15.75" customHeight="1">
      <c r="A146" s="4"/>
      <c r="B146" s="4"/>
      <c r="C146" s="3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spans="1:19" ht="15.75" customHeight="1">
      <c r="A147" s="4"/>
      <c r="B147" s="4"/>
      <c r="C147" s="3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spans="1:19" ht="15.75" customHeight="1">
      <c r="A148" s="4"/>
      <c r="B148" s="4"/>
      <c r="C148" s="3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spans="1:19" ht="15.75" customHeight="1">
      <c r="A149" s="4"/>
      <c r="B149" s="4"/>
      <c r="C149" s="3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spans="1:19" ht="15.75" customHeight="1">
      <c r="A150" s="4"/>
      <c r="B150" s="4"/>
      <c r="C150" s="3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spans="1:19" ht="15.75" customHeight="1">
      <c r="A151" s="4"/>
      <c r="B151" s="4"/>
      <c r="C151" s="3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spans="1:19" ht="15.75" customHeight="1">
      <c r="A152" s="4"/>
      <c r="B152" s="4"/>
      <c r="C152" s="3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spans="1:19" ht="15.75" customHeight="1">
      <c r="A153" s="4"/>
      <c r="B153" s="4"/>
      <c r="C153" s="3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spans="1:19" ht="15.75" customHeight="1">
      <c r="A154" s="4"/>
      <c r="B154" s="4"/>
      <c r="C154" s="3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spans="1:19" ht="15.75" customHeight="1">
      <c r="A155" s="4"/>
      <c r="B155" s="4"/>
      <c r="C155" s="3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spans="1:19" ht="15.75" customHeight="1">
      <c r="A156" s="4"/>
      <c r="B156" s="4"/>
      <c r="C156" s="3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 spans="1:19" ht="15.75" customHeight="1">
      <c r="A157" s="4"/>
      <c r="B157" s="4"/>
      <c r="C157" s="3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 spans="1:19" ht="15.75" customHeight="1">
      <c r="A158" s="4"/>
      <c r="B158" s="4"/>
      <c r="C158" s="3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 spans="1:19" ht="15.75" customHeight="1">
      <c r="A159" s="4"/>
      <c r="B159" s="4"/>
      <c r="C159" s="3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 spans="1:19" ht="15.75" customHeight="1">
      <c r="A160" s="4"/>
      <c r="B160" s="4"/>
      <c r="C160" s="3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spans="1:19" ht="15.75" customHeight="1">
      <c r="A161" s="4"/>
      <c r="B161" s="4"/>
      <c r="C161" s="3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spans="1:19" ht="15.75" customHeight="1">
      <c r="A162" s="4"/>
      <c r="B162" s="4"/>
      <c r="C162" s="3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spans="1:19" ht="15.75" customHeight="1">
      <c r="A163" s="4"/>
      <c r="B163" s="4"/>
      <c r="C163" s="3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spans="1:19" ht="15.75" customHeight="1">
      <c r="A164" s="4"/>
      <c r="B164" s="4"/>
      <c r="C164" s="3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spans="1:19" ht="15.75" customHeight="1">
      <c r="A165" s="4"/>
      <c r="B165" s="4"/>
      <c r="C165" s="3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spans="1:19" ht="15.75" customHeight="1">
      <c r="A166" s="4"/>
      <c r="B166" s="4"/>
      <c r="C166" s="3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spans="1:19" ht="15.75" customHeight="1">
      <c r="A167" s="4"/>
      <c r="B167" s="4"/>
      <c r="C167" s="3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spans="1:19" ht="15.75" customHeight="1">
      <c r="A168" s="4"/>
      <c r="B168" s="4"/>
      <c r="C168" s="3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spans="1:19" ht="15.75" customHeight="1">
      <c r="A169" s="4"/>
      <c r="B169" s="4"/>
      <c r="C169" s="3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 spans="1:19" ht="15.75" customHeight="1">
      <c r="A170" s="4"/>
      <c r="B170" s="4"/>
      <c r="C170" s="3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 spans="1:19" ht="15.75" customHeight="1">
      <c r="A171" s="4"/>
      <c r="B171" s="4"/>
      <c r="C171" s="3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 spans="1:19" ht="15.75" customHeight="1">
      <c r="A172" s="4"/>
      <c r="B172" s="4"/>
      <c r="C172" s="3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 spans="1:19" ht="15.75" customHeight="1">
      <c r="A173" s="4"/>
      <c r="B173" s="4"/>
      <c r="C173" s="3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 spans="1:19" ht="15.75" customHeight="1">
      <c r="A174" s="4"/>
      <c r="B174" s="4"/>
      <c r="C174" s="3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 spans="1:19" ht="15.75" customHeight="1">
      <c r="A175" s="4"/>
      <c r="B175" s="4"/>
      <c r="C175" s="3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spans="1:19" ht="15.75" customHeight="1">
      <c r="A176" s="4"/>
      <c r="B176" s="4"/>
      <c r="C176" s="3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 spans="1:19" ht="15.75" customHeight="1">
      <c r="A177" s="4"/>
      <c r="B177" s="4"/>
      <c r="C177" s="3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 spans="1:19" ht="15.75" customHeight="1">
      <c r="A178" s="4"/>
      <c r="B178" s="4"/>
      <c r="C178" s="3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 spans="1:19" ht="15.75" customHeight="1">
      <c r="A179" s="4"/>
      <c r="B179" s="4"/>
      <c r="C179" s="3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 spans="1:19" ht="15.75" customHeight="1">
      <c r="A180" s="4"/>
      <c r="B180" s="4"/>
      <c r="C180" s="3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 spans="1:19" ht="15.75" customHeight="1">
      <c r="A181" s="4"/>
      <c r="B181" s="4"/>
      <c r="C181" s="3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 spans="1:19" ht="15.75" customHeight="1">
      <c r="A182" s="4"/>
      <c r="B182" s="4"/>
      <c r="C182" s="3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 spans="1:19" ht="15.75" customHeight="1">
      <c r="A183" s="4"/>
      <c r="B183" s="4"/>
      <c r="C183" s="3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 spans="1:19" ht="15.75" customHeight="1">
      <c r="A184" s="4"/>
      <c r="B184" s="4"/>
      <c r="C184" s="3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 spans="1:19" ht="15.75" customHeight="1">
      <c r="A185" s="4"/>
      <c r="B185" s="4"/>
      <c r="C185" s="3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 spans="1:19" ht="15.75" customHeight="1">
      <c r="A186" s="4"/>
      <c r="B186" s="4"/>
      <c r="C186" s="3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 spans="1:19" ht="15.75" customHeight="1">
      <c r="A187" s="4"/>
      <c r="B187" s="4"/>
      <c r="C187" s="3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 spans="1:19" ht="15.75" customHeight="1">
      <c r="A188" s="4"/>
      <c r="B188" s="4"/>
      <c r="C188" s="3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 spans="1:19" ht="15.75" customHeight="1">
      <c r="A189" s="4"/>
      <c r="B189" s="4"/>
      <c r="C189" s="3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 spans="1:19" ht="15.75" customHeight="1">
      <c r="A190" s="4"/>
      <c r="B190" s="4"/>
      <c r="C190" s="3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 spans="1:19" ht="15.75" customHeight="1">
      <c r="A191" s="4"/>
      <c r="B191" s="4"/>
      <c r="C191" s="3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 spans="1:19" ht="15.75" customHeight="1">
      <c r="A192" s="4"/>
      <c r="B192" s="4"/>
      <c r="C192" s="3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 spans="1:19" ht="15.75" customHeight="1">
      <c r="A193" s="4"/>
      <c r="B193" s="4"/>
      <c r="C193" s="3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 spans="1:19" ht="15.75" customHeight="1">
      <c r="A194" s="4"/>
      <c r="B194" s="4"/>
      <c r="C194" s="3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 spans="1:19" ht="15.75" customHeight="1">
      <c r="A195" s="4"/>
      <c r="B195" s="4"/>
      <c r="C195" s="3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 spans="1:19" ht="15.75" customHeight="1">
      <c r="A196" s="4"/>
      <c r="B196" s="4"/>
      <c r="C196" s="3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 spans="1:19" ht="15.75" customHeight="1">
      <c r="A197" s="4"/>
      <c r="B197" s="4"/>
      <c r="C197" s="3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 spans="1:19" ht="15.75" customHeight="1">
      <c r="A198" s="4"/>
      <c r="B198" s="4"/>
      <c r="C198" s="3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 spans="1:19" ht="15.75" customHeight="1">
      <c r="A199" s="4"/>
      <c r="B199" s="4"/>
      <c r="C199" s="3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 spans="1:19" ht="15.75" customHeight="1">
      <c r="A200" s="4"/>
      <c r="B200" s="4"/>
      <c r="C200" s="3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 spans="1:19" ht="15.75" customHeight="1">
      <c r="A201" s="4"/>
      <c r="B201" s="4"/>
      <c r="C201" s="3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 spans="1:19" ht="15.75" customHeight="1">
      <c r="A202" s="4"/>
      <c r="B202" s="4"/>
      <c r="C202" s="3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 spans="1:19" ht="15.75" customHeight="1">
      <c r="A203" s="4"/>
      <c r="B203" s="4"/>
      <c r="C203" s="3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 spans="1:19" ht="15.75" customHeight="1">
      <c r="A204" s="4"/>
      <c r="B204" s="4"/>
      <c r="C204" s="3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 spans="1:19" ht="15.75" customHeight="1">
      <c r="A205" s="4"/>
      <c r="B205" s="4"/>
      <c r="C205" s="3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 spans="1:19" ht="15.75" customHeight="1">
      <c r="A206" s="4"/>
      <c r="B206" s="4"/>
      <c r="C206" s="3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 spans="1:19" ht="15.75" customHeight="1">
      <c r="A207" s="4"/>
      <c r="B207" s="4"/>
      <c r="C207" s="3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 spans="1:19" ht="15.75" customHeight="1">
      <c r="A208" s="4"/>
      <c r="B208" s="4"/>
      <c r="C208" s="3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 spans="1:19" ht="15.75" customHeight="1">
      <c r="A209" s="4"/>
      <c r="B209" s="4"/>
      <c r="C209" s="3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 spans="1:19" ht="15.75" customHeight="1">
      <c r="A210" s="4"/>
      <c r="B210" s="4"/>
      <c r="C210" s="3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 spans="1:19" ht="15.75" customHeight="1">
      <c r="A211" s="4"/>
      <c r="B211" s="4"/>
      <c r="C211" s="3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 spans="1:19" ht="15.75" customHeight="1">
      <c r="A212" s="4"/>
      <c r="B212" s="4"/>
      <c r="C212" s="3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 spans="1:19" ht="15.75" customHeight="1">
      <c r="A213" s="4"/>
      <c r="B213" s="4"/>
      <c r="C213" s="3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 spans="1:19" ht="15.75" customHeight="1">
      <c r="A214" s="4"/>
      <c r="B214" s="4"/>
      <c r="C214" s="3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 spans="1:19" ht="15.75" customHeight="1">
      <c r="A215" s="4"/>
      <c r="B215" s="4"/>
      <c r="C215" s="3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 spans="1:19" ht="15.75" customHeight="1">
      <c r="A216" s="4"/>
      <c r="B216" s="4"/>
      <c r="C216" s="3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 spans="1:19" ht="15.75" customHeight="1">
      <c r="A217" s="4"/>
      <c r="B217" s="4"/>
      <c r="C217" s="3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 spans="1:19" ht="15.75" customHeight="1">
      <c r="A218" s="4"/>
      <c r="B218" s="4"/>
      <c r="C218" s="3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 spans="1:19" ht="15.75" customHeight="1">
      <c r="A219" s="4"/>
      <c r="B219" s="4"/>
      <c r="C219" s="3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 spans="1:19" ht="15.75" customHeight="1">
      <c r="A220" s="4"/>
      <c r="B220" s="4"/>
      <c r="C220" s="3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 spans="1:19" ht="15.75" customHeight="1">
      <c r="A221" s="4"/>
      <c r="B221" s="4"/>
      <c r="C221" s="3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 spans="1:19" ht="15.75" customHeight="1">
      <c r="A222" s="4"/>
      <c r="B222" s="4"/>
      <c r="C222" s="3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 spans="1:19" ht="15.75" customHeight="1">
      <c r="A223" s="4"/>
      <c r="B223" s="4"/>
      <c r="C223" s="3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 spans="1:19" ht="15.75" customHeight="1">
      <c r="A224" s="4"/>
      <c r="B224" s="4"/>
      <c r="C224" s="3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 spans="1:19" ht="15.75" customHeight="1">
      <c r="A225" s="4"/>
      <c r="B225" s="4"/>
      <c r="C225" s="3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 spans="1:19" ht="15.75" customHeight="1">
      <c r="A226" s="4"/>
      <c r="B226" s="4"/>
      <c r="C226" s="3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 spans="1:19" ht="15.75" customHeight="1">
      <c r="A227" s="4"/>
      <c r="B227" s="4"/>
      <c r="C227" s="3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 spans="1:19" ht="15.75" customHeight="1">
      <c r="A228" s="4"/>
      <c r="B228" s="4"/>
      <c r="C228" s="3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 spans="1:19" ht="15.75" customHeight="1">
      <c r="A229" s="4"/>
      <c r="B229" s="4"/>
      <c r="C229" s="3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 spans="1:19" ht="15.75" customHeight="1">
      <c r="A230" s="4"/>
      <c r="B230" s="4"/>
      <c r="C230" s="3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 spans="1:19" ht="15.75" customHeight="1">
      <c r="A231" s="4"/>
      <c r="B231" s="4"/>
      <c r="C231" s="3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 spans="1:19" ht="15.75" customHeight="1">
      <c r="A232" s="4"/>
      <c r="B232" s="4"/>
      <c r="C232" s="3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 spans="1:19" ht="15.75" customHeight="1">
      <c r="A233" s="4"/>
      <c r="B233" s="4"/>
      <c r="C233" s="3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 spans="1:19" ht="15.75" customHeight="1">
      <c r="A234" s="4"/>
      <c r="B234" s="4"/>
      <c r="C234" s="3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 spans="1:19" ht="15.75" customHeight="1">
      <c r="A235" s="4"/>
      <c r="B235" s="4"/>
      <c r="C235" s="3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 spans="1:19" ht="15.75" customHeight="1">
      <c r="A236" s="4"/>
      <c r="B236" s="4"/>
      <c r="C236" s="3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 spans="1:19" ht="15.75" customHeight="1">
      <c r="A237" s="4"/>
      <c r="B237" s="4"/>
      <c r="C237" s="3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 spans="1:19" ht="15.75" customHeight="1">
      <c r="A238" s="4"/>
      <c r="B238" s="4"/>
      <c r="C238" s="3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 spans="1:19" ht="15.75" customHeight="1">
      <c r="A239" s="4"/>
      <c r="B239" s="4"/>
      <c r="C239" s="3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 spans="1:19" ht="15.75" customHeight="1">
      <c r="A240" s="4"/>
      <c r="B240" s="4"/>
      <c r="C240" s="3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 spans="1:19" ht="15.75" customHeight="1">
      <c r="A241" s="4"/>
      <c r="B241" s="4"/>
      <c r="C241" s="3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 spans="1:19" ht="15.75" customHeight="1">
      <c r="A242" s="4"/>
      <c r="B242" s="4"/>
      <c r="C242" s="3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r="243" spans="1:19" ht="15.75" customHeight="1">
      <c r="A243" s="4"/>
      <c r="B243" s="4"/>
      <c r="C243" s="3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 spans="1:19" ht="15.75" customHeight="1">
      <c r="A244" s="4"/>
      <c r="B244" s="4"/>
      <c r="C244" s="3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 spans="1:19" ht="15.75" customHeight="1">
      <c r="A245" s="4"/>
      <c r="B245" s="4"/>
      <c r="C245" s="3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 spans="1:19" ht="15.75" customHeight="1">
      <c r="A246" s="4"/>
      <c r="B246" s="4"/>
      <c r="C246" s="3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r="247" spans="1:19" ht="15.75" customHeight="1">
      <c r="A247" s="4"/>
      <c r="B247" s="4"/>
      <c r="C247" s="3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</row>
    <row r="248" spans="1:19" ht="15.75" customHeight="1">
      <c r="A248" s="4"/>
      <c r="B248" s="4"/>
      <c r="C248" s="3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</row>
    <row r="249" spans="1:19" ht="15.75" customHeight="1">
      <c r="A249" s="4"/>
      <c r="B249" s="4"/>
      <c r="C249" s="3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</row>
    <row r="250" spans="1:19" ht="15.75" customHeight="1">
      <c r="A250" s="4"/>
      <c r="B250" s="4"/>
      <c r="C250" s="3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r="251" spans="1:19" ht="15.75" customHeight="1">
      <c r="A251" s="4"/>
      <c r="B251" s="4"/>
      <c r="C251" s="3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</row>
    <row r="252" spans="1:19" ht="15.75" customHeight="1">
      <c r="A252" s="4"/>
      <c r="B252" s="4"/>
      <c r="C252" s="3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</row>
    <row r="253" spans="1:19" ht="15.75" customHeight="1">
      <c r="A253" s="4"/>
      <c r="B253" s="4"/>
      <c r="C253" s="3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</row>
    <row r="254" spans="1:19" ht="15.75" customHeight="1">
      <c r="A254" s="4"/>
      <c r="B254" s="4"/>
      <c r="C254" s="3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</row>
    <row r="255" spans="1:19" ht="15.75" customHeight="1">
      <c r="A255" s="4"/>
      <c r="B255" s="4"/>
      <c r="C255" s="3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</row>
    <row r="256" spans="1:19" ht="15.75" customHeight="1">
      <c r="A256" s="4"/>
      <c r="B256" s="4"/>
      <c r="C256" s="3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</row>
    <row r="257" spans="1:19" ht="15.75" customHeight="1">
      <c r="A257" s="4"/>
      <c r="B257" s="4"/>
      <c r="C257" s="3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</row>
    <row r="258" spans="1:19" ht="15.75" customHeight="1">
      <c r="A258" s="4"/>
      <c r="B258" s="4"/>
      <c r="C258" s="3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</row>
    <row r="259" spans="1:19" ht="15.75" customHeight="1">
      <c r="A259" s="4"/>
      <c r="B259" s="4"/>
      <c r="C259" s="3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r="260" spans="1:19" ht="15.75" customHeight="1">
      <c r="A260" s="4"/>
      <c r="B260" s="4"/>
      <c r="C260" s="3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r="261" spans="1:19" ht="15.75" customHeight="1">
      <c r="A261" s="4"/>
      <c r="B261" s="4"/>
      <c r="C261" s="3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</row>
    <row r="262" spans="1:19" ht="15.75" customHeight="1">
      <c r="A262" s="4"/>
      <c r="B262" s="4"/>
      <c r="C262" s="3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</row>
    <row r="263" spans="1:19" ht="15.75" customHeight="1">
      <c r="A263" s="4"/>
      <c r="B263" s="4"/>
      <c r="C263" s="3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</row>
    <row r="264" spans="1:19" ht="15.75" customHeight="1">
      <c r="A264" s="4"/>
      <c r="B264" s="4"/>
      <c r="C264" s="3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</row>
    <row r="265" spans="1:19" ht="15.75" customHeight="1">
      <c r="A265" s="4"/>
      <c r="B265" s="4"/>
      <c r="C265" s="3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 spans="1:19" ht="15.75" customHeight="1">
      <c r="A266" s="4"/>
      <c r="B266" s="4"/>
      <c r="C266" s="3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 spans="1:19" ht="15.75" customHeight="1">
      <c r="A267" s="4"/>
      <c r="B267" s="4"/>
      <c r="C267" s="3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 spans="1:19" ht="15.75" customHeight="1">
      <c r="A268" s="4"/>
      <c r="B268" s="4"/>
      <c r="C268" s="3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r="269" spans="1:19" ht="15.75" customHeight="1">
      <c r="A269" s="4"/>
      <c r="B269" s="4"/>
      <c r="C269" s="3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r="270" spans="1:19" ht="15.75" customHeight="1">
      <c r="A270" s="4"/>
      <c r="B270" s="4"/>
      <c r="C270" s="3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r="271" spans="1:19" ht="15.75" customHeight="1">
      <c r="A271" s="4"/>
      <c r="B271" s="4"/>
      <c r="C271" s="3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 spans="1:19" ht="15.75" customHeight="1">
      <c r="A272" s="4"/>
      <c r="B272" s="4"/>
      <c r="C272" s="3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</row>
    <row r="273" spans="1:19" ht="15.75" customHeight="1">
      <c r="A273" s="4"/>
      <c r="B273" s="4"/>
      <c r="C273" s="3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r="274" spans="1:19" ht="15.75" customHeight="1"/>
    <row r="275" spans="1:19" ht="15.75" customHeight="1"/>
    <row r="276" spans="1:19" ht="15.75" customHeight="1"/>
    <row r="277" spans="1:19" ht="15.75" customHeight="1"/>
    <row r="278" spans="1:19" ht="15.75" customHeight="1"/>
    <row r="279" spans="1:19" ht="15.75" customHeight="1"/>
    <row r="280" spans="1:19" ht="15.75" customHeight="1"/>
    <row r="281" spans="1:19" ht="15.75" customHeight="1"/>
    <row r="282" spans="1:19" ht="15.75" customHeight="1"/>
    <row r="283" spans="1:19" ht="15.75" customHeight="1"/>
    <row r="284" spans="1:19" ht="15.75" customHeight="1"/>
    <row r="285" spans="1:19" ht="15.75" customHeight="1"/>
    <row r="286" spans="1:19" ht="15.75" customHeight="1"/>
    <row r="287" spans="1:19" ht="15.75" customHeight="1"/>
    <row r="288" spans="1:19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8">
    <mergeCell ref="A6:J6"/>
    <mergeCell ref="F9:F10"/>
    <mergeCell ref="A67:A69"/>
    <mergeCell ref="B67:C67"/>
    <mergeCell ref="B68:C68"/>
    <mergeCell ref="A71:J72"/>
    <mergeCell ref="I9:I10"/>
    <mergeCell ref="A73:C73"/>
    <mergeCell ref="D73:F73"/>
    <mergeCell ref="G73:J73"/>
    <mergeCell ref="J67:J70"/>
    <mergeCell ref="A70:C70"/>
    <mergeCell ref="G1:J1"/>
    <mergeCell ref="A1:F1"/>
    <mergeCell ref="C5:D5"/>
    <mergeCell ref="E5:F5"/>
    <mergeCell ref="B69:C69"/>
    <mergeCell ref="A66:J66"/>
    <mergeCell ref="G9:G10"/>
    <mergeCell ref="H9:H10"/>
    <mergeCell ref="A2:J2"/>
    <mergeCell ref="A3:J3"/>
    <mergeCell ref="A4:J4"/>
    <mergeCell ref="A8:A10"/>
    <mergeCell ref="B8:B10"/>
    <mergeCell ref="J8:J10"/>
    <mergeCell ref="D9:D10"/>
    <mergeCell ref="E9:E10"/>
  </mergeCells>
  <printOptions horizontalCentered="1" gridLines="1"/>
  <pageMargins left="0.7" right="0.7" top="0.75" bottom="0.75" header="0" footer="0"/>
  <pageSetup paperSize="9" fitToHeight="0" pageOrder="overThenDown" orientation="landscape" cellComments="atEnd" r:id="rId1"/>
  <rowBreaks count="2" manualBreakCount="2">
    <brk id="27" max="8" man="1"/>
    <brk id="49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I10"/>
  <sheetViews>
    <sheetView workbookViewId="0">
      <selection activeCell="G20" sqref="G20"/>
    </sheetView>
  </sheetViews>
  <sheetFormatPr defaultRowHeight="12.75"/>
  <cols>
    <col min="1" max="1" width="5.42578125" bestFit="1" customWidth="1"/>
    <col min="2" max="2" width="13.140625" customWidth="1"/>
    <col min="3" max="3" width="22.28515625" customWidth="1"/>
    <col min="4" max="4" width="11.7109375" bestFit="1" customWidth="1"/>
    <col min="5" max="5" width="10.42578125" bestFit="1" customWidth="1"/>
    <col min="6" max="6" width="15.140625" bestFit="1" customWidth="1"/>
    <col min="7" max="7" width="13.85546875" bestFit="1" customWidth="1"/>
    <col min="8" max="8" width="16.7109375" bestFit="1" customWidth="1"/>
  </cols>
  <sheetData>
    <row r="6" spans="1:9" ht="19.5">
      <c r="A6" s="96"/>
      <c r="B6" s="96"/>
      <c r="C6" s="102" t="s">
        <v>186</v>
      </c>
      <c r="D6" s="101" t="s">
        <v>21</v>
      </c>
      <c r="E6" s="101" t="s">
        <v>25</v>
      </c>
      <c r="F6" s="101" t="s">
        <v>28</v>
      </c>
      <c r="G6" s="101" t="s">
        <v>31</v>
      </c>
      <c r="H6" s="101" t="s">
        <v>207</v>
      </c>
      <c r="I6" s="96"/>
    </row>
    <row r="7" spans="1:9" ht="19.5">
      <c r="A7" s="164" t="s">
        <v>8</v>
      </c>
      <c r="B7" s="164" t="s">
        <v>51</v>
      </c>
      <c r="C7" s="103" t="s">
        <v>208</v>
      </c>
      <c r="D7" s="99" t="s">
        <v>209</v>
      </c>
      <c r="E7" s="100" t="s">
        <v>210</v>
      </c>
      <c r="F7" s="86" t="s">
        <v>211</v>
      </c>
      <c r="G7" s="86" t="s">
        <v>212</v>
      </c>
      <c r="H7" s="86" t="s">
        <v>213</v>
      </c>
      <c r="I7" s="158" t="s">
        <v>214</v>
      </c>
    </row>
    <row r="8" spans="1:9">
      <c r="A8" s="165"/>
      <c r="B8" s="165"/>
      <c r="C8" s="104" t="s">
        <v>215</v>
      </c>
      <c r="D8" s="117">
        <v>50</v>
      </c>
      <c r="E8" s="159">
        <v>50</v>
      </c>
      <c r="F8" s="117">
        <v>50</v>
      </c>
      <c r="G8" s="117">
        <v>50</v>
      </c>
      <c r="H8" s="117">
        <v>50</v>
      </c>
      <c r="I8" s="137"/>
    </row>
    <row r="9" spans="1:9" ht="19.5">
      <c r="A9" s="165"/>
      <c r="B9" s="165"/>
      <c r="C9" s="105" t="s">
        <v>188</v>
      </c>
      <c r="D9" s="127"/>
      <c r="E9" s="127"/>
      <c r="F9" s="127"/>
      <c r="G9" s="127"/>
      <c r="H9" s="127"/>
      <c r="I9" s="137"/>
    </row>
    <row r="10" spans="1:9" ht="30">
      <c r="A10" s="101">
        <v>1</v>
      </c>
      <c r="B10" s="106" t="s">
        <v>110</v>
      </c>
      <c r="C10" s="92" t="s">
        <v>111</v>
      </c>
      <c r="D10" s="91">
        <v>15</v>
      </c>
      <c r="E10" s="91">
        <v>16</v>
      </c>
      <c r="F10" s="91">
        <v>1</v>
      </c>
      <c r="G10" s="91">
        <v>4</v>
      </c>
      <c r="H10" s="91">
        <v>6</v>
      </c>
      <c r="I10" s="93">
        <v>5</v>
      </c>
    </row>
  </sheetData>
  <mergeCells count="8">
    <mergeCell ref="A7:A9"/>
    <mergeCell ref="B7:B9"/>
    <mergeCell ref="I7:I9"/>
    <mergeCell ref="D8:D9"/>
    <mergeCell ref="E8:E9"/>
    <mergeCell ref="F8:F9"/>
    <mergeCell ref="G8:G9"/>
    <mergeCell ref="H8:H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3" sqref="D13"/>
    </sheetView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workdone sheet</vt:lpstr>
      <vt:lpstr>Mentor report</vt:lpstr>
      <vt:lpstr>Attendence</vt:lpstr>
      <vt:lpstr>GRACE</vt:lpstr>
      <vt:lpstr>IA-1 MARKS</vt:lpstr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2026-05-05T05:00:45Z</cp:lastPrinted>
  <dcterms:created xsi:type="dcterms:W3CDTF">2025-10-31T05:59:36Z</dcterms:created>
  <dcterms:modified xsi:type="dcterms:W3CDTF">2026-05-05T05:01:45Z</dcterms:modified>
</cp:coreProperties>
</file>