
<file path=[Content_Types].xml><?xml version="1.0" encoding="utf-8"?>
<Types xmlns="http://schemas.openxmlformats.org/package/2006/content-types"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Attendence" sheetId="1" r:id="rId1"/>
    <sheet name="Grace reasons" sheetId="2" r:id="rId2"/>
    <sheet name="IA MARKS" sheetId="4" r:id="rId3"/>
    <sheet name="workdone" sheetId="5" r:id="rId4"/>
  </sheets>
  <calcPr calcId="144525"/>
</workbook>
</file>

<file path=xl/calcChain.xml><?xml version="1.0" encoding="utf-8"?>
<calcChain xmlns="http://schemas.openxmlformats.org/spreadsheetml/2006/main">
  <c r="N64" i="4" l="1"/>
  <c r="M64" i="4"/>
  <c r="N63" i="4"/>
  <c r="M63" i="4"/>
  <c r="N62" i="4"/>
  <c r="M62" i="4"/>
  <c r="N61" i="4"/>
  <c r="M61" i="4"/>
  <c r="N60" i="4"/>
  <c r="M60" i="4"/>
  <c r="N59" i="4"/>
  <c r="M59" i="4"/>
  <c r="N58" i="4"/>
  <c r="M58" i="4"/>
  <c r="N57" i="4"/>
  <c r="M57" i="4"/>
  <c r="N56" i="4"/>
  <c r="M56" i="4"/>
  <c r="N55" i="4"/>
  <c r="M55" i="4"/>
  <c r="N54" i="4"/>
  <c r="M54" i="4"/>
  <c r="N53" i="4"/>
  <c r="M53" i="4"/>
  <c r="N52" i="4"/>
  <c r="M52" i="4"/>
  <c r="N51" i="4"/>
  <c r="M51" i="4"/>
  <c r="N50" i="4"/>
  <c r="M50" i="4"/>
  <c r="N49" i="4"/>
  <c r="M49" i="4"/>
  <c r="N48" i="4"/>
  <c r="M48" i="4"/>
  <c r="N47" i="4"/>
  <c r="M47" i="4"/>
  <c r="N46" i="4"/>
  <c r="M46" i="4"/>
  <c r="N45" i="4"/>
  <c r="M45" i="4"/>
  <c r="N44" i="4"/>
  <c r="M44" i="4"/>
  <c r="N43" i="4"/>
  <c r="M43" i="4"/>
  <c r="N42" i="4"/>
  <c r="M42" i="4"/>
  <c r="N41" i="4"/>
  <c r="M41" i="4"/>
  <c r="N40" i="4"/>
  <c r="M40" i="4"/>
  <c r="N39" i="4"/>
  <c r="M39" i="4"/>
  <c r="N38" i="4"/>
  <c r="M38" i="4"/>
  <c r="N37" i="4"/>
  <c r="M37" i="4"/>
  <c r="N36" i="4"/>
  <c r="M36" i="4"/>
  <c r="N35" i="4"/>
  <c r="M35" i="4"/>
  <c r="N34" i="4"/>
  <c r="M34" i="4"/>
  <c r="N33" i="4"/>
  <c r="M33" i="4"/>
  <c r="N32" i="4"/>
  <c r="M32" i="4"/>
  <c r="N31" i="4"/>
  <c r="M31" i="4"/>
  <c r="N30" i="4"/>
  <c r="M30" i="4"/>
  <c r="N29" i="4"/>
  <c r="M29" i="4"/>
  <c r="N28" i="4"/>
  <c r="M28" i="4"/>
  <c r="N27" i="4"/>
  <c r="M27" i="4"/>
  <c r="N26" i="4"/>
  <c r="M26" i="4"/>
  <c r="N25" i="4"/>
  <c r="M25" i="4"/>
  <c r="N24" i="4"/>
  <c r="M24" i="4"/>
  <c r="N23" i="4"/>
  <c r="M23" i="4"/>
  <c r="N22" i="4"/>
  <c r="M22" i="4"/>
  <c r="N21" i="4"/>
  <c r="M21" i="4"/>
  <c r="N20" i="4"/>
  <c r="M20" i="4"/>
  <c r="N19" i="4"/>
  <c r="M19" i="4"/>
  <c r="N18" i="4"/>
  <c r="M18" i="4"/>
  <c r="N17" i="4"/>
  <c r="M17" i="4"/>
  <c r="N16" i="4"/>
  <c r="M16" i="4"/>
  <c r="N15" i="4"/>
  <c r="M15" i="4"/>
  <c r="N14" i="4"/>
  <c r="M14" i="4"/>
  <c r="N13" i="4"/>
  <c r="M13" i="4"/>
  <c r="N12" i="4"/>
  <c r="M12" i="4"/>
  <c r="N11" i="4"/>
  <c r="M11" i="4"/>
  <c r="N10" i="4"/>
  <c r="M10" i="4"/>
  <c r="U65" i="1"/>
  <c r="S65" i="1"/>
  <c r="Q65" i="1"/>
  <c r="O65" i="1"/>
  <c r="M65" i="1"/>
  <c r="K65" i="1"/>
  <c r="I65" i="1"/>
  <c r="G65" i="1"/>
  <c r="E65" i="1"/>
  <c r="V65" i="1" s="1"/>
  <c r="U64" i="1"/>
  <c r="S64" i="1"/>
  <c r="Q64" i="1"/>
  <c r="O64" i="1"/>
  <c r="M64" i="1"/>
  <c r="K64" i="1"/>
  <c r="I64" i="1"/>
  <c r="G64" i="1"/>
  <c r="E64" i="1"/>
  <c r="V64" i="1" s="1"/>
  <c r="U63" i="1"/>
  <c r="S63" i="1"/>
  <c r="Q63" i="1"/>
  <c r="O63" i="1"/>
  <c r="M63" i="1"/>
  <c r="K63" i="1"/>
  <c r="I63" i="1"/>
  <c r="G63" i="1"/>
  <c r="E63" i="1"/>
  <c r="V63" i="1" s="1"/>
  <c r="U62" i="1"/>
  <c r="S62" i="1"/>
  <c r="Q62" i="1"/>
  <c r="O62" i="1"/>
  <c r="M62" i="1"/>
  <c r="K62" i="1"/>
  <c r="I62" i="1"/>
  <c r="G62" i="1"/>
  <c r="E62" i="1"/>
  <c r="V62" i="1" s="1"/>
  <c r="U61" i="1"/>
  <c r="S61" i="1"/>
  <c r="Q61" i="1"/>
  <c r="O61" i="1"/>
  <c r="M61" i="1"/>
  <c r="K61" i="1"/>
  <c r="I61" i="1"/>
  <c r="G61" i="1"/>
  <c r="E61" i="1"/>
  <c r="V61" i="1" s="1"/>
  <c r="U60" i="1"/>
  <c r="S60" i="1"/>
  <c r="Q60" i="1"/>
  <c r="O60" i="1"/>
  <c r="M60" i="1"/>
  <c r="K60" i="1"/>
  <c r="I60" i="1"/>
  <c r="G60" i="1"/>
  <c r="E60" i="1"/>
  <c r="V60" i="1" s="1"/>
  <c r="U59" i="1"/>
  <c r="S59" i="1"/>
  <c r="Q59" i="1"/>
  <c r="O59" i="1"/>
  <c r="M59" i="1"/>
  <c r="K59" i="1"/>
  <c r="I59" i="1"/>
  <c r="G59" i="1"/>
  <c r="E59" i="1"/>
  <c r="V59" i="1" s="1"/>
  <c r="U58" i="1"/>
  <c r="S58" i="1"/>
  <c r="Q58" i="1"/>
  <c r="O58" i="1"/>
  <c r="M58" i="1"/>
  <c r="K58" i="1"/>
  <c r="I58" i="1"/>
  <c r="G58" i="1"/>
  <c r="E58" i="1"/>
  <c r="V58" i="1" s="1"/>
  <c r="U57" i="1"/>
  <c r="S57" i="1"/>
  <c r="Q57" i="1"/>
  <c r="O57" i="1"/>
  <c r="M57" i="1"/>
  <c r="K57" i="1"/>
  <c r="I57" i="1"/>
  <c r="G57" i="1"/>
  <c r="E57" i="1"/>
  <c r="V57" i="1" s="1"/>
  <c r="U56" i="1"/>
  <c r="S56" i="1"/>
  <c r="Q56" i="1"/>
  <c r="O56" i="1"/>
  <c r="M56" i="1"/>
  <c r="K56" i="1"/>
  <c r="I56" i="1"/>
  <c r="G56" i="1"/>
  <c r="E56" i="1"/>
  <c r="V56" i="1" s="1"/>
  <c r="U55" i="1"/>
  <c r="S55" i="1"/>
  <c r="Q55" i="1"/>
  <c r="O55" i="1"/>
  <c r="M55" i="1"/>
  <c r="K55" i="1"/>
  <c r="I55" i="1"/>
  <c r="G55" i="1"/>
  <c r="E55" i="1"/>
  <c r="V55" i="1" s="1"/>
  <c r="U54" i="1"/>
  <c r="S54" i="1"/>
  <c r="Q54" i="1"/>
  <c r="O54" i="1"/>
  <c r="M54" i="1"/>
  <c r="K54" i="1"/>
  <c r="I54" i="1"/>
  <c r="G54" i="1"/>
  <c r="E54" i="1"/>
  <c r="V54" i="1" s="1"/>
  <c r="U53" i="1"/>
  <c r="S53" i="1"/>
  <c r="Q53" i="1"/>
  <c r="O53" i="1"/>
  <c r="M53" i="1"/>
  <c r="K53" i="1"/>
  <c r="I53" i="1"/>
  <c r="G53" i="1"/>
  <c r="E53" i="1"/>
  <c r="V53" i="1" s="1"/>
  <c r="U52" i="1"/>
  <c r="S52" i="1"/>
  <c r="Q52" i="1"/>
  <c r="O52" i="1"/>
  <c r="M52" i="1"/>
  <c r="K52" i="1"/>
  <c r="I52" i="1"/>
  <c r="G52" i="1"/>
  <c r="E52" i="1"/>
  <c r="V52" i="1" s="1"/>
  <c r="U51" i="1"/>
  <c r="S51" i="1"/>
  <c r="Q51" i="1"/>
  <c r="O51" i="1"/>
  <c r="M51" i="1"/>
  <c r="K51" i="1"/>
  <c r="I51" i="1"/>
  <c r="G51" i="1"/>
  <c r="E51" i="1"/>
  <c r="V51" i="1" s="1"/>
  <c r="U50" i="1"/>
  <c r="S50" i="1"/>
  <c r="Q50" i="1"/>
  <c r="O50" i="1"/>
  <c r="M50" i="1"/>
  <c r="K50" i="1"/>
  <c r="I50" i="1"/>
  <c r="G50" i="1"/>
  <c r="E50" i="1"/>
  <c r="V50" i="1" s="1"/>
  <c r="U49" i="1"/>
  <c r="S49" i="1"/>
  <c r="Q49" i="1"/>
  <c r="O49" i="1"/>
  <c r="M49" i="1"/>
  <c r="K49" i="1"/>
  <c r="I49" i="1"/>
  <c r="G49" i="1"/>
  <c r="E49" i="1"/>
  <c r="V49" i="1" s="1"/>
  <c r="U48" i="1"/>
  <c r="S48" i="1"/>
  <c r="Q48" i="1"/>
  <c r="O48" i="1"/>
  <c r="M48" i="1"/>
  <c r="K48" i="1"/>
  <c r="I48" i="1"/>
  <c r="G48" i="1"/>
  <c r="E48" i="1"/>
  <c r="V48" i="1" s="1"/>
  <c r="U47" i="1"/>
  <c r="S47" i="1"/>
  <c r="Q47" i="1"/>
  <c r="O47" i="1"/>
  <c r="M47" i="1"/>
  <c r="K47" i="1"/>
  <c r="I47" i="1"/>
  <c r="G47" i="1"/>
  <c r="E47" i="1"/>
  <c r="V47" i="1" s="1"/>
  <c r="U46" i="1"/>
  <c r="S46" i="1"/>
  <c r="Q46" i="1"/>
  <c r="O46" i="1"/>
  <c r="M46" i="1"/>
  <c r="K46" i="1"/>
  <c r="I46" i="1"/>
  <c r="G46" i="1"/>
  <c r="E46" i="1"/>
  <c r="V46" i="1" s="1"/>
  <c r="U45" i="1"/>
  <c r="S45" i="1"/>
  <c r="Q45" i="1"/>
  <c r="O45" i="1"/>
  <c r="M45" i="1"/>
  <c r="K45" i="1"/>
  <c r="I45" i="1"/>
  <c r="G45" i="1"/>
  <c r="E45" i="1"/>
  <c r="V45" i="1" s="1"/>
  <c r="U44" i="1"/>
  <c r="S44" i="1"/>
  <c r="Q44" i="1"/>
  <c r="O44" i="1"/>
  <c r="M44" i="1"/>
  <c r="K44" i="1"/>
  <c r="I44" i="1"/>
  <c r="G44" i="1"/>
  <c r="E44" i="1"/>
  <c r="V44" i="1" s="1"/>
  <c r="U43" i="1"/>
  <c r="S43" i="1"/>
  <c r="Q43" i="1"/>
  <c r="O43" i="1"/>
  <c r="M43" i="1"/>
  <c r="K43" i="1"/>
  <c r="I43" i="1"/>
  <c r="G43" i="1"/>
  <c r="E43" i="1"/>
  <c r="V43" i="1" s="1"/>
  <c r="U42" i="1"/>
  <c r="S42" i="1"/>
  <c r="Q42" i="1"/>
  <c r="O42" i="1"/>
  <c r="M42" i="1"/>
  <c r="K42" i="1"/>
  <c r="I42" i="1"/>
  <c r="G42" i="1"/>
  <c r="E42" i="1"/>
  <c r="V42" i="1" s="1"/>
  <c r="U41" i="1"/>
  <c r="S41" i="1"/>
  <c r="Q41" i="1"/>
  <c r="O41" i="1"/>
  <c r="M41" i="1"/>
  <c r="K41" i="1"/>
  <c r="I41" i="1"/>
  <c r="G41" i="1"/>
  <c r="E41" i="1"/>
  <c r="V41" i="1" s="1"/>
  <c r="U40" i="1"/>
  <c r="S40" i="1"/>
  <c r="Q40" i="1"/>
  <c r="O40" i="1"/>
  <c r="M40" i="1"/>
  <c r="K40" i="1"/>
  <c r="I40" i="1"/>
  <c r="G40" i="1"/>
  <c r="E40" i="1"/>
  <c r="V40" i="1" s="1"/>
  <c r="U39" i="1"/>
  <c r="S39" i="1"/>
  <c r="Q39" i="1"/>
  <c r="O39" i="1"/>
  <c r="M39" i="1"/>
  <c r="K39" i="1"/>
  <c r="I39" i="1"/>
  <c r="G39" i="1"/>
  <c r="E39" i="1"/>
  <c r="V39" i="1" s="1"/>
  <c r="U38" i="1"/>
  <c r="S38" i="1"/>
  <c r="Q38" i="1"/>
  <c r="O38" i="1"/>
  <c r="M38" i="1"/>
  <c r="K38" i="1"/>
  <c r="I38" i="1"/>
  <c r="G38" i="1"/>
  <c r="E38" i="1"/>
  <c r="V38" i="1" s="1"/>
  <c r="U37" i="1"/>
  <c r="S37" i="1"/>
  <c r="Q37" i="1"/>
  <c r="O37" i="1"/>
  <c r="M37" i="1"/>
  <c r="K37" i="1"/>
  <c r="I37" i="1"/>
  <c r="G37" i="1"/>
  <c r="E37" i="1"/>
  <c r="V37" i="1" s="1"/>
  <c r="U36" i="1"/>
  <c r="S36" i="1"/>
  <c r="Q36" i="1"/>
  <c r="O36" i="1"/>
  <c r="M36" i="1"/>
  <c r="K36" i="1"/>
  <c r="I36" i="1"/>
  <c r="G36" i="1"/>
  <c r="E36" i="1"/>
  <c r="V36" i="1" s="1"/>
  <c r="U35" i="1"/>
  <c r="S35" i="1"/>
  <c r="Q35" i="1"/>
  <c r="O35" i="1"/>
  <c r="M35" i="1"/>
  <c r="K35" i="1"/>
  <c r="I35" i="1"/>
  <c r="G35" i="1"/>
  <c r="E35" i="1"/>
  <c r="V35" i="1" s="1"/>
  <c r="U34" i="1"/>
  <c r="S34" i="1"/>
  <c r="Q34" i="1"/>
  <c r="O34" i="1"/>
  <c r="M34" i="1"/>
  <c r="K34" i="1"/>
  <c r="I34" i="1"/>
  <c r="G34" i="1"/>
  <c r="E34" i="1"/>
  <c r="V34" i="1" s="1"/>
  <c r="U33" i="1"/>
  <c r="S33" i="1"/>
  <c r="Q33" i="1"/>
  <c r="O33" i="1"/>
  <c r="M33" i="1"/>
  <c r="K33" i="1"/>
  <c r="I33" i="1"/>
  <c r="G33" i="1"/>
  <c r="E33" i="1"/>
  <c r="V33" i="1" s="1"/>
  <c r="U32" i="1"/>
  <c r="S32" i="1"/>
  <c r="Q32" i="1"/>
  <c r="O32" i="1"/>
  <c r="M32" i="1"/>
  <c r="K32" i="1"/>
  <c r="I32" i="1"/>
  <c r="G32" i="1"/>
  <c r="E32" i="1"/>
  <c r="V32" i="1" s="1"/>
  <c r="U31" i="1"/>
  <c r="S31" i="1"/>
  <c r="Q31" i="1"/>
  <c r="O31" i="1"/>
  <c r="M31" i="1"/>
  <c r="K31" i="1"/>
  <c r="I31" i="1"/>
  <c r="G31" i="1"/>
  <c r="E31" i="1"/>
  <c r="V31" i="1" s="1"/>
  <c r="U30" i="1"/>
  <c r="S30" i="1"/>
  <c r="Q30" i="1"/>
  <c r="O30" i="1"/>
  <c r="M30" i="1"/>
  <c r="K30" i="1"/>
  <c r="I30" i="1"/>
  <c r="G30" i="1"/>
  <c r="E30" i="1"/>
  <c r="V30" i="1" s="1"/>
  <c r="U29" i="1"/>
  <c r="S29" i="1"/>
  <c r="Q29" i="1"/>
  <c r="O29" i="1"/>
  <c r="M29" i="1"/>
  <c r="K29" i="1"/>
  <c r="I29" i="1"/>
  <c r="G29" i="1"/>
  <c r="E29" i="1"/>
  <c r="V29" i="1" s="1"/>
  <c r="U28" i="1"/>
  <c r="S28" i="1"/>
  <c r="Q28" i="1"/>
  <c r="O28" i="1"/>
  <c r="M28" i="1"/>
  <c r="K28" i="1"/>
  <c r="I28" i="1"/>
  <c r="G28" i="1"/>
  <c r="E28" i="1"/>
  <c r="V28" i="1" s="1"/>
  <c r="U27" i="1"/>
  <c r="S27" i="1"/>
  <c r="Q27" i="1"/>
  <c r="O27" i="1"/>
  <c r="M27" i="1"/>
  <c r="K27" i="1"/>
  <c r="I27" i="1"/>
  <c r="G27" i="1"/>
  <c r="E27" i="1"/>
  <c r="V27" i="1" s="1"/>
  <c r="U26" i="1"/>
  <c r="S26" i="1"/>
  <c r="Q26" i="1"/>
  <c r="O26" i="1"/>
  <c r="M26" i="1"/>
  <c r="K26" i="1"/>
  <c r="I26" i="1"/>
  <c r="G26" i="1"/>
  <c r="E26" i="1"/>
  <c r="V26" i="1" s="1"/>
  <c r="U25" i="1"/>
  <c r="S25" i="1"/>
  <c r="Q25" i="1"/>
  <c r="O25" i="1"/>
  <c r="M25" i="1"/>
  <c r="K25" i="1"/>
  <c r="I25" i="1"/>
  <c r="G25" i="1"/>
  <c r="E25" i="1"/>
  <c r="V25" i="1" s="1"/>
  <c r="U24" i="1"/>
  <c r="S24" i="1"/>
  <c r="Q24" i="1"/>
  <c r="O24" i="1"/>
  <c r="M24" i="1"/>
  <c r="K24" i="1"/>
  <c r="I24" i="1"/>
  <c r="G24" i="1"/>
  <c r="E24" i="1"/>
  <c r="V24" i="1" s="1"/>
  <c r="U23" i="1"/>
  <c r="S23" i="1"/>
  <c r="Q23" i="1"/>
  <c r="O23" i="1"/>
  <c r="M23" i="1"/>
  <c r="K23" i="1"/>
  <c r="I23" i="1"/>
  <c r="G23" i="1"/>
  <c r="E23" i="1"/>
  <c r="V23" i="1" s="1"/>
  <c r="U22" i="1"/>
  <c r="S22" i="1"/>
  <c r="Q22" i="1"/>
  <c r="O22" i="1"/>
  <c r="M22" i="1"/>
  <c r="K22" i="1"/>
  <c r="I22" i="1"/>
  <c r="G22" i="1"/>
  <c r="E22" i="1"/>
  <c r="V22" i="1" s="1"/>
  <c r="U21" i="1"/>
  <c r="S21" i="1"/>
  <c r="Q21" i="1"/>
  <c r="O21" i="1"/>
  <c r="M21" i="1"/>
  <c r="K21" i="1"/>
  <c r="I21" i="1"/>
  <c r="G21" i="1"/>
  <c r="E21" i="1"/>
  <c r="V21" i="1" s="1"/>
  <c r="U20" i="1"/>
  <c r="S20" i="1"/>
  <c r="Q20" i="1"/>
  <c r="O20" i="1"/>
  <c r="M20" i="1"/>
  <c r="K20" i="1"/>
  <c r="I20" i="1"/>
  <c r="G20" i="1"/>
  <c r="E20" i="1"/>
  <c r="V20" i="1" s="1"/>
  <c r="U19" i="1"/>
  <c r="S19" i="1"/>
  <c r="Q19" i="1"/>
  <c r="O19" i="1"/>
  <c r="M19" i="1"/>
  <c r="K19" i="1"/>
  <c r="I19" i="1"/>
  <c r="G19" i="1"/>
  <c r="E19" i="1"/>
  <c r="V19" i="1" s="1"/>
  <c r="U18" i="1"/>
  <c r="S18" i="1"/>
  <c r="Q18" i="1"/>
  <c r="O18" i="1"/>
  <c r="M18" i="1"/>
  <c r="K18" i="1"/>
  <c r="I18" i="1"/>
  <c r="G18" i="1"/>
  <c r="E18" i="1"/>
  <c r="V18" i="1" s="1"/>
  <c r="U17" i="1"/>
  <c r="S17" i="1"/>
  <c r="Q17" i="1"/>
  <c r="O17" i="1"/>
  <c r="M17" i="1"/>
  <c r="K17" i="1"/>
  <c r="I17" i="1"/>
  <c r="G17" i="1"/>
  <c r="E17" i="1"/>
  <c r="V17" i="1" s="1"/>
  <c r="U16" i="1"/>
  <c r="S16" i="1"/>
  <c r="Q16" i="1"/>
  <c r="O16" i="1"/>
  <c r="M16" i="1"/>
  <c r="K16" i="1"/>
  <c r="I16" i="1"/>
  <c r="G16" i="1"/>
  <c r="E16" i="1"/>
  <c r="V16" i="1" s="1"/>
  <c r="U15" i="1"/>
  <c r="S15" i="1"/>
  <c r="Q15" i="1"/>
  <c r="O15" i="1"/>
  <c r="M15" i="1"/>
  <c r="K15" i="1"/>
  <c r="I15" i="1"/>
  <c r="G15" i="1"/>
  <c r="E15" i="1"/>
  <c r="V15" i="1" s="1"/>
  <c r="U14" i="1"/>
  <c r="S14" i="1"/>
  <c r="Q14" i="1"/>
  <c r="O14" i="1"/>
  <c r="M14" i="1"/>
  <c r="K14" i="1"/>
  <c r="I14" i="1"/>
  <c r="G14" i="1"/>
  <c r="E14" i="1"/>
  <c r="V14" i="1" s="1"/>
  <c r="U13" i="1"/>
  <c r="S13" i="1"/>
  <c r="Q13" i="1"/>
  <c r="O13" i="1"/>
  <c r="M13" i="1"/>
  <c r="K13" i="1"/>
  <c r="I13" i="1"/>
  <c r="G13" i="1"/>
  <c r="E13" i="1"/>
  <c r="V13" i="1" s="1"/>
  <c r="U12" i="1"/>
  <c r="S12" i="1"/>
  <c r="Q12" i="1"/>
  <c r="O12" i="1"/>
  <c r="M12" i="1"/>
  <c r="K12" i="1"/>
  <c r="I12" i="1"/>
  <c r="G12" i="1"/>
  <c r="E12" i="1"/>
  <c r="V12" i="1" s="1"/>
  <c r="U11" i="1"/>
  <c r="S11" i="1"/>
  <c r="Q11" i="1"/>
  <c r="O11" i="1"/>
  <c r="M11" i="1"/>
  <c r="K11" i="1"/>
  <c r="I11" i="1"/>
  <c r="G11" i="1"/>
  <c r="E11" i="1"/>
  <c r="V11" i="1" s="1"/>
</calcChain>
</file>

<file path=xl/sharedStrings.xml><?xml version="1.0" encoding="utf-8"?>
<sst xmlns="http://schemas.openxmlformats.org/spreadsheetml/2006/main" count="588" uniqueCount="297">
  <si>
    <t>HKBK/TL/022/2025-26</t>
  </si>
  <si>
    <t>HKBK College of Engineering</t>
  </si>
  <si>
    <t>Department of Computer Science and Engineering</t>
  </si>
  <si>
    <t>STATEMENT OF ATTENDANCE before IA-2</t>
  </si>
  <si>
    <t>Semester: IV  Section : E</t>
  </si>
  <si>
    <t>Semester : EVEN              AY 2025-26</t>
  </si>
  <si>
    <t>As on 26/May/2026</t>
  </si>
  <si>
    <t>No of classes taken</t>
  </si>
  <si>
    <t>Avg</t>
  </si>
  <si>
    <t>Subject Code</t>
  </si>
  <si>
    <t>BCS401</t>
  </si>
  <si>
    <t>BCS402</t>
  </si>
  <si>
    <t>BCS403</t>
  </si>
  <si>
    <t>BCSL404</t>
  </si>
  <si>
    <t>BCS405 A</t>
  </si>
  <si>
    <t>BCS456C</t>
  </si>
  <si>
    <t>BBOC407</t>
  </si>
  <si>
    <t>BCS402 L</t>
  </si>
  <si>
    <t>BCS403 L</t>
  </si>
  <si>
    <t>Name of student</t>
  </si>
  <si>
    <t>Atnd</t>
  </si>
  <si>
    <t>%</t>
  </si>
  <si>
    <t>Sl No</t>
  </si>
  <si>
    <t>USN</t>
  </si>
  <si>
    <t>1HK24CS233</t>
  </si>
  <si>
    <t>SAMBHRAMI S</t>
  </si>
  <si>
    <t>1HK24CS234</t>
  </si>
  <si>
    <t>SAMRIDHI AGARWAL</t>
  </si>
  <si>
    <t>1HK24CS236</t>
  </si>
  <si>
    <t>SANDEEP A</t>
  </si>
  <si>
    <t>1HK24CS237</t>
  </si>
  <si>
    <t>SANGEETHA</t>
  </si>
  <si>
    <t>1HK24CS238</t>
  </si>
  <si>
    <t>SANIYA KHANUM</t>
  </si>
  <si>
    <t>1HK24CS239</t>
  </si>
  <si>
    <t>SANIYA M S</t>
  </si>
  <si>
    <t>1HK24CS240</t>
  </si>
  <si>
    <t>SANJAY P</t>
  </si>
  <si>
    <t>1HK24CS241</t>
  </si>
  <si>
    <t>SANTOSH</t>
  </si>
  <si>
    <t>1HK24CS242</t>
  </si>
  <si>
    <t>SATHVIK</t>
  </si>
  <si>
    <t>1HK24CS243</t>
  </si>
  <si>
    <t>SAVITRI NAGARAJ KUNAGI</t>
  </si>
  <si>
    <t>1HK24CS244</t>
  </si>
  <si>
    <t>SERENA JOSPHINE L</t>
  </si>
  <si>
    <t>1HK24CS245</t>
  </si>
  <si>
    <t>SHAFIULLA</t>
  </si>
  <si>
    <t>1HK24CS246</t>
  </si>
  <si>
    <t>SHAHENSHA KHATUN</t>
  </si>
  <si>
    <t>1HK24CS247</t>
  </si>
  <si>
    <t>SHAHID KHAN</t>
  </si>
  <si>
    <t>1HK24CS248</t>
  </si>
  <si>
    <t>SHAIK AHSEEM AHMED</t>
  </si>
  <si>
    <t>1HK24CS249</t>
  </si>
  <si>
    <t>SHAIK MOHAMMED RAAFI</t>
  </si>
  <si>
    <t>1HK24CS250</t>
  </si>
  <si>
    <t>SHAIK SUFIYAN</t>
  </si>
  <si>
    <t>1HK24CS252</t>
  </si>
  <si>
    <t>SHAMANTHAKA S</t>
  </si>
  <si>
    <t>1HK24CS253</t>
  </si>
  <si>
    <t>SHASHI KANT DEV</t>
  </si>
  <si>
    <t>1HK24CS254</t>
  </si>
  <si>
    <t>SHEEBA FATHIMA</t>
  </si>
  <si>
    <t>1HK24CS255</t>
  </si>
  <si>
    <t>SHIVAJI C</t>
  </si>
  <si>
    <t>1HK24CS256</t>
  </si>
  <si>
    <t>SHIVAKUMAR</t>
  </si>
  <si>
    <t>1HK24CS257</t>
  </si>
  <si>
    <t>SHIVAM VIJAURIYA YADAV</t>
  </si>
  <si>
    <t>1HK24CS258</t>
  </si>
  <si>
    <t>SHIVARAJ RAMESH NAVI</t>
  </si>
  <si>
    <t>1HK24CS259</t>
  </si>
  <si>
    <t>SHUJATH AHMED</t>
  </si>
  <si>
    <t>1HK24CS260</t>
  </si>
  <si>
    <t>SHWETA VITTAL JADHAV</t>
  </si>
  <si>
    <t>1HK24CS261</t>
  </si>
  <si>
    <t>SIDDARTH S GADAGIN</t>
  </si>
  <si>
    <t>1HK24CS262</t>
  </si>
  <si>
    <t>SIDDU M</t>
  </si>
  <si>
    <t>1HK24CS263</t>
  </si>
  <si>
    <t>SIDDU C</t>
  </si>
  <si>
    <t>1HK24CS264</t>
  </si>
  <si>
    <t>SIMHADRI N</t>
  </si>
  <si>
    <t>1HK24CS265</t>
  </si>
  <si>
    <t>SIRIYALA NISHAR</t>
  </si>
  <si>
    <t>1HK24CS266</t>
  </si>
  <si>
    <t>SISHAN R</t>
  </si>
  <si>
    <t>1HK24CS267</t>
  </si>
  <si>
    <t>SOUJANYA</t>
  </si>
  <si>
    <t>1HK24CS268</t>
  </si>
  <si>
    <t>SREE GOURI M</t>
  </si>
  <si>
    <t>1HK24CS269</t>
  </si>
  <si>
    <t>SRUJAN D</t>
  </si>
  <si>
    <t>1HK24CS270</t>
  </si>
  <si>
    <t>SUDEEP ITLAPUR</t>
  </si>
  <si>
    <t>1HK24CS272</t>
  </si>
  <si>
    <t>SUHAS SIDAPPA MURANAL</t>
  </si>
  <si>
    <t>1HK24CS273</t>
  </si>
  <si>
    <t>SUKAMAL BERA</t>
  </si>
  <si>
    <t>1HK24CS274</t>
  </si>
  <si>
    <t>SUKITH GOWDA N</t>
  </si>
  <si>
    <t>1HK24CS275</t>
  </si>
  <si>
    <t>SUMIT KUMAR</t>
  </si>
  <si>
    <t>1HK24CS276</t>
  </si>
  <si>
    <t>SUMIT SINGH</t>
  </si>
  <si>
    <t>1HK24CS277</t>
  </si>
  <si>
    <t>SUPREETH M M</t>
  </si>
  <si>
    <t>1HK24CS278</t>
  </si>
  <si>
    <t>SURAJ KRISHNANAND SHETTY</t>
  </si>
  <si>
    <t>1HK24CS279</t>
  </si>
  <si>
    <t>SURAJ KUMAR SINGH</t>
  </si>
  <si>
    <t>1HK24CS280</t>
  </si>
  <si>
    <t>SURUCHI BAJIMAYA</t>
  </si>
  <si>
    <t>1HK24CS281</t>
  </si>
  <si>
    <t>SUSHMA</t>
  </si>
  <si>
    <t>1HK24CS282</t>
  </si>
  <si>
    <t>SWAPNA VINOD HADAGALI</t>
  </si>
  <si>
    <t>1HK24CS283</t>
  </si>
  <si>
    <t>SWATI</t>
  </si>
  <si>
    <t>1HK24CS284</t>
  </si>
  <si>
    <t>SYED ABDULLAH ABRAR</t>
  </si>
  <si>
    <t>1HK24CS285</t>
  </si>
  <si>
    <t>SYED ABDUR RAHAMAN</t>
  </si>
  <si>
    <t>1HK24CS287</t>
  </si>
  <si>
    <t>SYED MOHAMMED MAAZ</t>
  </si>
  <si>
    <t>1HK24CS288</t>
  </si>
  <si>
    <t>SYED MUZAFFER HUSSAIN</t>
  </si>
  <si>
    <t>1HK24CS289</t>
  </si>
  <si>
    <t>SYED SAAD SALAHUDDIN</t>
  </si>
  <si>
    <t>1HK24CS290</t>
  </si>
  <si>
    <t>SYED USMAN</t>
  </si>
  <si>
    <t>1HK24CS228</t>
  </si>
  <si>
    <t>RUSHIL SHAM RAJU</t>
  </si>
  <si>
    <t>Faculty Sign</t>
  </si>
  <si>
    <t>NH</t>
  </si>
  <si>
    <t>KA</t>
  </si>
  <si>
    <t>SP</t>
  </si>
  <si>
    <t>RYK</t>
  </si>
  <si>
    <t>S K J</t>
  </si>
  <si>
    <t>SD</t>
  </si>
  <si>
    <t>Class Teacher</t>
  </si>
  <si>
    <t>HOD Signature</t>
  </si>
  <si>
    <t>Principal</t>
  </si>
  <si>
    <t>NAME</t>
  </si>
  <si>
    <t>Reasons</t>
  </si>
  <si>
    <t>Dates</t>
  </si>
  <si>
    <t>events-Full, medical -10 %</t>
  </si>
  <si>
    <t>Sambhrami S</t>
  </si>
  <si>
    <t>Event</t>
  </si>
  <si>
    <t>11 &amp; 12/5</t>
  </si>
  <si>
    <t>Full</t>
  </si>
  <si>
    <t>Samridhi Agarwal</t>
  </si>
  <si>
    <t>15/4, 20/5 &amp; 4/5 Medical-2/3 to 11/3</t>
  </si>
  <si>
    <t>events-Full, medical -10%</t>
  </si>
  <si>
    <t>Sandeep A</t>
  </si>
  <si>
    <t>Sangeetha</t>
  </si>
  <si>
    <t>Saniya Khanum</t>
  </si>
  <si>
    <t>15/4, 20/5 &amp; 4/5 Medical-15to17/4</t>
  </si>
  <si>
    <t>Saniya M S</t>
  </si>
  <si>
    <t>15/4, 20/5 &amp; 4/5, medical -24/4 to 29/4</t>
  </si>
  <si>
    <t>Sanjay P</t>
  </si>
  <si>
    <t>Santosh</t>
  </si>
  <si>
    <t>Medical</t>
  </si>
  <si>
    <t>4/5 to 8/5</t>
  </si>
  <si>
    <t>Sathvik</t>
  </si>
  <si>
    <t>event</t>
  </si>
  <si>
    <t>full</t>
  </si>
  <si>
    <t>Savitri Nagaraj Kunagi</t>
  </si>
  <si>
    <t>Sports</t>
  </si>
  <si>
    <t>9/4 to 13/5</t>
  </si>
  <si>
    <t>Consider only afternoon classes</t>
  </si>
  <si>
    <t>Serena Josphine L</t>
  </si>
  <si>
    <t>31/3 &amp; 1/4, 11&amp;12/5</t>
  </si>
  <si>
    <t>Shafiulla</t>
  </si>
  <si>
    <t>Events</t>
  </si>
  <si>
    <t>17/3 ,30/3, 1/4, 8/4, 13/4 to17/4</t>
  </si>
  <si>
    <t>Shahensha Khatun</t>
  </si>
  <si>
    <t>17/3 ,30/3, 1/4, 8/4, 8/4 to 17/4</t>
  </si>
  <si>
    <t>Shahid Khan</t>
  </si>
  <si>
    <t>11&amp;12/5</t>
  </si>
  <si>
    <t>Shaik Ahseem Ahmed</t>
  </si>
  <si>
    <t>Shaik Mohammed Raafi</t>
  </si>
  <si>
    <t>Shaik Sufiyan</t>
  </si>
  <si>
    <t>Shamanthaka S</t>
  </si>
  <si>
    <t>Shashi Kant Dev</t>
  </si>
  <si>
    <t>Sheeba Fathima</t>
  </si>
  <si>
    <t>15/4, 20/5 &amp; 4/5</t>
  </si>
  <si>
    <t>Shivaji C</t>
  </si>
  <si>
    <t>Shivakumar</t>
  </si>
  <si>
    <t>Shivam Vijauriya Yadav</t>
  </si>
  <si>
    <t>01-04-2026, medical-25/4 to 10/5</t>
  </si>
  <si>
    <t>Shivaraj Ramesh Navi</t>
  </si>
  <si>
    <t>Shujath Ahmed</t>
  </si>
  <si>
    <t>Shweta Vittal Jadhav</t>
  </si>
  <si>
    <t>Siddarth S Gadagin</t>
  </si>
  <si>
    <t>2 to 10/3</t>
  </si>
  <si>
    <t>Siddu M</t>
  </si>
  <si>
    <t>Siddu C</t>
  </si>
  <si>
    <t>27-4 to 8-5-26</t>
  </si>
  <si>
    <t>Simhadri N</t>
  </si>
  <si>
    <t>Siriyala Nishar</t>
  </si>
  <si>
    <t>Sishan R</t>
  </si>
  <si>
    <t>17-03-2026, 11&amp;12/5</t>
  </si>
  <si>
    <t>Soujanya</t>
  </si>
  <si>
    <t>Sree Gouri M</t>
  </si>
  <si>
    <t>Srujan D</t>
  </si>
  <si>
    <t>Sudeep Itlapur</t>
  </si>
  <si>
    <t>Suhas Sidappa Muranal</t>
  </si>
  <si>
    <t>24/4 to 8/5</t>
  </si>
  <si>
    <t>Sukamal Bera</t>
  </si>
  <si>
    <t>Sukith Gowda N</t>
  </si>
  <si>
    <t>24/4 to 29/4</t>
  </si>
  <si>
    <t>Sumit Kumar</t>
  </si>
  <si>
    <t>6/3 to 13/3, event- 1/4, 11&amp;12/5</t>
  </si>
  <si>
    <t>Sumit Singh</t>
  </si>
  <si>
    <t>Supreeth M M</t>
  </si>
  <si>
    <t>01-04-2026, 11&amp;12/5</t>
  </si>
  <si>
    <t>Suraj Krishnanand Shetty</t>
  </si>
  <si>
    <t>Suraj Kumar Singh</t>
  </si>
  <si>
    <t>11 &amp; 12/5, 24/4 &amp; 25/4</t>
  </si>
  <si>
    <t>Suruchi Bajimaya</t>
  </si>
  <si>
    <t>Sushma</t>
  </si>
  <si>
    <t>Swapna Vinod Hadagali</t>
  </si>
  <si>
    <t>Swati</t>
  </si>
  <si>
    <t>Syed Abdullah Abrar</t>
  </si>
  <si>
    <t>Syed Abdur Rahaman</t>
  </si>
  <si>
    <t>23/3 to 27/3, event-11&amp;12/5</t>
  </si>
  <si>
    <t>Syed Mohammed Maaz</t>
  </si>
  <si>
    <t>Syed Muzaffer Hussain</t>
  </si>
  <si>
    <t>events</t>
  </si>
  <si>
    <t>23/3 to 7/4, and 24&amp;25/4 and 5&amp;6/5, 11&amp;12/5</t>
  </si>
  <si>
    <t>Syed Saad Salahuddin</t>
  </si>
  <si>
    <t>Syed Usman</t>
  </si>
  <si>
    <t>Event, medical</t>
  </si>
  <si>
    <t>11 &amp; 12/5, 24/4 &amp; 25/4, medical-5/5 to 8/5</t>
  </si>
  <si>
    <t>Rushil Sham Raju</t>
  </si>
  <si>
    <t>17/3,30/3, 1/4, 8/4, 9/4 to 17/4, 11&amp; 12/5, medical- 4/5 to 9/5</t>
  </si>
  <si>
    <t>STATEMENT OF  IA-2  MARKS</t>
  </si>
  <si>
    <t>Semester : EVEN   II - Year      AY 2025-26</t>
  </si>
  <si>
    <t>BUHK408</t>
  </si>
  <si>
    <t>Subject name</t>
  </si>
  <si>
    <t>ADA</t>
  </si>
  <si>
    <t>Microcontroller</t>
  </si>
  <si>
    <t>DBMS</t>
  </si>
  <si>
    <t xml:space="preserve"> Maths</t>
  </si>
  <si>
    <t>UI/UX</t>
  </si>
  <si>
    <t>Biology</t>
  </si>
  <si>
    <t>UHV</t>
  </si>
  <si>
    <t># of subjects &lt;50% of IA</t>
  </si>
  <si>
    <t>MARKS MAX= 50</t>
  </si>
  <si>
    <t>No. of Student Present</t>
  </si>
  <si>
    <t>No. of Student Absent</t>
  </si>
  <si>
    <t>No. of Students Scored &lt; 24</t>
  </si>
  <si>
    <t>Faculty Full Name</t>
  </si>
  <si>
    <t>Prof. Najmusher</t>
  </si>
  <si>
    <t>Prof. Kavitha.D</t>
  </si>
  <si>
    <t>Prof. Subhatra paul</t>
  </si>
  <si>
    <t xml:space="preserve"> Prof. Rashmi Y K</t>
  </si>
  <si>
    <t xml:space="preserve"> Prof. Shimja K J</t>
  </si>
  <si>
    <t>Dr.Sujitha.D</t>
  </si>
  <si>
    <t>Prof. Arshiya</t>
  </si>
  <si>
    <t>Faculty Signature</t>
  </si>
  <si>
    <t>NJ</t>
  </si>
  <si>
    <t xml:space="preserve">SK J </t>
  </si>
  <si>
    <t>AF</t>
  </si>
  <si>
    <t>Department of Computer Science &amp; Engineering</t>
  </si>
  <si>
    <t>MONTHLY SYLLABUS COVERAGE AND CLASS TAKEN REPORT</t>
  </si>
  <si>
    <t>Sem &amp; Sec: 4E</t>
  </si>
  <si>
    <t>Semester : EVEN     AY 2025-26       As on 26/May/2026</t>
  </si>
  <si>
    <t>Subject code</t>
  </si>
  <si>
    <t>No. Class</t>
  </si>
  <si>
    <t>Modules covered</t>
  </si>
  <si>
    <t>% of Syllabus covered</t>
  </si>
  <si>
    <t>No. of assignment</t>
  </si>
  <si>
    <t>No. of Activity / Others</t>
  </si>
  <si>
    <t>Name of faculty</t>
  </si>
  <si>
    <t>Sign</t>
  </si>
  <si>
    <t>Planned</t>
  </si>
  <si>
    <t>Taken</t>
  </si>
  <si>
    <t>Issued</t>
  </si>
  <si>
    <t>Valued</t>
  </si>
  <si>
    <t>-</t>
  </si>
  <si>
    <t>Prof. Najmusher H</t>
  </si>
  <si>
    <t>Prof.Kavitha.D</t>
  </si>
  <si>
    <t>Prof.subhatra</t>
  </si>
  <si>
    <t>BCSL 404</t>
  </si>
  <si>
    <t>12 programs</t>
  </si>
  <si>
    <t>Prof.Rashmi Y K</t>
  </si>
  <si>
    <t>R Y K</t>
  </si>
  <si>
    <t>BSC456c</t>
  </si>
  <si>
    <t>Prof.Shimja K J</t>
  </si>
  <si>
    <t>Dr D. Sujitha</t>
  </si>
  <si>
    <t>S D</t>
  </si>
  <si>
    <t>Programs- 11</t>
  </si>
  <si>
    <t>100 %</t>
  </si>
  <si>
    <t>II -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</si>
</sst>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\,\ d"/>
    <numFmt numFmtId="165" formatCode="dd\-mmm"/>
  </numFmts>
  <fonts count="38">
    <font>
      <sz val="10"/>
      <color rgb="FF000000"/>
      <name val="Arial"/>
      <scheme val="minor"/>
    </font>
    <font>
      <b/>
      <sz val="14"/>
      <color theme="1"/>
      <name val="Times New Roman"/>
    </font>
    <font>
      <sz val="14"/>
      <color theme="1"/>
      <name val="Times New Roman"/>
    </font>
    <font>
      <sz val="10"/>
      <color theme="1"/>
      <name val="Arial"/>
    </font>
    <font>
      <b/>
      <sz val="14"/>
      <color theme="1"/>
      <name val="Calibri"/>
    </font>
    <font>
      <b/>
      <sz val="11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2"/>
      <color theme="1"/>
      <name val="Calibri"/>
    </font>
    <font>
      <sz val="10"/>
      <name val="Arial"/>
    </font>
    <font>
      <sz val="12"/>
      <color theme="1"/>
      <name val="Arial"/>
    </font>
    <font>
      <sz val="12"/>
      <color theme="1"/>
      <name val="Times New Roman"/>
    </font>
    <font>
      <b/>
      <u/>
      <sz val="15"/>
      <color theme="1"/>
      <name val="Times New Roman"/>
    </font>
    <font>
      <b/>
      <u/>
      <sz val="15"/>
      <color theme="1"/>
      <name val="Times New Roman"/>
    </font>
    <font>
      <b/>
      <sz val="15"/>
      <color rgb="FF000000"/>
      <name val="&quot;Times New Roman&quot;"/>
    </font>
    <font>
      <b/>
      <sz val="12"/>
      <color rgb="FF000000"/>
      <name val="&quot;Times New Roman&quot;"/>
    </font>
    <font>
      <b/>
      <sz val="15"/>
      <color theme="1"/>
      <name val="Times New Roman"/>
    </font>
    <font>
      <b/>
      <sz val="13"/>
      <color theme="1"/>
      <name val="Times New Roman"/>
    </font>
    <font>
      <b/>
      <sz val="10"/>
      <color rgb="FF000000"/>
      <name val="&quot;Times New Roman&quot;"/>
    </font>
    <font>
      <sz val="12"/>
      <color rgb="FF000000"/>
      <name val="Times New Roman"/>
    </font>
    <font>
      <sz val="12"/>
      <color rgb="FF000000"/>
      <name val="&quot;Times New Roman&quot;"/>
    </font>
    <font>
      <sz val="11"/>
      <color rgb="FF000000"/>
      <name val="Calibri"/>
    </font>
    <font>
      <b/>
      <sz val="14"/>
      <color rgb="FF000000"/>
      <name val="&quot;Times New Roman&quot;"/>
    </font>
    <font>
      <b/>
      <sz val="16"/>
      <color rgb="FF000000"/>
      <name val="&quot;Times New Roman&quot;"/>
    </font>
    <font>
      <b/>
      <sz val="14"/>
      <color rgb="FF000000"/>
      <name val="Times New Roman"/>
    </font>
    <font>
      <sz val="10"/>
      <color rgb="FF000000"/>
      <name val="Times New Roman"/>
    </font>
    <font>
      <sz val="15"/>
      <color rgb="FF000000"/>
      <name val="Times New Roman"/>
    </font>
    <font>
      <b/>
      <sz val="10"/>
      <color theme="1"/>
      <name val="Times New Roman"/>
    </font>
    <font>
      <b/>
      <sz val="11"/>
      <color theme="1"/>
      <name val="Times New Roman"/>
    </font>
    <font>
      <sz val="12"/>
      <color rgb="FF1F1F1F"/>
      <name val="Times New Roman"/>
    </font>
    <font>
      <b/>
      <sz val="12"/>
      <color rgb="FF1F1F1F"/>
      <name val="Times New Roman"/>
    </font>
    <font>
      <b/>
      <sz val="12"/>
      <color theme="1"/>
      <name val="Times New Roman"/>
    </font>
    <font>
      <sz val="11"/>
      <color theme="1"/>
      <name val="Times New Roman"/>
    </font>
    <font>
      <sz val="20"/>
      <color theme="1"/>
      <name val="Times New Roman"/>
    </font>
    <font>
      <sz val="15"/>
      <color theme="1"/>
      <name val="Calibri"/>
    </font>
    <font>
      <sz val="16"/>
      <color theme="1"/>
      <name val="Times New Roman"/>
    </font>
    <font>
      <sz val="11"/>
      <color theme="1"/>
      <name val="Calibri"/>
    </font>
    <font>
      <sz val="11"/>
      <color rgb="FF000000"/>
      <name val="&quot;Times New Roman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1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CCCCCC"/>
      </left>
      <right style="thick">
        <color rgb="FF000000"/>
      </right>
      <top/>
      <bottom/>
      <diagonal/>
    </border>
    <border>
      <left style="thick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CCCCCC"/>
      </left>
      <right/>
      <top style="thin">
        <color rgb="FF000000"/>
      </top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6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/>
    <xf numFmtId="0" fontId="3" fillId="2" borderId="0" xfId="0" applyFont="1" applyFill="1" applyAlignment="1"/>
    <xf numFmtId="0" fontId="3" fillId="0" borderId="0" xfId="0" applyFont="1"/>
    <xf numFmtId="0" fontId="3" fillId="0" borderId="0" xfId="0" applyFont="1" applyAlignment="1">
      <alignment vertical="top"/>
    </xf>
    <xf numFmtId="0" fontId="5" fillId="0" borderId="0" xfId="0" applyFont="1" applyAlignment="1"/>
    <xf numFmtId="0" fontId="6" fillId="0" borderId="0" xfId="0" applyFont="1" applyAlignment="1">
      <alignment horizontal="left"/>
    </xf>
    <xf numFmtId="0" fontId="7" fillId="0" borderId="0" xfId="0" applyFont="1"/>
    <xf numFmtId="0" fontId="7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3" fillId="0" borderId="0" xfId="0" applyFont="1" applyAlignment="1">
      <alignment horizontal="center"/>
    </xf>
    <xf numFmtId="0" fontId="1" fillId="0" borderId="2" xfId="0" applyFont="1" applyBorder="1" applyAlignment="1">
      <alignment horizontal="left"/>
    </xf>
    <xf numFmtId="0" fontId="18" fillId="0" borderId="10" xfId="0" applyFont="1" applyBorder="1" applyAlignment="1">
      <alignment horizontal="left" wrapText="1"/>
    </xf>
    <xf numFmtId="0" fontId="14" fillId="0" borderId="0" xfId="0" applyFont="1" applyAlignment="1">
      <alignment horizontal="center"/>
    </xf>
    <xf numFmtId="0" fontId="19" fillId="0" borderId="2" xfId="0" applyFont="1" applyBorder="1" applyAlignment="1">
      <alignment horizontal="center"/>
    </xf>
    <xf numFmtId="0" fontId="19" fillId="2" borderId="2" xfId="0" applyFont="1" applyFill="1" applyBorder="1" applyAlignment="1">
      <alignment horizontal="left" vertical="top"/>
    </xf>
    <xf numFmtId="0" fontId="11" fillId="0" borderId="2" xfId="0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1" fontId="11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9" fillId="2" borderId="2" xfId="0" applyFont="1" applyFill="1" applyBorder="1" applyAlignment="1">
      <alignment horizontal="left"/>
    </xf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left" vertical="top"/>
    </xf>
    <xf numFmtId="0" fontId="6" fillId="0" borderId="0" xfId="0" applyFont="1" applyAlignment="1">
      <alignment horizontal="center" vertical="center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horizontal="left"/>
    </xf>
    <xf numFmtId="0" fontId="15" fillId="2" borderId="2" xfId="0" applyFont="1" applyFill="1" applyBorder="1" applyAlignment="1">
      <alignment horizontal="left"/>
    </xf>
    <xf numFmtId="0" fontId="15" fillId="2" borderId="2" xfId="0" applyFont="1" applyFill="1" applyBorder="1" applyAlignment="1">
      <alignment horizontal="center"/>
    </xf>
    <xf numFmtId="0" fontId="15" fillId="0" borderId="3" xfId="0" applyFont="1" applyBorder="1" applyAlignment="1"/>
    <xf numFmtId="0" fontId="15" fillId="2" borderId="2" xfId="0" applyFont="1" applyFill="1" applyBorder="1" applyAlignment="1">
      <alignment horizontal="left"/>
    </xf>
    <xf numFmtId="0" fontId="22" fillId="2" borderId="2" xfId="0" applyFont="1" applyFill="1" applyBorder="1" applyAlignment="1">
      <alignment horizontal="center"/>
    </xf>
    <xf numFmtId="0" fontId="23" fillId="2" borderId="2" xfId="0" applyFont="1" applyFill="1" applyBorder="1" applyAlignment="1">
      <alignment horizontal="center"/>
    </xf>
    <xf numFmtId="0" fontId="23" fillId="2" borderId="8" xfId="0" applyFont="1" applyFill="1" applyBorder="1" applyAlignment="1"/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0" fontId="22" fillId="2" borderId="2" xfId="0" applyFont="1" applyFill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21" fillId="0" borderId="2" xfId="0" applyFont="1" applyBorder="1" applyAlignment="1">
      <alignment horizontal="left"/>
    </xf>
    <xf numFmtId="9" fontId="21" fillId="0" borderId="2" xfId="0" applyNumberFormat="1" applyFont="1" applyBorder="1" applyAlignment="1">
      <alignment horizontal="left"/>
    </xf>
    <xf numFmtId="165" fontId="21" fillId="0" borderId="2" xfId="0" applyNumberFormat="1" applyFont="1" applyBorder="1" applyAlignment="1">
      <alignment horizontal="center"/>
    </xf>
    <xf numFmtId="0" fontId="20" fillId="2" borderId="2" xfId="0" applyFont="1" applyFill="1" applyBorder="1" applyAlignment="1">
      <alignment horizontal="left"/>
    </xf>
    <xf numFmtId="0" fontId="20" fillId="2" borderId="2" xfId="0" applyFont="1" applyFill="1" applyBorder="1" applyAlignment="1">
      <alignment horizontal="left" vertical="top"/>
    </xf>
    <xf numFmtId="0" fontId="20" fillId="2" borderId="2" xfId="0" applyFont="1" applyFill="1" applyBorder="1" applyAlignment="1">
      <alignment horizontal="left"/>
    </xf>
    <xf numFmtId="0" fontId="3" fillId="0" borderId="1" xfId="0" applyFont="1" applyBorder="1" applyAlignment="1">
      <alignment vertical="top"/>
    </xf>
    <xf numFmtId="0" fontId="2" fillId="2" borderId="15" xfId="0" applyFont="1" applyFill="1" applyBorder="1" applyAlignment="1"/>
    <xf numFmtId="0" fontId="6" fillId="0" borderId="0" xfId="0" applyFont="1" applyAlignment="1">
      <alignment horizontal="center"/>
    </xf>
    <xf numFmtId="0" fontId="24" fillId="0" borderId="0" xfId="0" applyFont="1" applyAlignment="1"/>
    <xf numFmtId="0" fontId="25" fillId="0" borderId="0" xfId="0" applyFont="1" applyAlignment="1">
      <alignment horizontal="left"/>
    </xf>
    <xf numFmtId="0" fontId="26" fillId="0" borderId="2" xfId="0" applyFont="1" applyBorder="1" applyAlignment="1">
      <alignment horizontal="right"/>
    </xf>
    <xf numFmtId="0" fontId="19" fillId="0" borderId="4" xfId="0" applyFont="1" applyBorder="1" applyAlignment="1">
      <alignment horizontal="center"/>
    </xf>
    <xf numFmtId="0" fontId="19" fillId="0" borderId="4" xfId="0" applyFont="1" applyBorder="1" applyAlignment="1">
      <alignment horizontal="center"/>
    </xf>
    <xf numFmtId="0" fontId="25" fillId="0" borderId="0" xfId="0" applyFont="1" applyAlignment="1"/>
    <xf numFmtId="0" fontId="26" fillId="0" borderId="13" xfId="0" applyFont="1" applyBorder="1" applyAlignment="1">
      <alignment horizontal="left"/>
    </xf>
    <xf numFmtId="0" fontId="19" fillId="0" borderId="13" xfId="0" applyFont="1" applyBorder="1" applyAlignment="1">
      <alignment horizontal="center"/>
    </xf>
    <xf numFmtId="0" fontId="19" fillId="0" borderId="13" xfId="0" applyFont="1" applyBorder="1" applyAlignment="1">
      <alignment horizontal="left"/>
    </xf>
    <xf numFmtId="0" fontId="29" fillId="0" borderId="2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9" fillId="0" borderId="12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wrapText="1"/>
    </xf>
    <xf numFmtId="0" fontId="31" fillId="0" borderId="20" xfId="0" applyFont="1" applyBorder="1" applyAlignment="1">
      <alignment horizontal="center" wrapText="1"/>
    </xf>
    <xf numFmtId="0" fontId="31" fillId="0" borderId="2" xfId="0" applyFont="1" applyBorder="1" applyAlignment="1">
      <alignment horizontal="center" wrapText="1"/>
    </xf>
    <xf numFmtId="0" fontId="31" fillId="0" borderId="23" xfId="0" applyFont="1" applyBorder="1" applyAlignment="1">
      <alignment horizontal="center" wrapText="1"/>
    </xf>
    <xf numFmtId="0" fontId="31" fillId="0" borderId="24" xfId="0" applyFont="1" applyBorder="1" applyAlignment="1">
      <alignment horizontal="center" wrapText="1"/>
    </xf>
    <xf numFmtId="0" fontId="31" fillId="0" borderId="28" xfId="0" applyFont="1" applyBorder="1" applyAlignment="1">
      <alignment horizontal="center" wrapText="1"/>
    </xf>
    <xf numFmtId="0" fontId="31" fillId="0" borderId="29" xfId="0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1" fillId="2" borderId="30" xfId="0" applyFont="1" applyFill="1" applyBorder="1" applyAlignment="1">
      <alignment wrapText="1"/>
    </xf>
    <xf numFmtId="0" fontId="32" fillId="0" borderId="2" xfId="0" applyFont="1" applyBorder="1" applyAlignment="1">
      <alignment wrapText="1"/>
    </xf>
    <xf numFmtId="0" fontId="6" fillId="0" borderId="2" xfId="0" applyFont="1" applyBorder="1" applyAlignment="1"/>
    <xf numFmtId="0" fontId="10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11" fillId="0" borderId="0" xfId="0" applyFont="1" applyAlignment="1">
      <alignment horizontal="left" vertical="top"/>
    </xf>
    <xf numFmtId="0" fontId="11" fillId="0" borderId="0" xfId="0" applyFont="1" applyAlignment="1">
      <alignment horizontal="center"/>
    </xf>
    <xf numFmtId="0" fontId="33" fillId="0" borderId="0" xfId="0" applyFont="1" applyAlignment="1"/>
    <xf numFmtId="0" fontId="34" fillId="0" borderId="0" xfId="0" applyFont="1" applyAlignment="1"/>
    <xf numFmtId="0" fontId="3" fillId="0" borderId="0" xfId="0" applyFont="1" applyAlignment="1">
      <alignment horizontal="center"/>
    </xf>
    <xf numFmtId="0" fontId="10" fillId="0" borderId="0" xfId="0" applyFont="1" applyAlignment="1"/>
    <xf numFmtId="0" fontId="35" fillId="0" borderId="0" xfId="0" applyFont="1"/>
    <xf numFmtId="0" fontId="3" fillId="0" borderId="0" xfId="0" applyFont="1" applyAlignment="1"/>
    <xf numFmtId="0" fontId="31" fillId="0" borderId="0" xfId="0" applyFont="1" applyAlignment="1"/>
    <xf numFmtId="0" fontId="28" fillId="0" borderId="9" xfId="0" applyFont="1" applyBorder="1" applyAlignment="1">
      <alignment horizontal="center" wrapText="1"/>
    </xf>
    <xf numFmtId="0" fontId="28" fillId="0" borderId="12" xfId="0" applyFont="1" applyBorder="1" applyAlignment="1">
      <alignment horizontal="center" wrapText="1"/>
    </xf>
    <xf numFmtId="0" fontId="28" fillId="0" borderId="2" xfId="0" applyFont="1" applyBorder="1" applyAlignment="1">
      <alignment horizontal="center" wrapText="1"/>
    </xf>
    <xf numFmtId="0" fontId="32" fillId="0" borderId="2" xfId="0" applyFont="1" applyBorder="1" applyAlignment="1">
      <alignment horizontal="center" vertical="center" wrapText="1"/>
    </xf>
    <xf numFmtId="0" fontId="36" fillId="0" borderId="2" xfId="0" applyFont="1" applyBorder="1" applyAlignment="1">
      <alignment horizontal="center" vertical="center" wrapText="1"/>
    </xf>
    <xf numFmtId="0" fontId="32" fillId="0" borderId="2" xfId="0" applyFont="1" applyBorder="1" applyAlignment="1">
      <alignment horizontal="center" wrapText="1"/>
    </xf>
    <xf numFmtId="9" fontId="37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left" wrapText="1"/>
    </xf>
    <xf numFmtId="0" fontId="32" fillId="0" borderId="2" xfId="0" applyFont="1" applyBorder="1" applyAlignment="1">
      <alignment horizontal="center" vertical="top" wrapText="1"/>
    </xf>
    <xf numFmtId="9" fontId="32" fillId="0" borderId="2" xfId="0" applyNumberFormat="1" applyFont="1" applyBorder="1" applyAlignment="1">
      <alignment horizontal="center" wrapText="1"/>
    </xf>
    <xf numFmtId="0" fontId="32" fillId="0" borderId="2" xfId="0" applyFont="1" applyBorder="1" applyAlignment="1">
      <alignment horizontal="left" wrapText="1"/>
    </xf>
    <xf numFmtId="0" fontId="32" fillId="0" borderId="2" xfId="0" applyFont="1" applyBorder="1" applyAlignment="1">
      <alignment horizontal="center" wrapText="1"/>
    </xf>
    <xf numFmtId="0" fontId="17" fillId="0" borderId="9" xfId="0" applyFont="1" applyBorder="1" applyAlignment="1">
      <alignment horizontal="center" vertical="center"/>
    </xf>
    <xf numFmtId="0" fontId="9" fillId="0" borderId="12" xfId="0" applyFont="1" applyBorder="1"/>
    <xf numFmtId="0" fontId="14" fillId="0" borderId="0" xfId="0" applyFont="1" applyAlignment="1">
      <alignment horizontal="center"/>
    </xf>
    <xf numFmtId="0" fontId="0" fillId="0" borderId="0" xfId="0" applyFont="1" applyAlignment="1"/>
    <xf numFmtId="0" fontId="9" fillId="0" borderId="8" xfId="0" applyFont="1" applyBorder="1"/>
    <xf numFmtId="0" fontId="16" fillId="0" borderId="1" xfId="0" applyFont="1" applyBorder="1" applyAlignment="1">
      <alignment horizontal="left"/>
    </xf>
    <xf numFmtId="0" fontId="9" fillId="0" borderId="11" xfId="0" applyFont="1" applyBorder="1"/>
    <xf numFmtId="0" fontId="19" fillId="0" borderId="3" xfId="0" applyFont="1" applyBorder="1" applyAlignment="1">
      <alignment horizontal="center" vertical="top"/>
    </xf>
    <xf numFmtId="0" fontId="9" fillId="0" borderId="4" xfId="0" applyFont="1" applyBorder="1"/>
    <xf numFmtId="0" fontId="19" fillId="0" borderId="14" xfId="0" applyFont="1" applyBorder="1" applyAlignment="1">
      <alignment horizontal="center"/>
    </xf>
    <xf numFmtId="0" fontId="9" fillId="0" borderId="14" xfId="0" applyFont="1" applyBorder="1"/>
    <xf numFmtId="0" fontId="9" fillId="0" borderId="6" xfId="0" applyFont="1" applyBorder="1"/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9" fillId="0" borderId="3" xfId="0" applyFont="1" applyBorder="1"/>
    <xf numFmtId="0" fontId="15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9" fillId="0" borderId="7" xfId="0" applyFont="1" applyBorder="1"/>
    <xf numFmtId="0" fontId="9" fillId="0" borderId="13" xfId="0" applyFont="1" applyBorder="1"/>
    <xf numFmtId="0" fontId="20" fillId="0" borderId="0" xfId="0" applyFont="1" applyAlignment="1">
      <alignment horizontal="center" vertical="top"/>
    </xf>
    <xf numFmtId="0" fontId="20" fillId="0" borderId="0" xfId="0" applyFont="1" applyAlignment="1">
      <alignment horizontal="center"/>
    </xf>
    <xf numFmtId="0" fontId="9" fillId="0" borderId="10" xfId="0" applyFont="1" applyBorder="1"/>
    <xf numFmtId="0" fontId="19" fillId="0" borderId="10" xfId="0" applyFont="1" applyBorder="1" applyAlignment="1">
      <alignment horizontal="center" wrapText="1"/>
    </xf>
    <xf numFmtId="0" fontId="3" fillId="0" borderId="16" xfId="0" applyFont="1" applyBorder="1"/>
    <xf numFmtId="0" fontId="9" fillId="0" borderId="16" xfId="0" applyFont="1" applyBorder="1"/>
    <xf numFmtId="0" fontId="9" fillId="0" borderId="25" xfId="0" applyFont="1" applyBorder="1"/>
    <xf numFmtId="0" fontId="31" fillId="0" borderId="17" xfId="0" applyFont="1" applyBorder="1" applyAlignment="1">
      <alignment horizontal="left" wrapText="1"/>
    </xf>
    <xf numFmtId="0" fontId="9" fillId="0" borderId="18" xfId="0" applyFont="1" applyBorder="1"/>
    <xf numFmtId="0" fontId="31" fillId="0" borderId="21" xfId="0" applyFont="1" applyBorder="1" applyAlignment="1">
      <alignment horizontal="left" wrapText="1"/>
    </xf>
    <xf numFmtId="0" fontId="9" fillId="0" borderId="22" xfId="0" applyFont="1" applyBorder="1"/>
    <xf numFmtId="0" fontId="31" fillId="0" borderId="26" xfId="0" applyFont="1" applyBorder="1" applyAlignment="1">
      <alignment horizontal="left" wrapText="1"/>
    </xf>
    <xf numFmtId="0" fontId="9" fillId="0" borderId="27" xfId="0" applyFont="1" applyBorder="1"/>
    <xf numFmtId="0" fontId="11" fillId="0" borderId="5" xfId="0" applyFont="1" applyBorder="1" applyAlignment="1">
      <alignment horizontal="center" wrapText="1"/>
    </xf>
    <xf numFmtId="0" fontId="27" fillId="0" borderId="9" xfId="0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30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left"/>
    </xf>
    <xf numFmtId="0" fontId="3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left" wrapText="1"/>
    </xf>
    <xf numFmtId="0" fontId="11" fillId="0" borderId="9" xfId="0" applyFont="1" applyBorder="1" applyAlignment="1">
      <alignment horizontal="center" wrapText="1"/>
    </xf>
    <xf numFmtId="0" fontId="28" fillId="0" borderId="5" xfId="0" applyFont="1" applyBorder="1" applyAlignment="1">
      <alignment horizontal="center" wrapText="1"/>
    </xf>
    <xf numFmtId="0" fontId="28" fillId="0" borderId="5" xfId="0" applyFont="1" applyBorder="1" applyAlignment="1">
      <alignment horizontal="center" vertical="center" wrapText="1"/>
    </xf>
    <xf numFmtId="9" fontId="32" fillId="0" borderId="9" xfId="0" applyNumberFormat="1" applyFont="1" applyBorder="1" applyAlignment="1">
      <alignment horizontal="center" wrapText="1"/>
    </xf>
    <xf numFmtId="0" fontId="32" fillId="0" borderId="9" xfId="0" applyFont="1" applyBorder="1" applyAlignment="1">
      <alignment horizontal="center" wrapText="1"/>
    </xf>
    <xf numFmtId="0" fontId="32" fillId="0" borderId="9" xfId="0" applyFont="1" applyBorder="1" applyAlignment="1">
      <alignment horizontal="left" vertical="center" wrapText="1"/>
    </xf>
    <xf numFmtId="0" fontId="36" fillId="0" borderId="9" xfId="0" applyFont="1" applyBorder="1" applyAlignment="1">
      <alignment horizontal="center" vertical="center" wrapText="1"/>
    </xf>
    <xf numFmtId="9" fontId="32" fillId="0" borderId="9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285750</xdr:colOff>
      <xdr:row>1</xdr:row>
      <xdr:rowOff>104775</xdr:rowOff>
    </xdr:from>
    <xdr:ext cx="685800" cy="6858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85750" y="304800"/>
          <a:ext cx="685800" cy="685800"/>
        </a:xfrm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W985"/>
  <sheetViews>
    <sheetView tabSelected="1" workbookViewId="0">
      <selection activeCell="H5" sqref="H5"/>
    </sheetView>
  </sheetViews>
  <sheetFormatPr defaultColWidth="12.5703125" defaultRowHeight="15.75" customHeight="1"/>
  <cols>
    <col min="1" max="1" width="4.5703125" customWidth="1"/>
    <col min="2" max="2" width="12.85546875" customWidth="1"/>
    <col min="3" max="3" width="27.42578125" customWidth="1"/>
    <col min="4" max="4" width="4.5703125" customWidth="1"/>
    <col min="5" max="5" width="4.7109375" customWidth="1"/>
    <col min="6" max="8" width="5" customWidth="1"/>
    <col min="9" max="9" width="4.42578125" customWidth="1"/>
    <col min="10" max="23" width="5" customWidth="1"/>
  </cols>
  <sheetData>
    <row r="1" spans="1:23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Q1" s="119" t="s">
        <v>0</v>
      </c>
      <c r="R1" s="106"/>
      <c r="S1" s="106"/>
      <c r="T1" s="106"/>
      <c r="U1" s="106"/>
      <c r="V1" s="106"/>
      <c r="W1" s="2"/>
    </row>
    <row r="2" spans="1:23" ht="15.75" customHeight="1">
      <c r="A2" s="120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2"/>
      <c r="S2" s="2"/>
      <c r="T2" s="2"/>
      <c r="U2" s="2"/>
      <c r="V2" s="2"/>
      <c r="W2" s="2"/>
    </row>
    <row r="3" spans="1:23" ht="15.75" customHeight="1">
      <c r="A3" s="120" t="s">
        <v>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  <c r="P3" s="106"/>
      <c r="Q3" s="106"/>
      <c r="R3" s="2"/>
      <c r="S3" s="2"/>
      <c r="T3" s="2"/>
      <c r="U3" s="2"/>
      <c r="V3" s="2"/>
      <c r="W3" s="2"/>
    </row>
    <row r="4" spans="1:23" ht="15.75" customHeight="1">
      <c r="A4" s="120" t="s">
        <v>3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2"/>
      <c r="S4" s="2"/>
      <c r="T4" s="2"/>
      <c r="U4" s="2"/>
      <c r="V4" s="2"/>
      <c r="W4" s="2"/>
    </row>
    <row r="5" spans="1:23" ht="15.75" customHeight="1">
      <c r="A5" s="2"/>
      <c r="B5" s="3"/>
      <c r="C5" s="4" t="s">
        <v>4</v>
      </c>
      <c r="D5" s="2"/>
      <c r="E5" s="5" t="s">
        <v>296</v>
      </c>
      <c r="F5" s="2"/>
      <c r="G5" s="2"/>
      <c r="H5" s="2"/>
      <c r="I5" s="2"/>
      <c r="J5" s="5" t="s">
        <v>5</v>
      </c>
      <c r="K5" s="6"/>
      <c r="L5" s="2"/>
      <c r="M5" s="2"/>
      <c r="N5" s="7"/>
      <c r="O5" s="2"/>
      <c r="P5" s="8"/>
      <c r="Q5" s="8"/>
      <c r="R5" s="9" t="s">
        <v>6</v>
      </c>
      <c r="S5" s="2"/>
      <c r="T5" s="2"/>
      <c r="U5" s="2"/>
      <c r="V5" s="2"/>
      <c r="W5" s="2"/>
    </row>
    <row r="6" spans="1:23">
      <c r="B6" s="10"/>
      <c r="C6" s="10"/>
    </row>
    <row r="7" spans="1:23" ht="15.75" customHeight="1">
      <c r="A7" s="11"/>
      <c r="B7" s="12"/>
      <c r="C7" s="13" t="s">
        <v>7</v>
      </c>
      <c r="D7" s="121">
        <v>31</v>
      </c>
      <c r="E7" s="111"/>
      <c r="F7" s="116">
        <v>33</v>
      </c>
      <c r="G7" s="111"/>
      <c r="H7" s="116">
        <v>31</v>
      </c>
      <c r="I7" s="117"/>
      <c r="J7" s="122">
        <v>11</v>
      </c>
      <c r="K7" s="111"/>
      <c r="L7" s="121">
        <v>52</v>
      </c>
      <c r="M7" s="111"/>
      <c r="N7" s="115">
        <v>10</v>
      </c>
      <c r="O7" s="111"/>
      <c r="P7" s="116">
        <v>20</v>
      </c>
      <c r="Q7" s="117"/>
      <c r="R7" s="124">
        <v>46306</v>
      </c>
      <c r="S7" s="111"/>
      <c r="T7" s="121">
        <v>12</v>
      </c>
      <c r="U7" s="111"/>
      <c r="V7" s="125" t="s">
        <v>8</v>
      </c>
      <c r="W7" s="14"/>
    </row>
    <row r="8" spans="1:23" ht="15.75" customHeight="1">
      <c r="A8" s="105"/>
      <c r="B8" s="106"/>
      <c r="C8" s="15" t="s">
        <v>9</v>
      </c>
      <c r="D8" s="123" t="s">
        <v>10</v>
      </c>
      <c r="E8" s="111"/>
      <c r="F8" s="118" t="s">
        <v>11</v>
      </c>
      <c r="G8" s="111"/>
      <c r="H8" s="118" t="s">
        <v>12</v>
      </c>
      <c r="I8" s="111"/>
      <c r="J8" s="118" t="s">
        <v>13</v>
      </c>
      <c r="K8" s="111"/>
      <c r="L8" s="118" t="s">
        <v>14</v>
      </c>
      <c r="M8" s="111"/>
      <c r="N8" s="118" t="s">
        <v>15</v>
      </c>
      <c r="O8" s="111"/>
      <c r="P8" s="118" t="s">
        <v>16</v>
      </c>
      <c r="Q8" s="111"/>
      <c r="R8" s="118" t="s">
        <v>17</v>
      </c>
      <c r="S8" s="111"/>
      <c r="T8" s="118" t="s">
        <v>18</v>
      </c>
      <c r="U8" s="111"/>
      <c r="V8" s="126"/>
      <c r="W8" s="14"/>
    </row>
    <row r="9" spans="1:23" ht="15.75" customHeight="1">
      <c r="A9" s="107"/>
      <c r="B9" s="107"/>
      <c r="C9" s="108" t="s">
        <v>19</v>
      </c>
      <c r="D9" s="103" t="s">
        <v>20</v>
      </c>
      <c r="E9" s="103" t="s">
        <v>21</v>
      </c>
      <c r="F9" s="103" t="s">
        <v>20</v>
      </c>
      <c r="G9" s="103" t="s">
        <v>21</v>
      </c>
      <c r="H9" s="103" t="s">
        <v>20</v>
      </c>
      <c r="I9" s="103" t="s">
        <v>21</v>
      </c>
      <c r="J9" s="103" t="s">
        <v>20</v>
      </c>
      <c r="K9" s="103" t="s">
        <v>21</v>
      </c>
      <c r="L9" s="103" t="s">
        <v>20</v>
      </c>
      <c r="M9" s="103" t="s">
        <v>21</v>
      </c>
      <c r="N9" s="103" t="s">
        <v>20</v>
      </c>
      <c r="O9" s="103" t="s">
        <v>21</v>
      </c>
      <c r="P9" s="103" t="s">
        <v>20</v>
      </c>
      <c r="Q9" s="103" t="s">
        <v>21</v>
      </c>
      <c r="R9" s="103" t="s">
        <v>20</v>
      </c>
      <c r="S9" s="103" t="s">
        <v>21</v>
      </c>
      <c r="T9" s="103" t="s">
        <v>20</v>
      </c>
      <c r="U9" s="103" t="s">
        <v>21</v>
      </c>
      <c r="V9" s="126"/>
      <c r="W9" s="14"/>
    </row>
    <row r="10" spans="1:23" ht="15.75" customHeight="1">
      <c r="A10" s="16" t="s">
        <v>22</v>
      </c>
      <c r="B10" s="17" t="s">
        <v>23</v>
      </c>
      <c r="C10" s="109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27"/>
      <c r="W10" s="14"/>
    </row>
    <row r="11" spans="1:23" ht="15.75" customHeight="1">
      <c r="A11" s="18">
        <v>1</v>
      </c>
      <c r="B11" s="19" t="s">
        <v>24</v>
      </c>
      <c r="C11" s="19" t="s">
        <v>25</v>
      </c>
      <c r="D11" s="20">
        <v>27</v>
      </c>
      <c r="E11" s="21">
        <f t="shared" ref="E11:E65" si="0">(D11/31)*100</f>
        <v>87.096774193548384</v>
      </c>
      <c r="F11" s="18">
        <v>26</v>
      </c>
      <c r="G11" s="21">
        <f t="shared" ref="G11:G65" si="1">(F11/33)*100</f>
        <v>78.787878787878782</v>
      </c>
      <c r="H11" s="18">
        <v>29</v>
      </c>
      <c r="I11" s="22">
        <f t="shared" ref="I11:I65" si="2">(H11/31)*100</f>
        <v>93.548387096774192</v>
      </c>
      <c r="J11" s="20">
        <v>10</v>
      </c>
      <c r="K11" s="23">
        <f t="shared" ref="K11:K38" si="3">(J11/11)*100</f>
        <v>90.909090909090907</v>
      </c>
      <c r="L11" s="20">
        <v>50</v>
      </c>
      <c r="M11" s="21">
        <f t="shared" ref="M11:M65" si="4">(L11/52)*100</f>
        <v>96.15384615384616</v>
      </c>
      <c r="N11" s="20">
        <v>9</v>
      </c>
      <c r="O11" s="20">
        <f t="shared" ref="O11:O65" si="5">(N11/10)*100</f>
        <v>90</v>
      </c>
      <c r="P11" s="20">
        <v>17</v>
      </c>
      <c r="Q11" s="21">
        <f t="shared" ref="Q11:Q65" si="6">(P11/20)*100</f>
        <v>85</v>
      </c>
      <c r="R11" s="24">
        <v>8</v>
      </c>
      <c r="S11" s="25">
        <f t="shared" ref="S11:S38" si="7">(R11/10)*100</f>
        <v>80</v>
      </c>
      <c r="T11" s="18">
        <v>10</v>
      </c>
      <c r="U11" s="21">
        <f t="shared" ref="U11:U65" si="8">(T11/12)*100</f>
        <v>83.333333333333343</v>
      </c>
      <c r="V11" s="21">
        <f t="shared" ref="V11:V65" si="9">AVERAGE(E11,G11,I11,K11,M11,O11,Q11,S11,U11)</f>
        <v>87.203256719385763</v>
      </c>
    </row>
    <row r="12" spans="1:23" ht="15.75" customHeight="1">
      <c r="A12" s="18">
        <v>2</v>
      </c>
      <c r="B12" s="19" t="s">
        <v>26</v>
      </c>
      <c r="C12" s="19" t="s">
        <v>27</v>
      </c>
      <c r="D12" s="20">
        <v>26</v>
      </c>
      <c r="E12" s="21">
        <f t="shared" si="0"/>
        <v>83.870967741935488</v>
      </c>
      <c r="F12" s="18">
        <v>29</v>
      </c>
      <c r="G12" s="21">
        <f t="shared" si="1"/>
        <v>87.878787878787875</v>
      </c>
      <c r="H12" s="18">
        <v>27</v>
      </c>
      <c r="I12" s="22">
        <f t="shared" si="2"/>
        <v>87.096774193548384</v>
      </c>
      <c r="J12" s="20">
        <v>10</v>
      </c>
      <c r="K12" s="23">
        <f t="shared" si="3"/>
        <v>90.909090909090907</v>
      </c>
      <c r="L12" s="20">
        <v>48</v>
      </c>
      <c r="M12" s="21">
        <f t="shared" si="4"/>
        <v>92.307692307692307</v>
      </c>
      <c r="N12" s="20">
        <v>7</v>
      </c>
      <c r="O12" s="20">
        <f t="shared" si="5"/>
        <v>70</v>
      </c>
      <c r="P12" s="20">
        <v>16</v>
      </c>
      <c r="Q12" s="21">
        <f t="shared" si="6"/>
        <v>80</v>
      </c>
      <c r="R12" s="24">
        <v>8</v>
      </c>
      <c r="S12" s="25">
        <f t="shared" si="7"/>
        <v>80</v>
      </c>
      <c r="T12" s="18">
        <v>9</v>
      </c>
      <c r="U12" s="21">
        <f t="shared" si="8"/>
        <v>75</v>
      </c>
      <c r="V12" s="21">
        <f t="shared" si="9"/>
        <v>83.007034781228342</v>
      </c>
    </row>
    <row r="13" spans="1:23" ht="15.75" customHeight="1">
      <c r="A13" s="18">
        <v>3</v>
      </c>
      <c r="B13" s="19" t="s">
        <v>28</v>
      </c>
      <c r="C13" s="19" t="s">
        <v>29</v>
      </c>
      <c r="D13" s="20">
        <v>19</v>
      </c>
      <c r="E13" s="21">
        <f t="shared" si="0"/>
        <v>61.29032258064516</v>
      </c>
      <c r="F13" s="18">
        <v>19</v>
      </c>
      <c r="G13" s="21">
        <f t="shared" si="1"/>
        <v>57.575757575757578</v>
      </c>
      <c r="H13" s="18">
        <v>28</v>
      </c>
      <c r="I13" s="22">
        <f t="shared" si="2"/>
        <v>90.322580645161281</v>
      </c>
      <c r="J13" s="20">
        <v>9</v>
      </c>
      <c r="K13" s="23">
        <f t="shared" si="3"/>
        <v>81.818181818181827</v>
      </c>
      <c r="L13" s="26">
        <v>42</v>
      </c>
      <c r="M13" s="21">
        <f t="shared" si="4"/>
        <v>80.769230769230774</v>
      </c>
      <c r="N13" s="20">
        <v>9</v>
      </c>
      <c r="O13" s="20">
        <f t="shared" si="5"/>
        <v>90</v>
      </c>
      <c r="P13" s="20">
        <v>14</v>
      </c>
      <c r="Q13" s="21">
        <f t="shared" si="6"/>
        <v>70</v>
      </c>
      <c r="R13" s="24">
        <v>6</v>
      </c>
      <c r="S13" s="25">
        <f t="shared" si="7"/>
        <v>60</v>
      </c>
      <c r="T13" s="18">
        <v>11</v>
      </c>
      <c r="U13" s="21">
        <f t="shared" si="8"/>
        <v>91.666666666666657</v>
      </c>
      <c r="V13" s="21">
        <f t="shared" si="9"/>
        <v>75.938082228404795</v>
      </c>
    </row>
    <row r="14" spans="1:23" ht="15.75" customHeight="1">
      <c r="A14" s="18">
        <v>4</v>
      </c>
      <c r="B14" s="19" t="s">
        <v>30</v>
      </c>
      <c r="C14" s="19" t="s">
        <v>31</v>
      </c>
      <c r="D14" s="20">
        <v>27</v>
      </c>
      <c r="E14" s="21">
        <f t="shared" si="0"/>
        <v>87.096774193548384</v>
      </c>
      <c r="F14" s="18">
        <v>32</v>
      </c>
      <c r="G14" s="21">
        <f t="shared" si="1"/>
        <v>96.969696969696969</v>
      </c>
      <c r="H14" s="18">
        <v>30</v>
      </c>
      <c r="I14" s="22">
        <f t="shared" si="2"/>
        <v>96.774193548387103</v>
      </c>
      <c r="J14" s="20">
        <v>11</v>
      </c>
      <c r="K14" s="23">
        <f t="shared" si="3"/>
        <v>100</v>
      </c>
      <c r="L14" s="26">
        <v>49</v>
      </c>
      <c r="M14" s="21">
        <f t="shared" si="4"/>
        <v>94.230769230769226</v>
      </c>
      <c r="N14" s="20">
        <v>10</v>
      </c>
      <c r="O14" s="20">
        <f t="shared" si="5"/>
        <v>100</v>
      </c>
      <c r="P14" s="20">
        <v>20</v>
      </c>
      <c r="Q14" s="21">
        <f t="shared" si="6"/>
        <v>100</v>
      </c>
      <c r="R14" s="24">
        <v>9</v>
      </c>
      <c r="S14" s="25">
        <f t="shared" si="7"/>
        <v>90</v>
      </c>
      <c r="T14" s="18">
        <v>10</v>
      </c>
      <c r="U14" s="21">
        <f t="shared" si="8"/>
        <v>83.333333333333343</v>
      </c>
      <c r="V14" s="21">
        <f t="shared" si="9"/>
        <v>94.267196363970555</v>
      </c>
    </row>
    <row r="15" spans="1:23" ht="15.75" customHeight="1">
      <c r="A15" s="18">
        <v>5</v>
      </c>
      <c r="B15" s="19" t="s">
        <v>32</v>
      </c>
      <c r="C15" s="19" t="s">
        <v>33</v>
      </c>
      <c r="D15" s="20">
        <v>15</v>
      </c>
      <c r="E15" s="21">
        <f t="shared" si="0"/>
        <v>48.387096774193552</v>
      </c>
      <c r="F15" s="18">
        <v>20</v>
      </c>
      <c r="G15" s="21">
        <f t="shared" si="1"/>
        <v>60.606060606060609</v>
      </c>
      <c r="H15" s="18">
        <v>22</v>
      </c>
      <c r="I15" s="22">
        <f t="shared" si="2"/>
        <v>70.967741935483872</v>
      </c>
      <c r="J15" s="20">
        <v>9</v>
      </c>
      <c r="K15" s="23">
        <f t="shared" si="3"/>
        <v>81.818181818181827</v>
      </c>
      <c r="L15" s="26">
        <v>26</v>
      </c>
      <c r="M15" s="21">
        <f t="shared" si="4"/>
        <v>50</v>
      </c>
      <c r="N15" s="20">
        <v>8</v>
      </c>
      <c r="O15" s="20">
        <f t="shared" si="5"/>
        <v>80</v>
      </c>
      <c r="P15" s="20">
        <v>13</v>
      </c>
      <c r="Q15" s="21">
        <f t="shared" si="6"/>
        <v>65</v>
      </c>
      <c r="R15" s="24">
        <v>6</v>
      </c>
      <c r="S15" s="25">
        <f t="shared" si="7"/>
        <v>60</v>
      </c>
      <c r="T15" s="18">
        <v>6</v>
      </c>
      <c r="U15" s="21">
        <f t="shared" si="8"/>
        <v>50</v>
      </c>
      <c r="V15" s="21">
        <f t="shared" si="9"/>
        <v>62.975453459324427</v>
      </c>
    </row>
    <row r="16" spans="1:23" ht="15.75" customHeight="1">
      <c r="A16" s="18">
        <v>6</v>
      </c>
      <c r="B16" s="19" t="s">
        <v>34</v>
      </c>
      <c r="C16" s="19" t="s">
        <v>35</v>
      </c>
      <c r="D16" s="20">
        <v>26</v>
      </c>
      <c r="E16" s="21">
        <f t="shared" si="0"/>
        <v>83.870967741935488</v>
      </c>
      <c r="F16" s="18">
        <v>31</v>
      </c>
      <c r="G16" s="21">
        <f t="shared" si="1"/>
        <v>93.939393939393938</v>
      </c>
      <c r="H16" s="18">
        <v>29</v>
      </c>
      <c r="I16" s="22">
        <f t="shared" si="2"/>
        <v>93.548387096774192</v>
      </c>
      <c r="J16" s="20">
        <v>10</v>
      </c>
      <c r="K16" s="23">
        <f t="shared" si="3"/>
        <v>90.909090909090907</v>
      </c>
      <c r="L16" s="26">
        <v>42</v>
      </c>
      <c r="M16" s="21">
        <f t="shared" si="4"/>
        <v>80.769230769230774</v>
      </c>
      <c r="N16" s="20">
        <v>9</v>
      </c>
      <c r="O16" s="20">
        <f t="shared" si="5"/>
        <v>90</v>
      </c>
      <c r="P16" s="20">
        <v>17</v>
      </c>
      <c r="Q16" s="21">
        <f t="shared" si="6"/>
        <v>85</v>
      </c>
      <c r="R16" s="24">
        <v>9</v>
      </c>
      <c r="S16" s="25">
        <f t="shared" si="7"/>
        <v>90</v>
      </c>
      <c r="T16" s="18">
        <v>11</v>
      </c>
      <c r="U16" s="21">
        <f t="shared" si="8"/>
        <v>91.666666666666657</v>
      </c>
      <c r="V16" s="21">
        <f t="shared" si="9"/>
        <v>88.855970791454652</v>
      </c>
    </row>
    <row r="17" spans="1:22" ht="15.75" customHeight="1">
      <c r="A17" s="18">
        <v>7</v>
      </c>
      <c r="B17" s="19" t="s">
        <v>36</v>
      </c>
      <c r="C17" s="19" t="s">
        <v>37</v>
      </c>
      <c r="D17" s="20">
        <v>30</v>
      </c>
      <c r="E17" s="21">
        <f t="shared" si="0"/>
        <v>96.774193548387103</v>
      </c>
      <c r="F17" s="18">
        <v>31</v>
      </c>
      <c r="G17" s="21">
        <f t="shared" si="1"/>
        <v>93.939393939393938</v>
      </c>
      <c r="H17" s="18">
        <v>31</v>
      </c>
      <c r="I17" s="22">
        <f t="shared" si="2"/>
        <v>100</v>
      </c>
      <c r="J17" s="20">
        <v>11</v>
      </c>
      <c r="K17" s="23">
        <f t="shared" si="3"/>
        <v>100</v>
      </c>
      <c r="L17" s="26">
        <v>51</v>
      </c>
      <c r="M17" s="21">
        <f t="shared" si="4"/>
        <v>98.076923076923066</v>
      </c>
      <c r="N17" s="20">
        <v>10</v>
      </c>
      <c r="O17" s="20">
        <f t="shared" si="5"/>
        <v>100</v>
      </c>
      <c r="P17" s="20">
        <v>19</v>
      </c>
      <c r="Q17" s="21">
        <f t="shared" si="6"/>
        <v>95</v>
      </c>
      <c r="R17" s="24">
        <v>10</v>
      </c>
      <c r="S17" s="25">
        <f t="shared" si="7"/>
        <v>100</v>
      </c>
      <c r="T17" s="18">
        <v>12</v>
      </c>
      <c r="U17" s="21">
        <f t="shared" si="8"/>
        <v>100</v>
      </c>
      <c r="V17" s="21">
        <f t="shared" si="9"/>
        <v>98.198945618300456</v>
      </c>
    </row>
    <row r="18" spans="1:22" ht="15.75" customHeight="1">
      <c r="A18" s="18">
        <v>8</v>
      </c>
      <c r="B18" s="19" t="s">
        <v>38</v>
      </c>
      <c r="C18" s="19" t="s">
        <v>39</v>
      </c>
      <c r="D18" s="20">
        <v>25</v>
      </c>
      <c r="E18" s="21">
        <f t="shared" si="0"/>
        <v>80.645161290322577</v>
      </c>
      <c r="F18" s="18">
        <v>24</v>
      </c>
      <c r="G18" s="21">
        <f t="shared" si="1"/>
        <v>72.727272727272734</v>
      </c>
      <c r="H18" s="18">
        <v>25</v>
      </c>
      <c r="I18" s="22">
        <f t="shared" si="2"/>
        <v>80.645161290322577</v>
      </c>
      <c r="J18" s="20">
        <v>10</v>
      </c>
      <c r="K18" s="23">
        <f t="shared" si="3"/>
        <v>90.909090909090907</v>
      </c>
      <c r="L18" s="26">
        <v>49</v>
      </c>
      <c r="M18" s="21">
        <f t="shared" si="4"/>
        <v>94.230769230769226</v>
      </c>
      <c r="N18" s="20">
        <v>9</v>
      </c>
      <c r="O18" s="20">
        <f t="shared" si="5"/>
        <v>90</v>
      </c>
      <c r="P18" s="20">
        <v>18</v>
      </c>
      <c r="Q18" s="21">
        <f t="shared" si="6"/>
        <v>90</v>
      </c>
      <c r="R18" s="24">
        <v>10</v>
      </c>
      <c r="S18" s="25">
        <f t="shared" si="7"/>
        <v>100</v>
      </c>
      <c r="T18" s="18">
        <v>9</v>
      </c>
      <c r="U18" s="21">
        <f t="shared" si="8"/>
        <v>75</v>
      </c>
      <c r="V18" s="21">
        <f t="shared" si="9"/>
        <v>86.017495049753109</v>
      </c>
    </row>
    <row r="19" spans="1:22" ht="15.75" customHeight="1">
      <c r="A19" s="18">
        <v>9</v>
      </c>
      <c r="B19" s="19" t="s">
        <v>40</v>
      </c>
      <c r="C19" s="19" t="s">
        <v>41</v>
      </c>
      <c r="D19" s="20">
        <v>26</v>
      </c>
      <c r="E19" s="21">
        <f t="shared" si="0"/>
        <v>83.870967741935488</v>
      </c>
      <c r="F19" s="18">
        <v>28</v>
      </c>
      <c r="G19" s="21">
        <f t="shared" si="1"/>
        <v>84.848484848484844</v>
      </c>
      <c r="H19" s="18">
        <v>27</v>
      </c>
      <c r="I19" s="22">
        <f t="shared" si="2"/>
        <v>87.096774193548384</v>
      </c>
      <c r="J19" s="20">
        <v>11</v>
      </c>
      <c r="K19" s="23">
        <f t="shared" si="3"/>
        <v>100</v>
      </c>
      <c r="L19" s="26">
        <v>49</v>
      </c>
      <c r="M19" s="21">
        <f t="shared" si="4"/>
        <v>94.230769230769226</v>
      </c>
      <c r="N19" s="20">
        <v>10</v>
      </c>
      <c r="O19" s="20">
        <f t="shared" si="5"/>
        <v>100</v>
      </c>
      <c r="P19" s="20">
        <v>18</v>
      </c>
      <c r="Q19" s="21">
        <f t="shared" si="6"/>
        <v>90</v>
      </c>
      <c r="R19" s="24">
        <v>9</v>
      </c>
      <c r="S19" s="25">
        <f t="shared" si="7"/>
        <v>90</v>
      </c>
      <c r="T19" s="18">
        <v>11</v>
      </c>
      <c r="U19" s="21">
        <f t="shared" si="8"/>
        <v>91.666666666666657</v>
      </c>
      <c r="V19" s="21">
        <f t="shared" si="9"/>
        <v>91.301518075711613</v>
      </c>
    </row>
    <row r="20" spans="1:22" ht="15.75" customHeight="1">
      <c r="A20" s="18">
        <v>10</v>
      </c>
      <c r="B20" s="19" t="s">
        <v>42</v>
      </c>
      <c r="C20" s="19" t="s">
        <v>43</v>
      </c>
      <c r="D20" s="20">
        <v>25</v>
      </c>
      <c r="E20" s="21">
        <f t="shared" si="0"/>
        <v>80.645161290322577</v>
      </c>
      <c r="F20" s="18">
        <v>29</v>
      </c>
      <c r="G20" s="21">
        <f t="shared" si="1"/>
        <v>87.878787878787875</v>
      </c>
      <c r="H20" s="18">
        <v>26</v>
      </c>
      <c r="I20" s="22">
        <f t="shared" si="2"/>
        <v>83.870967741935488</v>
      </c>
      <c r="J20" s="20">
        <v>10</v>
      </c>
      <c r="K20" s="23">
        <f t="shared" si="3"/>
        <v>90.909090909090907</v>
      </c>
      <c r="L20" s="26">
        <v>44</v>
      </c>
      <c r="M20" s="21">
        <f t="shared" si="4"/>
        <v>84.615384615384613</v>
      </c>
      <c r="N20" s="20">
        <v>8</v>
      </c>
      <c r="O20" s="20">
        <f t="shared" si="5"/>
        <v>80</v>
      </c>
      <c r="P20" s="20">
        <v>18</v>
      </c>
      <c r="Q20" s="21">
        <f t="shared" si="6"/>
        <v>90</v>
      </c>
      <c r="R20" s="24">
        <v>6</v>
      </c>
      <c r="S20" s="25">
        <f t="shared" si="7"/>
        <v>60</v>
      </c>
      <c r="T20" s="18">
        <v>10</v>
      </c>
      <c r="U20" s="21">
        <f t="shared" si="8"/>
        <v>83.333333333333343</v>
      </c>
      <c r="V20" s="21">
        <f t="shared" si="9"/>
        <v>82.361413974317202</v>
      </c>
    </row>
    <row r="21" spans="1:22" ht="15.75" customHeight="1">
      <c r="A21" s="18">
        <v>11</v>
      </c>
      <c r="B21" s="19" t="s">
        <v>44</v>
      </c>
      <c r="C21" s="19" t="s">
        <v>45</v>
      </c>
      <c r="D21" s="20">
        <v>24</v>
      </c>
      <c r="E21" s="21">
        <f t="shared" si="0"/>
        <v>77.41935483870968</v>
      </c>
      <c r="F21" s="18">
        <v>20</v>
      </c>
      <c r="G21" s="21">
        <f t="shared" si="1"/>
        <v>60.606060606060609</v>
      </c>
      <c r="H21" s="18">
        <v>23</v>
      </c>
      <c r="I21" s="22">
        <f t="shared" si="2"/>
        <v>74.193548387096769</v>
      </c>
      <c r="J21" s="20">
        <v>9</v>
      </c>
      <c r="K21" s="23">
        <f t="shared" si="3"/>
        <v>81.818181818181827</v>
      </c>
      <c r="L21" s="26">
        <v>37</v>
      </c>
      <c r="M21" s="21">
        <f t="shared" si="4"/>
        <v>71.15384615384616</v>
      </c>
      <c r="N21" s="20">
        <v>8</v>
      </c>
      <c r="O21" s="20">
        <f t="shared" si="5"/>
        <v>80</v>
      </c>
      <c r="P21" s="20">
        <v>16</v>
      </c>
      <c r="Q21" s="21">
        <f t="shared" si="6"/>
        <v>80</v>
      </c>
      <c r="R21" s="24">
        <v>7</v>
      </c>
      <c r="S21" s="25">
        <f t="shared" si="7"/>
        <v>70</v>
      </c>
      <c r="T21" s="18">
        <v>8</v>
      </c>
      <c r="U21" s="21">
        <f t="shared" si="8"/>
        <v>66.666666666666657</v>
      </c>
      <c r="V21" s="21">
        <f t="shared" si="9"/>
        <v>73.539739830062402</v>
      </c>
    </row>
    <row r="22" spans="1:22" ht="15.75" customHeight="1">
      <c r="A22" s="18">
        <v>12</v>
      </c>
      <c r="B22" s="19" t="s">
        <v>46</v>
      </c>
      <c r="C22" s="19" t="s">
        <v>47</v>
      </c>
      <c r="D22" s="20">
        <v>27</v>
      </c>
      <c r="E22" s="21">
        <f t="shared" si="0"/>
        <v>87.096774193548384</v>
      </c>
      <c r="F22" s="18">
        <v>31</v>
      </c>
      <c r="G22" s="21">
        <f t="shared" si="1"/>
        <v>93.939393939393938</v>
      </c>
      <c r="H22" s="18">
        <v>23</v>
      </c>
      <c r="I22" s="22">
        <f t="shared" si="2"/>
        <v>74.193548387096769</v>
      </c>
      <c r="J22" s="20">
        <v>11</v>
      </c>
      <c r="K22" s="23">
        <f t="shared" si="3"/>
        <v>100</v>
      </c>
      <c r="L22" s="26">
        <v>44</v>
      </c>
      <c r="M22" s="21">
        <f t="shared" si="4"/>
        <v>84.615384615384613</v>
      </c>
      <c r="N22" s="20">
        <v>8</v>
      </c>
      <c r="O22" s="20">
        <f t="shared" si="5"/>
        <v>80</v>
      </c>
      <c r="P22" s="20">
        <v>19</v>
      </c>
      <c r="Q22" s="21">
        <f t="shared" si="6"/>
        <v>95</v>
      </c>
      <c r="R22" s="24">
        <v>8</v>
      </c>
      <c r="S22" s="25">
        <f t="shared" si="7"/>
        <v>80</v>
      </c>
      <c r="T22" s="18">
        <v>12</v>
      </c>
      <c r="U22" s="21">
        <f t="shared" si="8"/>
        <v>100</v>
      </c>
      <c r="V22" s="21">
        <f t="shared" si="9"/>
        <v>88.316122348380418</v>
      </c>
    </row>
    <row r="23" spans="1:22" ht="15.75" customHeight="1">
      <c r="A23" s="18">
        <v>13</v>
      </c>
      <c r="B23" s="19" t="s">
        <v>48</v>
      </c>
      <c r="C23" s="19" t="s">
        <v>49</v>
      </c>
      <c r="D23" s="20">
        <v>29</v>
      </c>
      <c r="E23" s="21">
        <f t="shared" si="0"/>
        <v>93.548387096774192</v>
      </c>
      <c r="F23" s="18">
        <v>32</v>
      </c>
      <c r="G23" s="21">
        <f t="shared" si="1"/>
        <v>96.969696969696969</v>
      </c>
      <c r="H23" s="18">
        <v>28</v>
      </c>
      <c r="I23" s="22">
        <f t="shared" si="2"/>
        <v>90.322580645161281</v>
      </c>
      <c r="J23" s="20">
        <v>11</v>
      </c>
      <c r="K23" s="23">
        <f t="shared" si="3"/>
        <v>100</v>
      </c>
      <c r="L23" s="26">
        <v>47</v>
      </c>
      <c r="M23" s="21">
        <f t="shared" si="4"/>
        <v>90.384615384615387</v>
      </c>
      <c r="N23" s="20">
        <v>8</v>
      </c>
      <c r="O23" s="20">
        <f t="shared" si="5"/>
        <v>80</v>
      </c>
      <c r="P23" s="20">
        <v>19</v>
      </c>
      <c r="Q23" s="21">
        <f t="shared" si="6"/>
        <v>95</v>
      </c>
      <c r="R23" s="24">
        <v>9</v>
      </c>
      <c r="S23" s="25">
        <f t="shared" si="7"/>
        <v>90</v>
      </c>
      <c r="T23" s="18">
        <v>12</v>
      </c>
      <c r="U23" s="21">
        <f t="shared" si="8"/>
        <v>100</v>
      </c>
      <c r="V23" s="21">
        <f t="shared" si="9"/>
        <v>92.913920010694198</v>
      </c>
    </row>
    <row r="24" spans="1:22">
      <c r="A24" s="18">
        <v>14</v>
      </c>
      <c r="B24" s="19" t="s">
        <v>50</v>
      </c>
      <c r="C24" s="19" t="s">
        <v>51</v>
      </c>
      <c r="D24" s="20">
        <v>29</v>
      </c>
      <c r="E24" s="21">
        <f t="shared" si="0"/>
        <v>93.548387096774192</v>
      </c>
      <c r="F24" s="18">
        <v>31</v>
      </c>
      <c r="G24" s="21">
        <f t="shared" si="1"/>
        <v>93.939393939393938</v>
      </c>
      <c r="H24" s="18">
        <v>29</v>
      </c>
      <c r="I24" s="22">
        <f t="shared" si="2"/>
        <v>93.548387096774192</v>
      </c>
      <c r="J24" s="20">
        <v>10</v>
      </c>
      <c r="K24" s="23">
        <f t="shared" si="3"/>
        <v>90.909090909090907</v>
      </c>
      <c r="L24" s="26">
        <v>51</v>
      </c>
      <c r="M24" s="21">
        <f t="shared" si="4"/>
        <v>98.076923076923066</v>
      </c>
      <c r="N24" s="20">
        <v>9</v>
      </c>
      <c r="O24" s="20">
        <f t="shared" si="5"/>
        <v>90</v>
      </c>
      <c r="P24" s="20">
        <v>17</v>
      </c>
      <c r="Q24" s="21">
        <f t="shared" si="6"/>
        <v>85</v>
      </c>
      <c r="R24" s="24">
        <v>8</v>
      </c>
      <c r="S24" s="25">
        <f t="shared" si="7"/>
        <v>80</v>
      </c>
      <c r="T24" s="18">
        <v>11</v>
      </c>
      <c r="U24" s="21">
        <f t="shared" si="8"/>
        <v>91.666666666666657</v>
      </c>
      <c r="V24" s="21">
        <f t="shared" si="9"/>
        <v>90.743205420624776</v>
      </c>
    </row>
    <row r="25" spans="1:22">
      <c r="A25" s="18">
        <v>15</v>
      </c>
      <c r="B25" s="19" t="s">
        <v>52</v>
      </c>
      <c r="C25" s="19" t="s">
        <v>53</v>
      </c>
      <c r="D25" s="20">
        <v>15</v>
      </c>
      <c r="E25" s="21">
        <f t="shared" si="0"/>
        <v>48.387096774193552</v>
      </c>
      <c r="F25" s="18">
        <v>15</v>
      </c>
      <c r="G25" s="21">
        <f t="shared" si="1"/>
        <v>45.454545454545453</v>
      </c>
      <c r="H25" s="18">
        <v>18</v>
      </c>
      <c r="I25" s="22">
        <f t="shared" si="2"/>
        <v>58.064516129032263</v>
      </c>
      <c r="J25" s="20">
        <v>5</v>
      </c>
      <c r="K25" s="23">
        <f t="shared" si="3"/>
        <v>45.454545454545453</v>
      </c>
      <c r="L25" s="26">
        <v>24</v>
      </c>
      <c r="M25" s="21">
        <f t="shared" si="4"/>
        <v>46.153846153846153</v>
      </c>
      <c r="N25" s="20">
        <v>6</v>
      </c>
      <c r="O25" s="20">
        <f t="shared" si="5"/>
        <v>60</v>
      </c>
      <c r="P25" s="20">
        <v>12</v>
      </c>
      <c r="Q25" s="21">
        <f t="shared" si="6"/>
        <v>60</v>
      </c>
      <c r="R25" s="24">
        <v>6</v>
      </c>
      <c r="S25" s="25">
        <f t="shared" si="7"/>
        <v>60</v>
      </c>
      <c r="T25" s="18">
        <v>5</v>
      </c>
      <c r="U25" s="21">
        <f t="shared" si="8"/>
        <v>41.666666666666671</v>
      </c>
      <c r="V25" s="21">
        <f t="shared" si="9"/>
        <v>51.68680184809218</v>
      </c>
    </row>
    <row r="26" spans="1:22">
      <c r="A26" s="18">
        <v>16</v>
      </c>
      <c r="B26" s="19" t="s">
        <v>54</v>
      </c>
      <c r="C26" s="19" t="s">
        <v>55</v>
      </c>
      <c r="D26" s="20">
        <v>9</v>
      </c>
      <c r="E26" s="21">
        <f t="shared" si="0"/>
        <v>29.032258064516132</v>
      </c>
      <c r="F26" s="18">
        <v>16</v>
      </c>
      <c r="G26" s="21">
        <f t="shared" si="1"/>
        <v>48.484848484848484</v>
      </c>
      <c r="H26" s="18">
        <v>17</v>
      </c>
      <c r="I26" s="22">
        <f t="shared" si="2"/>
        <v>54.838709677419352</v>
      </c>
      <c r="J26" s="20">
        <v>4</v>
      </c>
      <c r="K26" s="23">
        <f t="shared" si="3"/>
        <v>36.363636363636367</v>
      </c>
      <c r="L26" s="26">
        <v>36</v>
      </c>
      <c r="M26" s="21">
        <f t="shared" si="4"/>
        <v>69.230769230769226</v>
      </c>
      <c r="N26" s="20">
        <v>5</v>
      </c>
      <c r="O26" s="20">
        <f t="shared" si="5"/>
        <v>50</v>
      </c>
      <c r="P26" s="20">
        <v>10</v>
      </c>
      <c r="Q26" s="21">
        <f t="shared" si="6"/>
        <v>50</v>
      </c>
      <c r="R26" s="24">
        <v>5</v>
      </c>
      <c r="S26" s="25">
        <f t="shared" si="7"/>
        <v>50</v>
      </c>
      <c r="T26" s="18">
        <v>5</v>
      </c>
      <c r="U26" s="21">
        <f t="shared" si="8"/>
        <v>41.666666666666671</v>
      </c>
      <c r="V26" s="21">
        <f t="shared" si="9"/>
        <v>47.735209831984022</v>
      </c>
    </row>
    <row r="27" spans="1:22">
      <c r="A27" s="18">
        <v>17</v>
      </c>
      <c r="B27" s="19" t="s">
        <v>56</v>
      </c>
      <c r="C27" s="19" t="s">
        <v>57</v>
      </c>
      <c r="D27" s="20">
        <v>12</v>
      </c>
      <c r="E27" s="21">
        <f t="shared" si="0"/>
        <v>38.70967741935484</v>
      </c>
      <c r="F27" s="18">
        <v>4</v>
      </c>
      <c r="G27" s="21">
        <f t="shared" si="1"/>
        <v>12.121212121212121</v>
      </c>
      <c r="H27" s="18">
        <v>11</v>
      </c>
      <c r="I27" s="22">
        <f t="shared" si="2"/>
        <v>35.483870967741936</v>
      </c>
      <c r="J27" s="20">
        <v>1</v>
      </c>
      <c r="K27" s="23">
        <f t="shared" si="3"/>
        <v>9.0909090909090917</v>
      </c>
      <c r="L27" s="26">
        <v>18</v>
      </c>
      <c r="M27" s="21">
        <f t="shared" si="4"/>
        <v>34.615384615384613</v>
      </c>
      <c r="N27" s="20">
        <v>4</v>
      </c>
      <c r="O27" s="20">
        <f t="shared" si="5"/>
        <v>40</v>
      </c>
      <c r="P27" s="20">
        <v>8</v>
      </c>
      <c r="Q27" s="21">
        <f t="shared" si="6"/>
        <v>40</v>
      </c>
      <c r="R27" s="24">
        <v>4</v>
      </c>
      <c r="S27" s="25">
        <f t="shared" si="7"/>
        <v>40</v>
      </c>
      <c r="T27" s="18">
        <v>3</v>
      </c>
      <c r="U27" s="21">
        <f t="shared" si="8"/>
        <v>25</v>
      </c>
      <c r="V27" s="21">
        <f t="shared" si="9"/>
        <v>30.557894912733623</v>
      </c>
    </row>
    <row r="28" spans="1:22">
      <c r="A28" s="18">
        <v>18</v>
      </c>
      <c r="B28" s="19" t="s">
        <v>58</v>
      </c>
      <c r="C28" s="19" t="s">
        <v>59</v>
      </c>
      <c r="D28" s="20">
        <v>19</v>
      </c>
      <c r="E28" s="21">
        <f t="shared" si="0"/>
        <v>61.29032258064516</v>
      </c>
      <c r="F28" s="18">
        <v>17</v>
      </c>
      <c r="G28" s="21">
        <f t="shared" si="1"/>
        <v>51.515151515151516</v>
      </c>
      <c r="H28" s="18">
        <v>26</v>
      </c>
      <c r="I28" s="22">
        <f t="shared" si="2"/>
        <v>83.870967741935488</v>
      </c>
      <c r="J28" s="20">
        <v>8</v>
      </c>
      <c r="K28" s="23">
        <f t="shared" si="3"/>
        <v>72.727272727272734</v>
      </c>
      <c r="L28" s="26">
        <v>33</v>
      </c>
      <c r="M28" s="21">
        <f t="shared" si="4"/>
        <v>63.46153846153846</v>
      </c>
      <c r="N28" s="20">
        <v>8</v>
      </c>
      <c r="O28" s="20">
        <f t="shared" si="5"/>
        <v>80</v>
      </c>
      <c r="P28" s="20">
        <v>12</v>
      </c>
      <c r="Q28" s="21">
        <f t="shared" si="6"/>
        <v>60</v>
      </c>
      <c r="R28" s="24">
        <v>8</v>
      </c>
      <c r="S28" s="25">
        <f t="shared" si="7"/>
        <v>80</v>
      </c>
      <c r="T28" s="18">
        <v>6</v>
      </c>
      <c r="U28" s="21">
        <f t="shared" si="8"/>
        <v>50</v>
      </c>
      <c r="V28" s="21">
        <f t="shared" si="9"/>
        <v>66.98502811406037</v>
      </c>
    </row>
    <row r="29" spans="1:22">
      <c r="A29" s="18">
        <v>19</v>
      </c>
      <c r="B29" s="19" t="s">
        <v>60</v>
      </c>
      <c r="C29" s="19" t="s">
        <v>61</v>
      </c>
      <c r="D29" s="20">
        <v>22</v>
      </c>
      <c r="E29" s="21">
        <f t="shared" si="0"/>
        <v>70.967741935483872</v>
      </c>
      <c r="F29" s="18">
        <v>27</v>
      </c>
      <c r="G29" s="21">
        <f t="shared" si="1"/>
        <v>81.818181818181827</v>
      </c>
      <c r="H29" s="18">
        <v>27</v>
      </c>
      <c r="I29" s="22">
        <f t="shared" si="2"/>
        <v>87.096774193548384</v>
      </c>
      <c r="J29" s="20">
        <v>8</v>
      </c>
      <c r="K29" s="23">
        <f t="shared" si="3"/>
        <v>72.727272727272734</v>
      </c>
      <c r="L29" s="26">
        <v>43</v>
      </c>
      <c r="M29" s="21">
        <f t="shared" si="4"/>
        <v>82.692307692307693</v>
      </c>
      <c r="N29" s="20">
        <v>9</v>
      </c>
      <c r="O29" s="20">
        <f t="shared" si="5"/>
        <v>90</v>
      </c>
      <c r="P29" s="20">
        <v>17</v>
      </c>
      <c r="Q29" s="21">
        <f t="shared" si="6"/>
        <v>85</v>
      </c>
      <c r="R29" s="24">
        <v>6</v>
      </c>
      <c r="S29" s="25">
        <f t="shared" si="7"/>
        <v>60</v>
      </c>
      <c r="T29" s="18">
        <v>8</v>
      </c>
      <c r="U29" s="21">
        <f t="shared" si="8"/>
        <v>66.666666666666657</v>
      </c>
      <c r="V29" s="21">
        <f t="shared" si="9"/>
        <v>77.440993892606798</v>
      </c>
    </row>
    <row r="30" spans="1:22">
      <c r="A30" s="18">
        <v>20</v>
      </c>
      <c r="B30" s="19" t="s">
        <v>62</v>
      </c>
      <c r="C30" s="19" t="s">
        <v>63</v>
      </c>
      <c r="D30" s="20">
        <v>20</v>
      </c>
      <c r="E30" s="21">
        <f t="shared" si="0"/>
        <v>64.516129032258064</v>
      </c>
      <c r="F30" s="18">
        <v>24</v>
      </c>
      <c r="G30" s="21">
        <f t="shared" si="1"/>
        <v>72.727272727272734</v>
      </c>
      <c r="H30" s="18">
        <v>24</v>
      </c>
      <c r="I30" s="22">
        <f t="shared" si="2"/>
        <v>77.41935483870968</v>
      </c>
      <c r="J30" s="20">
        <v>7</v>
      </c>
      <c r="K30" s="23">
        <f t="shared" si="3"/>
        <v>63.636363636363633</v>
      </c>
      <c r="L30" s="26">
        <v>38</v>
      </c>
      <c r="M30" s="21">
        <f t="shared" si="4"/>
        <v>73.076923076923066</v>
      </c>
      <c r="N30" s="20">
        <v>9</v>
      </c>
      <c r="O30" s="20">
        <f t="shared" si="5"/>
        <v>90</v>
      </c>
      <c r="P30" s="20">
        <v>14</v>
      </c>
      <c r="Q30" s="21">
        <f t="shared" si="6"/>
        <v>70</v>
      </c>
      <c r="R30" s="24">
        <v>8</v>
      </c>
      <c r="S30" s="25">
        <f t="shared" si="7"/>
        <v>80</v>
      </c>
      <c r="T30" s="18">
        <v>8</v>
      </c>
      <c r="U30" s="21">
        <f t="shared" si="8"/>
        <v>66.666666666666657</v>
      </c>
      <c r="V30" s="21">
        <f t="shared" si="9"/>
        <v>73.115856664243751</v>
      </c>
    </row>
    <row r="31" spans="1:22">
      <c r="A31" s="18">
        <v>21</v>
      </c>
      <c r="B31" s="19" t="s">
        <v>64</v>
      </c>
      <c r="C31" s="19" t="s">
        <v>65</v>
      </c>
      <c r="D31" s="20">
        <v>25</v>
      </c>
      <c r="E31" s="21">
        <f t="shared" si="0"/>
        <v>80.645161290322577</v>
      </c>
      <c r="F31" s="18">
        <v>31</v>
      </c>
      <c r="G31" s="21">
        <f t="shared" si="1"/>
        <v>93.939393939393938</v>
      </c>
      <c r="H31" s="18">
        <v>29</v>
      </c>
      <c r="I31" s="22">
        <f t="shared" si="2"/>
        <v>93.548387096774192</v>
      </c>
      <c r="J31" s="20">
        <v>11</v>
      </c>
      <c r="K31" s="23">
        <f t="shared" si="3"/>
        <v>100</v>
      </c>
      <c r="L31" s="26">
        <v>47</v>
      </c>
      <c r="M31" s="21">
        <f t="shared" si="4"/>
        <v>90.384615384615387</v>
      </c>
      <c r="N31" s="20">
        <v>10</v>
      </c>
      <c r="O31" s="20">
        <f t="shared" si="5"/>
        <v>100</v>
      </c>
      <c r="P31" s="20">
        <v>16</v>
      </c>
      <c r="Q31" s="21">
        <f t="shared" si="6"/>
        <v>80</v>
      </c>
      <c r="R31" s="24">
        <v>9</v>
      </c>
      <c r="S31" s="25">
        <f t="shared" si="7"/>
        <v>90</v>
      </c>
      <c r="T31" s="18">
        <v>11</v>
      </c>
      <c r="U31" s="21">
        <f t="shared" si="8"/>
        <v>91.666666666666657</v>
      </c>
      <c r="V31" s="21">
        <f t="shared" si="9"/>
        <v>91.131580486419182</v>
      </c>
    </row>
    <row r="32" spans="1:22">
      <c r="A32" s="18">
        <v>22</v>
      </c>
      <c r="B32" s="19" t="s">
        <v>66</v>
      </c>
      <c r="C32" s="19" t="s">
        <v>67</v>
      </c>
      <c r="D32" s="20">
        <v>25</v>
      </c>
      <c r="E32" s="21">
        <f t="shared" si="0"/>
        <v>80.645161290322577</v>
      </c>
      <c r="F32" s="18">
        <v>26</v>
      </c>
      <c r="G32" s="21">
        <f t="shared" si="1"/>
        <v>78.787878787878782</v>
      </c>
      <c r="H32" s="18">
        <v>27</v>
      </c>
      <c r="I32" s="22">
        <f t="shared" si="2"/>
        <v>87.096774193548384</v>
      </c>
      <c r="J32" s="20">
        <v>9</v>
      </c>
      <c r="K32" s="23">
        <f t="shared" si="3"/>
        <v>81.818181818181827</v>
      </c>
      <c r="L32" s="26">
        <v>40</v>
      </c>
      <c r="M32" s="21">
        <f t="shared" si="4"/>
        <v>76.923076923076934</v>
      </c>
      <c r="N32" s="20">
        <v>8</v>
      </c>
      <c r="O32" s="20">
        <f t="shared" si="5"/>
        <v>80</v>
      </c>
      <c r="P32" s="20">
        <v>17</v>
      </c>
      <c r="Q32" s="21">
        <f t="shared" si="6"/>
        <v>85</v>
      </c>
      <c r="R32" s="24">
        <v>10</v>
      </c>
      <c r="S32" s="25">
        <f t="shared" si="7"/>
        <v>100</v>
      </c>
      <c r="T32" s="18">
        <v>8</v>
      </c>
      <c r="U32" s="21">
        <f t="shared" si="8"/>
        <v>66.666666666666657</v>
      </c>
      <c r="V32" s="21">
        <f t="shared" si="9"/>
        <v>81.881971075519459</v>
      </c>
    </row>
    <row r="33" spans="1:22">
      <c r="A33" s="18">
        <v>23</v>
      </c>
      <c r="B33" s="19" t="s">
        <v>68</v>
      </c>
      <c r="C33" s="19" t="s">
        <v>69</v>
      </c>
      <c r="D33" s="20">
        <v>18</v>
      </c>
      <c r="E33" s="21">
        <f t="shared" si="0"/>
        <v>58.064516129032263</v>
      </c>
      <c r="F33" s="18">
        <v>22</v>
      </c>
      <c r="G33" s="21">
        <f t="shared" si="1"/>
        <v>66.666666666666657</v>
      </c>
      <c r="H33" s="18">
        <v>24</v>
      </c>
      <c r="I33" s="22">
        <f t="shared" si="2"/>
        <v>77.41935483870968</v>
      </c>
      <c r="J33" s="20">
        <v>7</v>
      </c>
      <c r="K33" s="23">
        <f t="shared" si="3"/>
        <v>63.636363636363633</v>
      </c>
      <c r="L33" s="26">
        <v>34</v>
      </c>
      <c r="M33" s="21">
        <f t="shared" si="4"/>
        <v>65.384615384615387</v>
      </c>
      <c r="N33" s="20">
        <v>8</v>
      </c>
      <c r="O33" s="20">
        <f t="shared" si="5"/>
        <v>80</v>
      </c>
      <c r="P33" s="20">
        <v>12</v>
      </c>
      <c r="Q33" s="21">
        <f t="shared" si="6"/>
        <v>60</v>
      </c>
      <c r="R33" s="24">
        <v>7</v>
      </c>
      <c r="S33" s="25">
        <f t="shared" si="7"/>
        <v>70</v>
      </c>
      <c r="T33" s="18">
        <v>8</v>
      </c>
      <c r="U33" s="21">
        <f t="shared" si="8"/>
        <v>66.666666666666657</v>
      </c>
      <c r="V33" s="21">
        <f t="shared" si="9"/>
        <v>67.537575924672694</v>
      </c>
    </row>
    <row r="34" spans="1:22">
      <c r="A34" s="18">
        <v>24</v>
      </c>
      <c r="B34" s="19" t="s">
        <v>70</v>
      </c>
      <c r="C34" s="19" t="s">
        <v>71</v>
      </c>
      <c r="D34" s="20">
        <v>23</v>
      </c>
      <c r="E34" s="21">
        <f t="shared" si="0"/>
        <v>74.193548387096769</v>
      </c>
      <c r="F34" s="18">
        <v>23</v>
      </c>
      <c r="G34" s="21">
        <f t="shared" si="1"/>
        <v>69.696969696969703</v>
      </c>
      <c r="H34" s="18">
        <v>24</v>
      </c>
      <c r="I34" s="22">
        <f t="shared" si="2"/>
        <v>77.41935483870968</v>
      </c>
      <c r="J34" s="20">
        <v>9</v>
      </c>
      <c r="K34" s="23">
        <f t="shared" si="3"/>
        <v>81.818181818181827</v>
      </c>
      <c r="L34" s="26">
        <v>35</v>
      </c>
      <c r="M34" s="21">
        <f t="shared" si="4"/>
        <v>67.307692307692307</v>
      </c>
      <c r="N34" s="20">
        <v>9</v>
      </c>
      <c r="O34" s="20">
        <f t="shared" si="5"/>
        <v>90</v>
      </c>
      <c r="P34" s="20">
        <v>15</v>
      </c>
      <c r="Q34" s="21">
        <f t="shared" si="6"/>
        <v>75</v>
      </c>
      <c r="R34" s="24">
        <v>9</v>
      </c>
      <c r="S34" s="25">
        <f t="shared" si="7"/>
        <v>90</v>
      </c>
      <c r="T34" s="18">
        <v>10</v>
      </c>
      <c r="U34" s="21">
        <f t="shared" si="8"/>
        <v>83.333333333333343</v>
      </c>
      <c r="V34" s="21">
        <f t="shared" si="9"/>
        <v>78.752120042442627</v>
      </c>
    </row>
    <row r="35" spans="1:22">
      <c r="A35" s="18">
        <v>25</v>
      </c>
      <c r="B35" s="19" t="s">
        <v>72</v>
      </c>
      <c r="C35" s="19" t="s">
        <v>73</v>
      </c>
      <c r="D35" s="20">
        <v>20</v>
      </c>
      <c r="E35" s="21">
        <f t="shared" si="0"/>
        <v>64.516129032258064</v>
      </c>
      <c r="F35" s="18">
        <v>25</v>
      </c>
      <c r="G35" s="21">
        <f t="shared" si="1"/>
        <v>75.757575757575751</v>
      </c>
      <c r="H35" s="18">
        <v>25</v>
      </c>
      <c r="I35" s="22">
        <f t="shared" si="2"/>
        <v>80.645161290322577</v>
      </c>
      <c r="J35" s="20">
        <v>6</v>
      </c>
      <c r="K35" s="23">
        <f t="shared" si="3"/>
        <v>54.54545454545454</v>
      </c>
      <c r="L35" s="26">
        <v>37</v>
      </c>
      <c r="M35" s="21">
        <f t="shared" si="4"/>
        <v>71.15384615384616</v>
      </c>
      <c r="N35" s="20">
        <v>9</v>
      </c>
      <c r="O35" s="20">
        <f t="shared" si="5"/>
        <v>90</v>
      </c>
      <c r="P35" s="20">
        <v>15</v>
      </c>
      <c r="Q35" s="21">
        <f t="shared" si="6"/>
        <v>75</v>
      </c>
      <c r="R35" s="24">
        <v>10</v>
      </c>
      <c r="S35" s="25">
        <f t="shared" si="7"/>
        <v>100</v>
      </c>
      <c r="T35" s="18">
        <v>10</v>
      </c>
      <c r="U35" s="21">
        <f t="shared" si="8"/>
        <v>83.333333333333343</v>
      </c>
      <c r="V35" s="21">
        <f t="shared" si="9"/>
        <v>77.216833345865609</v>
      </c>
    </row>
    <row r="36" spans="1:22">
      <c r="A36" s="18">
        <v>26</v>
      </c>
      <c r="B36" s="19" t="s">
        <v>74</v>
      </c>
      <c r="C36" s="19" t="s">
        <v>75</v>
      </c>
      <c r="D36" s="20">
        <v>27</v>
      </c>
      <c r="E36" s="21">
        <f t="shared" si="0"/>
        <v>87.096774193548384</v>
      </c>
      <c r="F36" s="18">
        <v>30</v>
      </c>
      <c r="G36" s="21">
        <f t="shared" si="1"/>
        <v>90.909090909090907</v>
      </c>
      <c r="H36" s="18">
        <v>29</v>
      </c>
      <c r="I36" s="22">
        <f t="shared" si="2"/>
        <v>93.548387096774192</v>
      </c>
      <c r="J36" s="20">
        <v>10</v>
      </c>
      <c r="K36" s="23">
        <f t="shared" si="3"/>
        <v>90.909090909090907</v>
      </c>
      <c r="L36" s="26">
        <v>44</v>
      </c>
      <c r="M36" s="21">
        <f t="shared" si="4"/>
        <v>84.615384615384613</v>
      </c>
      <c r="N36" s="20">
        <v>9</v>
      </c>
      <c r="O36" s="20">
        <f t="shared" si="5"/>
        <v>90</v>
      </c>
      <c r="P36" s="20">
        <v>17</v>
      </c>
      <c r="Q36" s="21">
        <f t="shared" si="6"/>
        <v>85</v>
      </c>
      <c r="R36" s="24">
        <v>8</v>
      </c>
      <c r="S36" s="25">
        <f t="shared" si="7"/>
        <v>80</v>
      </c>
      <c r="T36" s="18">
        <v>10</v>
      </c>
      <c r="U36" s="21">
        <f t="shared" si="8"/>
        <v>83.333333333333343</v>
      </c>
      <c r="V36" s="21">
        <f t="shared" si="9"/>
        <v>87.268006784135821</v>
      </c>
    </row>
    <row r="37" spans="1:22">
      <c r="A37" s="18">
        <v>27</v>
      </c>
      <c r="B37" s="19" t="s">
        <v>76</v>
      </c>
      <c r="C37" s="19" t="s">
        <v>77</v>
      </c>
      <c r="D37" s="20">
        <v>24</v>
      </c>
      <c r="E37" s="21">
        <f t="shared" si="0"/>
        <v>77.41935483870968</v>
      </c>
      <c r="F37" s="18">
        <v>21</v>
      </c>
      <c r="G37" s="21">
        <f t="shared" si="1"/>
        <v>63.636363636363633</v>
      </c>
      <c r="H37" s="18">
        <v>22</v>
      </c>
      <c r="I37" s="22">
        <f t="shared" si="2"/>
        <v>70.967741935483872</v>
      </c>
      <c r="J37" s="20">
        <v>9</v>
      </c>
      <c r="K37" s="23">
        <f t="shared" si="3"/>
        <v>81.818181818181827</v>
      </c>
      <c r="L37" s="26">
        <v>41</v>
      </c>
      <c r="M37" s="21">
        <f t="shared" si="4"/>
        <v>78.84615384615384</v>
      </c>
      <c r="N37" s="20">
        <v>10</v>
      </c>
      <c r="O37" s="20">
        <f t="shared" si="5"/>
        <v>100</v>
      </c>
      <c r="P37" s="20">
        <v>16</v>
      </c>
      <c r="Q37" s="21">
        <f t="shared" si="6"/>
        <v>80</v>
      </c>
      <c r="R37" s="24">
        <v>9</v>
      </c>
      <c r="S37" s="25">
        <f t="shared" si="7"/>
        <v>90</v>
      </c>
      <c r="T37" s="18">
        <v>10</v>
      </c>
      <c r="U37" s="21">
        <f t="shared" si="8"/>
        <v>83.333333333333343</v>
      </c>
      <c r="V37" s="21">
        <f t="shared" si="9"/>
        <v>80.669014378691799</v>
      </c>
    </row>
    <row r="38" spans="1:22">
      <c r="A38" s="18">
        <v>28</v>
      </c>
      <c r="B38" s="19" t="s">
        <v>78</v>
      </c>
      <c r="C38" s="19" t="s">
        <v>79</v>
      </c>
      <c r="D38" s="20">
        <v>27</v>
      </c>
      <c r="E38" s="21">
        <f t="shared" si="0"/>
        <v>87.096774193548384</v>
      </c>
      <c r="F38" s="18">
        <v>19</v>
      </c>
      <c r="G38" s="21">
        <f t="shared" si="1"/>
        <v>57.575757575757578</v>
      </c>
      <c r="H38" s="18">
        <v>22</v>
      </c>
      <c r="I38" s="22">
        <f t="shared" si="2"/>
        <v>70.967741935483872</v>
      </c>
      <c r="J38" s="20">
        <v>9</v>
      </c>
      <c r="K38" s="23">
        <f t="shared" si="3"/>
        <v>81.818181818181827</v>
      </c>
      <c r="L38" s="27">
        <v>46</v>
      </c>
      <c r="M38" s="21">
        <f t="shared" si="4"/>
        <v>88.461538461538453</v>
      </c>
      <c r="N38" s="20">
        <v>10</v>
      </c>
      <c r="O38" s="20">
        <f t="shared" si="5"/>
        <v>100</v>
      </c>
      <c r="P38" s="20">
        <v>17</v>
      </c>
      <c r="Q38" s="21">
        <f t="shared" si="6"/>
        <v>85</v>
      </c>
      <c r="R38" s="24">
        <v>8</v>
      </c>
      <c r="S38" s="25">
        <f t="shared" si="7"/>
        <v>80</v>
      </c>
      <c r="T38" s="18">
        <v>11</v>
      </c>
      <c r="U38" s="21">
        <f t="shared" si="8"/>
        <v>91.666666666666657</v>
      </c>
      <c r="V38" s="21">
        <f t="shared" si="9"/>
        <v>82.509628961241859</v>
      </c>
    </row>
    <row r="39" spans="1:22">
      <c r="A39" s="18">
        <v>29</v>
      </c>
      <c r="B39" s="19" t="s">
        <v>80</v>
      </c>
      <c r="C39" s="19" t="s">
        <v>81</v>
      </c>
      <c r="D39" s="20">
        <v>20</v>
      </c>
      <c r="E39" s="21">
        <f t="shared" si="0"/>
        <v>64.516129032258064</v>
      </c>
      <c r="F39" s="18">
        <v>19</v>
      </c>
      <c r="G39" s="21">
        <f t="shared" si="1"/>
        <v>57.575757575757578</v>
      </c>
      <c r="H39" s="18">
        <v>26</v>
      </c>
      <c r="I39" s="22">
        <f t="shared" si="2"/>
        <v>83.870967741935488</v>
      </c>
      <c r="J39" s="18">
        <v>6</v>
      </c>
      <c r="K39" s="23">
        <f t="shared" ref="K39:K65" si="10">(J39/9)*100</f>
        <v>66.666666666666657</v>
      </c>
      <c r="L39" s="26">
        <v>34</v>
      </c>
      <c r="M39" s="21">
        <f t="shared" si="4"/>
        <v>65.384615384615387</v>
      </c>
      <c r="N39" s="20">
        <v>7</v>
      </c>
      <c r="O39" s="20">
        <f t="shared" si="5"/>
        <v>70</v>
      </c>
      <c r="P39" s="20">
        <v>15</v>
      </c>
      <c r="Q39" s="21">
        <f t="shared" si="6"/>
        <v>75</v>
      </c>
      <c r="R39" s="24">
        <v>9</v>
      </c>
      <c r="S39" s="21">
        <f t="shared" ref="S39:S65" si="11">(R39/11)*100</f>
        <v>81.818181818181827</v>
      </c>
      <c r="T39" s="18">
        <v>10</v>
      </c>
      <c r="U39" s="21">
        <f t="shared" si="8"/>
        <v>83.333333333333343</v>
      </c>
      <c r="V39" s="21">
        <f t="shared" si="9"/>
        <v>72.018405728083152</v>
      </c>
    </row>
    <row r="40" spans="1:22">
      <c r="A40" s="18">
        <v>30</v>
      </c>
      <c r="B40" s="19" t="s">
        <v>82</v>
      </c>
      <c r="C40" s="19" t="s">
        <v>83</v>
      </c>
      <c r="D40" s="20">
        <v>18</v>
      </c>
      <c r="E40" s="21">
        <f t="shared" si="0"/>
        <v>58.064516129032263</v>
      </c>
      <c r="F40" s="18">
        <v>18</v>
      </c>
      <c r="G40" s="21">
        <f t="shared" si="1"/>
        <v>54.54545454545454</v>
      </c>
      <c r="H40" s="18">
        <v>27</v>
      </c>
      <c r="I40" s="22">
        <f t="shared" si="2"/>
        <v>87.096774193548384</v>
      </c>
      <c r="J40" s="18">
        <v>5</v>
      </c>
      <c r="K40" s="23">
        <f t="shared" si="10"/>
        <v>55.555555555555557</v>
      </c>
      <c r="L40" s="20">
        <v>31</v>
      </c>
      <c r="M40" s="21">
        <f t="shared" si="4"/>
        <v>59.615384615384613</v>
      </c>
      <c r="N40" s="20">
        <v>8</v>
      </c>
      <c r="O40" s="20">
        <f t="shared" si="5"/>
        <v>80</v>
      </c>
      <c r="P40" s="20">
        <v>14</v>
      </c>
      <c r="Q40" s="21">
        <f t="shared" si="6"/>
        <v>70</v>
      </c>
      <c r="R40" s="24">
        <v>3</v>
      </c>
      <c r="S40" s="21">
        <f t="shared" si="11"/>
        <v>27.27272727272727</v>
      </c>
      <c r="T40" s="18">
        <v>7</v>
      </c>
      <c r="U40" s="21">
        <f t="shared" si="8"/>
        <v>58.333333333333336</v>
      </c>
      <c r="V40" s="21">
        <f t="shared" si="9"/>
        <v>61.164860627226211</v>
      </c>
    </row>
    <row r="41" spans="1:22">
      <c r="A41" s="18">
        <v>31</v>
      </c>
      <c r="B41" s="19" t="s">
        <v>84</v>
      </c>
      <c r="C41" s="19" t="s">
        <v>85</v>
      </c>
      <c r="D41" s="20">
        <v>24</v>
      </c>
      <c r="E41" s="21">
        <f t="shared" si="0"/>
        <v>77.41935483870968</v>
      </c>
      <c r="F41" s="18">
        <v>25</v>
      </c>
      <c r="G41" s="21">
        <f t="shared" si="1"/>
        <v>75.757575757575751</v>
      </c>
      <c r="H41" s="18">
        <v>28</v>
      </c>
      <c r="I41" s="22">
        <f t="shared" si="2"/>
        <v>90.322580645161281</v>
      </c>
      <c r="J41" s="18">
        <v>9</v>
      </c>
      <c r="K41" s="23">
        <f t="shared" si="10"/>
        <v>100</v>
      </c>
      <c r="L41" s="20">
        <v>48</v>
      </c>
      <c r="M41" s="21">
        <f t="shared" si="4"/>
        <v>92.307692307692307</v>
      </c>
      <c r="N41" s="20">
        <v>9</v>
      </c>
      <c r="O41" s="20">
        <f t="shared" si="5"/>
        <v>90</v>
      </c>
      <c r="P41" s="20">
        <v>17</v>
      </c>
      <c r="Q41" s="21">
        <f t="shared" si="6"/>
        <v>85</v>
      </c>
      <c r="R41" s="24">
        <v>10</v>
      </c>
      <c r="S41" s="21">
        <f t="shared" si="11"/>
        <v>90.909090909090907</v>
      </c>
      <c r="T41" s="18">
        <v>9</v>
      </c>
      <c r="U41" s="21">
        <f t="shared" si="8"/>
        <v>75</v>
      </c>
      <c r="V41" s="21">
        <f t="shared" si="9"/>
        <v>86.301810495358893</v>
      </c>
    </row>
    <row r="42" spans="1:22">
      <c r="A42" s="18">
        <v>32</v>
      </c>
      <c r="B42" s="19" t="s">
        <v>86</v>
      </c>
      <c r="C42" s="19" t="s">
        <v>87</v>
      </c>
      <c r="D42" s="20">
        <v>26</v>
      </c>
      <c r="E42" s="21">
        <f t="shared" si="0"/>
        <v>83.870967741935488</v>
      </c>
      <c r="F42" s="18">
        <v>30</v>
      </c>
      <c r="G42" s="21">
        <f t="shared" si="1"/>
        <v>90.909090909090907</v>
      </c>
      <c r="H42" s="18">
        <v>22</v>
      </c>
      <c r="I42" s="22">
        <f t="shared" si="2"/>
        <v>70.967741935483872</v>
      </c>
      <c r="J42" s="18">
        <v>8</v>
      </c>
      <c r="K42" s="23">
        <f t="shared" si="10"/>
        <v>88.888888888888886</v>
      </c>
      <c r="L42" s="20">
        <v>46</v>
      </c>
      <c r="M42" s="21">
        <f t="shared" si="4"/>
        <v>88.461538461538453</v>
      </c>
      <c r="N42" s="20">
        <v>9</v>
      </c>
      <c r="O42" s="20">
        <f t="shared" si="5"/>
        <v>90</v>
      </c>
      <c r="P42" s="20">
        <v>18</v>
      </c>
      <c r="Q42" s="21">
        <f t="shared" si="6"/>
        <v>90</v>
      </c>
      <c r="R42" s="24">
        <v>10</v>
      </c>
      <c r="S42" s="21">
        <f t="shared" si="11"/>
        <v>90.909090909090907</v>
      </c>
      <c r="T42" s="18">
        <v>11</v>
      </c>
      <c r="U42" s="21">
        <f t="shared" si="8"/>
        <v>91.666666666666657</v>
      </c>
      <c r="V42" s="21">
        <f t="shared" si="9"/>
        <v>87.297109501410574</v>
      </c>
    </row>
    <row r="43" spans="1:22">
      <c r="A43" s="18">
        <v>33</v>
      </c>
      <c r="B43" s="19" t="s">
        <v>88</v>
      </c>
      <c r="C43" s="19" t="s">
        <v>89</v>
      </c>
      <c r="D43" s="20">
        <v>27</v>
      </c>
      <c r="E43" s="21">
        <f t="shared" si="0"/>
        <v>87.096774193548384</v>
      </c>
      <c r="F43" s="18">
        <v>28</v>
      </c>
      <c r="G43" s="21">
        <f t="shared" si="1"/>
        <v>84.848484848484844</v>
      </c>
      <c r="H43" s="18">
        <v>30</v>
      </c>
      <c r="I43" s="22">
        <f t="shared" si="2"/>
        <v>96.774193548387103</v>
      </c>
      <c r="J43" s="18">
        <v>8</v>
      </c>
      <c r="K43" s="23">
        <f t="shared" si="10"/>
        <v>88.888888888888886</v>
      </c>
      <c r="L43" s="20">
        <v>45</v>
      </c>
      <c r="M43" s="21">
        <f t="shared" si="4"/>
        <v>86.538461538461547</v>
      </c>
      <c r="N43" s="20">
        <v>9</v>
      </c>
      <c r="O43" s="20">
        <f t="shared" si="5"/>
        <v>90</v>
      </c>
      <c r="P43" s="20">
        <v>16</v>
      </c>
      <c r="Q43" s="21">
        <f t="shared" si="6"/>
        <v>80</v>
      </c>
      <c r="R43" s="24">
        <v>11</v>
      </c>
      <c r="S43" s="21">
        <f t="shared" si="11"/>
        <v>100</v>
      </c>
      <c r="T43" s="18">
        <v>11</v>
      </c>
      <c r="U43" s="21">
        <f t="shared" si="8"/>
        <v>91.666666666666657</v>
      </c>
      <c r="V43" s="21">
        <f t="shared" si="9"/>
        <v>89.534829964937501</v>
      </c>
    </row>
    <row r="44" spans="1:22">
      <c r="A44" s="18">
        <v>34</v>
      </c>
      <c r="B44" s="19" t="s">
        <v>90</v>
      </c>
      <c r="C44" s="19" t="s">
        <v>91</v>
      </c>
      <c r="D44" s="20">
        <v>22</v>
      </c>
      <c r="E44" s="21">
        <f t="shared" si="0"/>
        <v>70.967741935483872</v>
      </c>
      <c r="F44" s="18">
        <v>28</v>
      </c>
      <c r="G44" s="21">
        <f t="shared" si="1"/>
        <v>84.848484848484844</v>
      </c>
      <c r="H44" s="18">
        <v>29</v>
      </c>
      <c r="I44" s="22">
        <f t="shared" si="2"/>
        <v>93.548387096774192</v>
      </c>
      <c r="J44" s="18">
        <v>8</v>
      </c>
      <c r="K44" s="23">
        <f t="shared" si="10"/>
        <v>88.888888888888886</v>
      </c>
      <c r="L44" s="20">
        <v>49</v>
      </c>
      <c r="M44" s="21">
        <f t="shared" si="4"/>
        <v>94.230769230769226</v>
      </c>
      <c r="N44" s="20">
        <v>9</v>
      </c>
      <c r="O44" s="20">
        <f t="shared" si="5"/>
        <v>90</v>
      </c>
      <c r="P44" s="20">
        <v>16</v>
      </c>
      <c r="Q44" s="21">
        <f t="shared" si="6"/>
        <v>80</v>
      </c>
      <c r="R44" s="24">
        <v>10</v>
      </c>
      <c r="S44" s="21">
        <f t="shared" si="11"/>
        <v>90.909090909090907</v>
      </c>
      <c r="T44" s="18">
        <v>11</v>
      </c>
      <c r="U44" s="21">
        <f t="shared" si="8"/>
        <v>91.666666666666657</v>
      </c>
      <c r="V44" s="21">
        <f t="shared" si="9"/>
        <v>87.228892175128721</v>
      </c>
    </row>
    <row r="45" spans="1:22">
      <c r="A45" s="18">
        <v>35</v>
      </c>
      <c r="B45" s="19" t="s">
        <v>92</v>
      </c>
      <c r="C45" s="19" t="s">
        <v>93</v>
      </c>
      <c r="D45" s="20">
        <v>27</v>
      </c>
      <c r="E45" s="21">
        <f t="shared" si="0"/>
        <v>87.096774193548384</v>
      </c>
      <c r="F45" s="18">
        <v>20</v>
      </c>
      <c r="G45" s="21">
        <f t="shared" si="1"/>
        <v>60.606060606060609</v>
      </c>
      <c r="H45" s="18">
        <v>31</v>
      </c>
      <c r="I45" s="22">
        <f t="shared" si="2"/>
        <v>100</v>
      </c>
      <c r="J45" s="18">
        <v>8</v>
      </c>
      <c r="K45" s="23">
        <f t="shared" si="10"/>
        <v>88.888888888888886</v>
      </c>
      <c r="L45" s="20">
        <v>41</v>
      </c>
      <c r="M45" s="21">
        <f t="shared" si="4"/>
        <v>78.84615384615384</v>
      </c>
      <c r="N45" s="20">
        <v>9</v>
      </c>
      <c r="O45" s="20">
        <f t="shared" si="5"/>
        <v>90</v>
      </c>
      <c r="P45" s="20">
        <v>17</v>
      </c>
      <c r="Q45" s="21">
        <f t="shared" si="6"/>
        <v>85</v>
      </c>
      <c r="R45" s="24">
        <v>9</v>
      </c>
      <c r="S45" s="21">
        <f t="shared" si="11"/>
        <v>81.818181818181827</v>
      </c>
      <c r="T45" s="18">
        <v>12</v>
      </c>
      <c r="U45" s="21">
        <f t="shared" si="8"/>
        <v>100</v>
      </c>
      <c r="V45" s="21">
        <f t="shared" si="9"/>
        <v>85.806228816981502</v>
      </c>
    </row>
    <row r="46" spans="1:22">
      <c r="A46" s="18">
        <v>36</v>
      </c>
      <c r="B46" s="19" t="s">
        <v>94</v>
      </c>
      <c r="C46" s="19" t="s">
        <v>95</v>
      </c>
      <c r="D46" s="20">
        <v>26</v>
      </c>
      <c r="E46" s="21">
        <f t="shared" si="0"/>
        <v>83.870967741935488</v>
      </c>
      <c r="F46" s="18">
        <v>21</v>
      </c>
      <c r="G46" s="21">
        <f t="shared" si="1"/>
        <v>63.636363636363633</v>
      </c>
      <c r="H46" s="18">
        <v>27</v>
      </c>
      <c r="I46" s="22">
        <f t="shared" si="2"/>
        <v>87.096774193548384</v>
      </c>
      <c r="J46" s="18">
        <v>6</v>
      </c>
      <c r="K46" s="23">
        <f t="shared" si="10"/>
        <v>66.666666666666657</v>
      </c>
      <c r="L46" s="20">
        <v>42</v>
      </c>
      <c r="M46" s="21">
        <f t="shared" si="4"/>
        <v>80.769230769230774</v>
      </c>
      <c r="N46" s="20">
        <v>10</v>
      </c>
      <c r="O46" s="20">
        <f t="shared" si="5"/>
        <v>100</v>
      </c>
      <c r="P46" s="20">
        <v>14</v>
      </c>
      <c r="Q46" s="21">
        <f t="shared" si="6"/>
        <v>70</v>
      </c>
      <c r="R46" s="24">
        <v>10</v>
      </c>
      <c r="S46" s="21">
        <f t="shared" si="11"/>
        <v>90.909090909090907</v>
      </c>
      <c r="T46" s="18">
        <v>11</v>
      </c>
      <c r="U46" s="21">
        <f t="shared" si="8"/>
        <v>91.666666666666657</v>
      </c>
      <c r="V46" s="21">
        <f t="shared" si="9"/>
        <v>81.623973398166925</v>
      </c>
    </row>
    <row r="47" spans="1:22">
      <c r="A47" s="18">
        <v>37</v>
      </c>
      <c r="B47" s="19" t="s">
        <v>96</v>
      </c>
      <c r="C47" s="19" t="s">
        <v>97</v>
      </c>
      <c r="D47" s="20">
        <v>23</v>
      </c>
      <c r="E47" s="21">
        <f t="shared" si="0"/>
        <v>74.193548387096769</v>
      </c>
      <c r="F47" s="18">
        <v>19</v>
      </c>
      <c r="G47" s="21">
        <f t="shared" si="1"/>
        <v>57.575757575757578</v>
      </c>
      <c r="H47" s="18">
        <v>26</v>
      </c>
      <c r="I47" s="22">
        <f t="shared" si="2"/>
        <v>83.870967741935488</v>
      </c>
      <c r="J47" s="18">
        <v>7</v>
      </c>
      <c r="K47" s="23">
        <f t="shared" si="10"/>
        <v>77.777777777777786</v>
      </c>
      <c r="L47" s="20">
        <v>41</v>
      </c>
      <c r="M47" s="21">
        <f t="shared" si="4"/>
        <v>78.84615384615384</v>
      </c>
      <c r="N47" s="20">
        <v>9</v>
      </c>
      <c r="O47" s="20">
        <f t="shared" si="5"/>
        <v>90</v>
      </c>
      <c r="P47" s="20">
        <v>16</v>
      </c>
      <c r="Q47" s="21">
        <f t="shared" si="6"/>
        <v>80</v>
      </c>
      <c r="R47" s="24">
        <v>10</v>
      </c>
      <c r="S47" s="21">
        <f t="shared" si="11"/>
        <v>90.909090909090907</v>
      </c>
      <c r="T47" s="18">
        <v>9</v>
      </c>
      <c r="U47" s="21">
        <f t="shared" si="8"/>
        <v>75</v>
      </c>
      <c r="V47" s="21">
        <f t="shared" si="9"/>
        <v>78.685921804201371</v>
      </c>
    </row>
    <row r="48" spans="1:22">
      <c r="A48" s="18">
        <v>38</v>
      </c>
      <c r="B48" s="19" t="s">
        <v>98</v>
      </c>
      <c r="C48" s="19" t="s">
        <v>99</v>
      </c>
      <c r="D48" s="20">
        <v>8</v>
      </c>
      <c r="E48" s="21">
        <f t="shared" si="0"/>
        <v>25.806451612903224</v>
      </c>
      <c r="F48" s="18">
        <v>6</v>
      </c>
      <c r="G48" s="21">
        <f t="shared" si="1"/>
        <v>18.181818181818183</v>
      </c>
      <c r="H48" s="18">
        <v>6</v>
      </c>
      <c r="I48" s="22">
        <f t="shared" si="2"/>
        <v>19.35483870967742</v>
      </c>
      <c r="J48" s="18">
        <v>0</v>
      </c>
      <c r="K48" s="23">
        <f t="shared" si="10"/>
        <v>0</v>
      </c>
      <c r="L48" s="20">
        <v>8</v>
      </c>
      <c r="M48" s="21">
        <f t="shared" si="4"/>
        <v>15.384615384615385</v>
      </c>
      <c r="N48" s="20">
        <v>1</v>
      </c>
      <c r="O48" s="20">
        <f t="shared" si="5"/>
        <v>10</v>
      </c>
      <c r="P48" s="20">
        <v>3</v>
      </c>
      <c r="Q48" s="21">
        <f t="shared" si="6"/>
        <v>15</v>
      </c>
      <c r="R48" s="24">
        <v>2</v>
      </c>
      <c r="S48" s="21">
        <f t="shared" si="11"/>
        <v>18.181818181818183</v>
      </c>
      <c r="T48" s="18">
        <v>3</v>
      </c>
      <c r="U48" s="21">
        <f t="shared" si="8"/>
        <v>25</v>
      </c>
      <c r="V48" s="21">
        <f t="shared" si="9"/>
        <v>16.323282452314711</v>
      </c>
    </row>
    <row r="49" spans="1:22">
      <c r="A49" s="18">
        <v>39</v>
      </c>
      <c r="B49" s="19" t="s">
        <v>100</v>
      </c>
      <c r="C49" s="19" t="s">
        <v>101</v>
      </c>
      <c r="D49" s="20">
        <v>24</v>
      </c>
      <c r="E49" s="21">
        <f t="shared" si="0"/>
        <v>77.41935483870968</v>
      </c>
      <c r="F49" s="18">
        <v>25</v>
      </c>
      <c r="G49" s="21">
        <f t="shared" si="1"/>
        <v>75.757575757575751</v>
      </c>
      <c r="H49" s="18">
        <v>24</v>
      </c>
      <c r="I49" s="22">
        <f t="shared" si="2"/>
        <v>77.41935483870968</v>
      </c>
      <c r="J49" s="18">
        <v>6</v>
      </c>
      <c r="K49" s="23">
        <f t="shared" si="10"/>
        <v>66.666666666666657</v>
      </c>
      <c r="L49" s="20">
        <v>42</v>
      </c>
      <c r="M49" s="21">
        <f t="shared" si="4"/>
        <v>80.769230769230774</v>
      </c>
      <c r="N49" s="20">
        <v>7</v>
      </c>
      <c r="O49" s="20">
        <f t="shared" si="5"/>
        <v>70</v>
      </c>
      <c r="P49" s="20">
        <v>15</v>
      </c>
      <c r="Q49" s="21">
        <f t="shared" si="6"/>
        <v>75</v>
      </c>
      <c r="R49" s="24">
        <v>8</v>
      </c>
      <c r="S49" s="21">
        <f t="shared" si="11"/>
        <v>72.727272727272734</v>
      </c>
      <c r="T49" s="18">
        <v>7</v>
      </c>
      <c r="U49" s="21">
        <f t="shared" si="8"/>
        <v>58.333333333333336</v>
      </c>
      <c r="V49" s="21">
        <f t="shared" si="9"/>
        <v>72.676976547944292</v>
      </c>
    </row>
    <row r="50" spans="1:22">
      <c r="A50" s="18">
        <v>40</v>
      </c>
      <c r="B50" s="19" t="s">
        <v>102</v>
      </c>
      <c r="C50" s="19" t="s">
        <v>103</v>
      </c>
      <c r="D50" s="20">
        <v>22</v>
      </c>
      <c r="E50" s="21">
        <f t="shared" si="0"/>
        <v>70.967741935483872</v>
      </c>
      <c r="F50" s="18">
        <v>22</v>
      </c>
      <c r="G50" s="21">
        <f t="shared" si="1"/>
        <v>66.666666666666657</v>
      </c>
      <c r="H50" s="18">
        <v>23</v>
      </c>
      <c r="I50" s="22">
        <f t="shared" si="2"/>
        <v>74.193548387096769</v>
      </c>
      <c r="J50" s="18">
        <v>7</v>
      </c>
      <c r="K50" s="23">
        <f t="shared" si="10"/>
        <v>77.777777777777786</v>
      </c>
      <c r="L50" s="20">
        <v>39</v>
      </c>
      <c r="M50" s="21">
        <f t="shared" si="4"/>
        <v>75</v>
      </c>
      <c r="N50" s="20">
        <v>7</v>
      </c>
      <c r="O50" s="20">
        <f t="shared" si="5"/>
        <v>70</v>
      </c>
      <c r="P50" s="20">
        <v>15</v>
      </c>
      <c r="Q50" s="21">
        <f t="shared" si="6"/>
        <v>75</v>
      </c>
      <c r="R50" s="24">
        <v>8</v>
      </c>
      <c r="S50" s="21">
        <f t="shared" si="11"/>
        <v>72.727272727272734</v>
      </c>
      <c r="T50" s="18">
        <v>6</v>
      </c>
      <c r="U50" s="21">
        <f t="shared" si="8"/>
        <v>50</v>
      </c>
      <c r="V50" s="21">
        <f t="shared" si="9"/>
        <v>70.259223054921975</v>
      </c>
    </row>
    <row r="51" spans="1:22">
      <c r="A51" s="18">
        <v>41</v>
      </c>
      <c r="B51" s="19" t="s">
        <v>104</v>
      </c>
      <c r="C51" s="19" t="s">
        <v>105</v>
      </c>
      <c r="D51" s="20">
        <v>20</v>
      </c>
      <c r="E51" s="21">
        <f t="shared" si="0"/>
        <v>64.516129032258064</v>
      </c>
      <c r="F51" s="18">
        <v>21</v>
      </c>
      <c r="G51" s="21">
        <f t="shared" si="1"/>
        <v>63.636363636363633</v>
      </c>
      <c r="H51" s="18">
        <v>26</v>
      </c>
      <c r="I51" s="22">
        <f t="shared" si="2"/>
        <v>83.870967741935488</v>
      </c>
      <c r="J51" s="18">
        <v>6</v>
      </c>
      <c r="K51" s="23">
        <f t="shared" si="10"/>
        <v>66.666666666666657</v>
      </c>
      <c r="L51" s="20">
        <v>48</v>
      </c>
      <c r="M51" s="21">
        <f t="shared" si="4"/>
        <v>92.307692307692307</v>
      </c>
      <c r="N51" s="20">
        <v>8</v>
      </c>
      <c r="O51" s="20">
        <f t="shared" si="5"/>
        <v>80</v>
      </c>
      <c r="P51" s="20">
        <v>13</v>
      </c>
      <c r="Q51" s="21">
        <f t="shared" si="6"/>
        <v>65</v>
      </c>
      <c r="R51" s="24">
        <v>9</v>
      </c>
      <c r="S51" s="21">
        <f t="shared" si="11"/>
        <v>81.818181818181827</v>
      </c>
      <c r="T51" s="18">
        <v>9</v>
      </c>
      <c r="U51" s="21">
        <f t="shared" si="8"/>
        <v>75</v>
      </c>
      <c r="V51" s="21">
        <f t="shared" si="9"/>
        <v>74.757333467010895</v>
      </c>
    </row>
    <row r="52" spans="1:22">
      <c r="A52" s="18">
        <v>42</v>
      </c>
      <c r="B52" s="19" t="s">
        <v>106</v>
      </c>
      <c r="C52" s="19" t="s">
        <v>107</v>
      </c>
      <c r="D52" s="20">
        <v>26</v>
      </c>
      <c r="E52" s="21">
        <f t="shared" si="0"/>
        <v>83.870967741935488</v>
      </c>
      <c r="F52" s="18">
        <v>27</v>
      </c>
      <c r="G52" s="21">
        <f t="shared" si="1"/>
        <v>81.818181818181827</v>
      </c>
      <c r="H52" s="18">
        <v>29</v>
      </c>
      <c r="I52" s="22">
        <f t="shared" si="2"/>
        <v>93.548387096774192</v>
      </c>
      <c r="J52" s="18">
        <v>9</v>
      </c>
      <c r="K52" s="23">
        <f t="shared" si="10"/>
        <v>100</v>
      </c>
      <c r="L52" s="20">
        <v>48</v>
      </c>
      <c r="M52" s="21">
        <f t="shared" si="4"/>
        <v>92.307692307692307</v>
      </c>
      <c r="N52" s="20">
        <v>9</v>
      </c>
      <c r="O52" s="20">
        <f t="shared" si="5"/>
        <v>90</v>
      </c>
      <c r="P52" s="20">
        <v>17</v>
      </c>
      <c r="Q52" s="21">
        <f t="shared" si="6"/>
        <v>85</v>
      </c>
      <c r="R52" s="24">
        <v>11</v>
      </c>
      <c r="S52" s="21">
        <f t="shared" si="11"/>
        <v>100</v>
      </c>
      <c r="T52" s="18">
        <v>10</v>
      </c>
      <c r="U52" s="21">
        <f t="shared" si="8"/>
        <v>83.333333333333343</v>
      </c>
      <c r="V52" s="21">
        <f t="shared" si="9"/>
        <v>89.986506921990809</v>
      </c>
    </row>
    <row r="53" spans="1:22">
      <c r="A53" s="18">
        <v>43</v>
      </c>
      <c r="B53" s="19" t="s">
        <v>108</v>
      </c>
      <c r="C53" s="19" t="s">
        <v>109</v>
      </c>
      <c r="D53" s="20">
        <v>23</v>
      </c>
      <c r="E53" s="21">
        <f t="shared" si="0"/>
        <v>74.193548387096769</v>
      </c>
      <c r="F53" s="18">
        <v>20</v>
      </c>
      <c r="G53" s="21">
        <f t="shared" si="1"/>
        <v>60.606060606060609</v>
      </c>
      <c r="H53" s="18">
        <v>27</v>
      </c>
      <c r="I53" s="22">
        <f t="shared" si="2"/>
        <v>87.096774193548384</v>
      </c>
      <c r="J53" s="18">
        <v>7</v>
      </c>
      <c r="K53" s="23">
        <f t="shared" si="10"/>
        <v>77.777777777777786</v>
      </c>
      <c r="L53" s="20">
        <v>41</v>
      </c>
      <c r="M53" s="21">
        <f t="shared" si="4"/>
        <v>78.84615384615384</v>
      </c>
      <c r="N53" s="20">
        <v>9</v>
      </c>
      <c r="O53" s="20">
        <f t="shared" si="5"/>
        <v>90</v>
      </c>
      <c r="P53" s="20">
        <v>16</v>
      </c>
      <c r="Q53" s="21">
        <f t="shared" si="6"/>
        <v>80</v>
      </c>
      <c r="R53" s="24">
        <v>8</v>
      </c>
      <c r="S53" s="21">
        <f t="shared" si="11"/>
        <v>72.727272727272734</v>
      </c>
      <c r="T53" s="18">
        <v>8</v>
      </c>
      <c r="U53" s="21">
        <f t="shared" si="8"/>
        <v>66.666666666666657</v>
      </c>
      <c r="V53" s="21">
        <f t="shared" si="9"/>
        <v>76.434917133841864</v>
      </c>
    </row>
    <row r="54" spans="1:22">
      <c r="A54" s="18">
        <v>44</v>
      </c>
      <c r="B54" s="19" t="s">
        <v>110</v>
      </c>
      <c r="C54" s="19" t="s">
        <v>111</v>
      </c>
      <c r="D54" s="20">
        <v>21</v>
      </c>
      <c r="E54" s="21">
        <f t="shared" si="0"/>
        <v>67.741935483870961</v>
      </c>
      <c r="F54" s="18">
        <v>29</v>
      </c>
      <c r="G54" s="21">
        <f t="shared" si="1"/>
        <v>87.878787878787875</v>
      </c>
      <c r="H54" s="18">
        <v>30</v>
      </c>
      <c r="I54" s="22">
        <f t="shared" si="2"/>
        <v>96.774193548387103</v>
      </c>
      <c r="J54" s="18">
        <v>8</v>
      </c>
      <c r="K54" s="23">
        <f t="shared" si="10"/>
        <v>88.888888888888886</v>
      </c>
      <c r="L54" s="20">
        <v>38</v>
      </c>
      <c r="M54" s="21">
        <f t="shared" si="4"/>
        <v>73.076923076923066</v>
      </c>
      <c r="N54" s="20">
        <v>10</v>
      </c>
      <c r="O54" s="20">
        <f t="shared" si="5"/>
        <v>100</v>
      </c>
      <c r="P54" s="20">
        <v>18</v>
      </c>
      <c r="Q54" s="21">
        <f t="shared" si="6"/>
        <v>90</v>
      </c>
      <c r="R54" s="24">
        <v>11</v>
      </c>
      <c r="S54" s="21">
        <f t="shared" si="11"/>
        <v>100</v>
      </c>
      <c r="T54" s="18">
        <v>9</v>
      </c>
      <c r="U54" s="21">
        <f t="shared" si="8"/>
        <v>75</v>
      </c>
      <c r="V54" s="21">
        <f t="shared" si="9"/>
        <v>86.595636541873105</v>
      </c>
    </row>
    <row r="55" spans="1:22">
      <c r="A55" s="18">
        <v>45</v>
      </c>
      <c r="B55" s="19" t="s">
        <v>112</v>
      </c>
      <c r="C55" s="19" t="s">
        <v>113</v>
      </c>
      <c r="D55" s="20">
        <v>25</v>
      </c>
      <c r="E55" s="21">
        <f t="shared" si="0"/>
        <v>80.645161290322577</v>
      </c>
      <c r="F55" s="18">
        <v>30</v>
      </c>
      <c r="G55" s="21">
        <f t="shared" si="1"/>
        <v>90.909090909090907</v>
      </c>
      <c r="H55" s="18">
        <v>30</v>
      </c>
      <c r="I55" s="22">
        <f t="shared" si="2"/>
        <v>96.774193548387103</v>
      </c>
      <c r="J55" s="18">
        <v>8</v>
      </c>
      <c r="K55" s="23">
        <f t="shared" si="10"/>
        <v>88.888888888888886</v>
      </c>
      <c r="L55" s="20">
        <v>52</v>
      </c>
      <c r="M55" s="21">
        <f t="shared" si="4"/>
        <v>100</v>
      </c>
      <c r="N55" s="20">
        <v>8</v>
      </c>
      <c r="O55" s="20">
        <f t="shared" si="5"/>
        <v>80</v>
      </c>
      <c r="P55" s="20">
        <v>17</v>
      </c>
      <c r="Q55" s="21">
        <f t="shared" si="6"/>
        <v>85</v>
      </c>
      <c r="R55" s="24">
        <v>9</v>
      </c>
      <c r="S55" s="21">
        <f t="shared" si="11"/>
        <v>81.818181818181827</v>
      </c>
      <c r="T55" s="18">
        <v>12</v>
      </c>
      <c r="U55" s="21">
        <f t="shared" si="8"/>
        <v>100</v>
      </c>
      <c r="V55" s="21">
        <f t="shared" si="9"/>
        <v>89.337279606096828</v>
      </c>
    </row>
    <row r="56" spans="1:22">
      <c r="A56" s="18">
        <v>46</v>
      </c>
      <c r="B56" s="19" t="s">
        <v>114</v>
      </c>
      <c r="C56" s="19" t="s">
        <v>115</v>
      </c>
      <c r="D56" s="20">
        <v>26</v>
      </c>
      <c r="E56" s="21">
        <f t="shared" si="0"/>
        <v>83.870967741935488</v>
      </c>
      <c r="F56" s="18">
        <v>31</v>
      </c>
      <c r="G56" s="21">
        <f t="shared" si="1"/>
        <v>93.939393939393938</v>
      </c>
      <c r="H56" s="18">
        <v>31</v>
      </c>
      <c r="I56" s="22">
        <f t="shared" si="2"/>
        <v>100</v>
      </c>
      <c r="J56" s="18">
        <v>8</v>
      </c>
      <c r="K56" s="23">
        <f t="shared" si="10"/>
        <v>88.888888888888886</v>
      </c>
      <c r="L56" s="20">
        <v>48</v>
      </c>
      <c r="M56" s="21">
        <f t="shared" si="4"/>
        <v>92.307692307692307</v>
      </c>
      <c r="N56" s="20">
        <v>10</v>
      </c>
      <c r="O56" s="20">
        <f t="shared" si="5"/>
        <v>100</v>
      </c>
      <c r="P56" s="20">
        <v>16</v>
      </c>
      <c r="Q56" s="21">
        <f t="shared" si="6"/>
        <v>80</v>
      </c>
      <c r="R56" s="24">
        <v>10</v>
      </c>
      <c r="S56" s="21">
        <f t="shared" si="11"/>
        <v>90.909090909090907</v>
      </c>
      <c r="T56" s="18">
        <v>11</v>
      </c>
      <c r="U56" s="21">
        <f t="shared" si="8"/>
        <v>91.666666666666657</v>
      </c>
      <c r="V56" s="21">
        <f t="shared" si="9"/>
        <v>91.286966717074236</v>
      </c>
    </row>
    <row r="57" spans="1:22">
      <c r="A57" s="18">
        <v>47</v>
      </c>
      <c r="B57" s="19" t="s">
        <v>116</v>
      </c>
      <c r="C57" s="19" t="s">
        <v>117</v>
      </c>
      <c r="D57" s="20">
        <v>23</v>
      </c>
      <c r="E57" s="21">
        <f t="shared" si="0"/>
        <v>74.193548387096769</v>
      </c>
      <c r="F57" s="18">
        <v>29</v>
      </c>
      <c r="G57" s="21">
        <f t="shared" si="1"/>
        <v>87.878787878787875</v>
      </c>
      <c r="H57" s="18">
        <v>26</v>
      </c>
      <c r="I57" s="22">
        <f t="shared" si="2"/>
        <v>83.870967741935488</v>
      </c>
      <c r="J57" s="18">
        <v>8</v>
      </c>
      <c r="K57" s="23">
        <f t="shared" si="10"/>
        <v>88.888888888888886</v>
      </c>
      <c r="L57" s="20">
        <v>43</v>
      </c>
      <c r="M57" s="21">
        <f t="shared" si="4"/>
        <v>82.692307692307693</v>
      </c>
      <c r="N57" s="20">
        <v>7</v>
      </c>
      <c r="O57" s="20">
        <f t="shared" si="5"/>
        <v>70</v>
      </c>
      <c r="P57" s="20">
        <v>16</v>
      </c>
      <c r="Q57" s="21">
        <f t="shared" si="6"/>
        <v>80</v>
      </c>
      <c r="R57" s="24">
        <v>8</v>
      </c>
      <c r="S57" s="21">
        <f t="shared" si="11"/>
        <v>72.727272727272734</v>
      </c>
      <c r="T57" s="18">
        <v>8</v>
      </c>
      <c r="U57" s="21">
        <f t="shared" si="8"/>
        <v>66.666666666666657</v>
      </c>
      <c r="V57" s="21">
        <f t="shared" si="9"/>
        <v>78.546493331439564</v>
      </c>
    </row>
    <row r="58" spans="1:22">
      <c r="A58" s="18">
        <v>48</v>
      </c>
      <c r="B58" s="19" t="s">
        <v>118</v>
      </c>
      <c r="C58" s="19" t="s">
        <v>119</v>
      </c>
      <c r="D58" s="20">
        <v>29</v>
      </c>
      <c r="E58" s="21">
        <f t="shared" si="0"/>
        <v>93.548387096774192</v>
      </c>
      <c r="F58" s="18">
        <v>32</v>
      </c>
      <c r="G58" s="21">
        <f t="shared" si="1"/>
        <v>96.969696969696969</v>
      </c>
      <c r="H58" s="18">
        <v>31</v>
      </c>
      <c r="I58" s="22">
        <f t="shared" si="2"/>
        <v>100</v>
      </c>
      <c r="J58" s="18">
        <v>9</v>
      </c>
      <c r="K58" s="23">
        <f t="shared" si="10"/>
        <v>100</v>
      </c>
      <c r="L58" s="20">
        <v>49</v>
      </c>
      <c r="M58" s="21">
        <f t="shared" si="4"/>
        <v>94.230769230769226</v>
      </c>
      <c r="N58" s="20">
        <v>10</v>
      </c>
      <c r="O58" s="20">
        <f t="shared" si="5"/>
        <v>100</v>
      </c>
      <c r="P58" s="20">
        <v>19</v>
      </c>
      <c r="Q58" s="21">
        <f t="shared" si="6"/>
        <v>95</v>
      </c>
      <c r="R58" s="24">
        <v>11</v>
      </c>
      <c r="S58" s="21">
        <f t="shared" si="11"/>
        <v>100</v>
      </c>
      <c r="T58" s="18">
        <v>12</v>
      </c>
      <c r="U58" s="21">
        <f t="shared" si="8"/>
        <v>100</v>
      </c>
      <c r="V58" s="21">
        <f t="shared" si="9"/>
        <v>97.749872588582264</v>
      </c>
    </row>
    <row r="59" spans="1:22">
      <c r="A59" s="18">
        <v>49</v>
      </c>
      <c r="B59" s="19" t="s">
        <v>120</v>
      </c>
      <c r="C59" s="19" t="s">
        <v>121</v>
      </c>
      <c r="D59" s="20">
        <v>18</v>
      </c>
      <c r="E59" s="21">
        <f t="shared" si="0"/>
        <v>58.064516129032263</v>
      </c>
      <c r="F59" s="18">
        <v>14</v>
      </c>
      <c r="G59" s="21">
        <f t="shared" si="1"/>
        <v>42.424242424242422</v>
      </c>
      <c r="H59" s="18">
        <v>20</v>
      </c>
      <c r="I59" s="22">
        <f t="shared" si="2"/>
        <v>64.516129032258064</v>
      </c>
      <c r="J59" s="18">
        <v>4</v>
      </c>
      <c r="K59" s="23">
        <f t="shared" si="10"/>
        <v>44.444444444444443</v>
      </c>
      <c r="L59" s="20">
        <v>34</v>
      </c>
      <c r="M59" s="21">
        <f t="shared" si="4"/>
        <v>65.384615384615387</v>
      </c>
      <c r="N59" s="20">
        <v>5</v>
      </c>
      <c r="O59" s="20">
        <f t="shared" si="5"/>
        <v>50</v>
      </c>
      <c r="P59" s="20">
        <v>11</v>
      </c>
      <c r="Q59" s="21">
        <f t="shared" si="6"/>
        <v>55.000000000000007</v>
      </c>
      <c r="R59" s="24">
        <v>5</v>
      </c>
      <c r="S59" s="21">
        <f t="shared" si="11"/>
        <v>45.454545454545453</v>
      </c>
      <c r="T59" s="18">
        <v>11</v>
      </c>
      <c r="U59" s="21">
        <f t="shared" si="8"/>
        <v>91.666666666666657</v>
      </c>
      <c r="V59" s="21">
        <f t="shared" si="9"/>
        <v>57.439462170644966</v>
      </c>
    </row>
    <row r="60" spans="1:22">
      <c r="A60" s="18">
        <v>50</v>
      </c>
      <c r="B60" s="19" t="s">
        <v>122</v>
      </c>
      <c r="C60" s="19" t="s">
        <v>123</v>
      </c>
      <c r="D60" s="20">
        <v>17</v>
      </c>
      <c r="E60" s="21">
        <f t="shared" si="0"/>
        <v>54.838709677419352</v>
      </c>
      <c r="F60" s="18">
        <v>14</v>
      </c>
      <c r="G60" s="21">
        <f t="shared" si="1"/>
        <v>42.424242424242422</v>
      </c>
      <c r="H60" s="18">
        <v>20</v>
      </c>
      <c r="I60" s="22">
        <f t="shared" si="2"/>
        <v>64.516129032258064</v>
      </c>
      <c r="J60" s="18">
        <v>5</v>
      </c>
      <c r="K60" s="23">
        <f t="shared" si="10"/>
        <v>55.555555555555557</v>
      </c>
      <c r="L60" s="20">
        <v>33</v>
      </c>
      <c r="M60" s="21">
        <f t="shared" si="4"/>
        <v>63.46153846153846</v>
      </c>
      <c r="N60" s="20">
        <v>5</v>
      </c>
      <c r="O60" s="20">
        <f t="shared" si="5"/>
        <v>50</v>
      </c>
      <c r="P60" s="20">
        <v>10</v>
      </c>
      <c r="Q60" s="21">
        <f t="shared" si="6"/>
        <v>50</v>
      </c>
      <c r="R60" s="24">
        <v>5</v>
      </c>
      <c r="S60" s="21">
        <f t="shared" si="11"/>
        <v>45.454545454545453</v>
      </c>
      <c r="T60" s="18">
        <v>9</v>
      </c>
      <c r="U60" s="21">
        <f t="shared" si="8"/>
        <v>75</v>
      </c>
      <c r="V60" s="21">
        <f t="shared" si="9"/>
        <v>55.694524511728808</v>
      </c>
    </row>
    <row r="61" spans="1:22">
      <c r="A61" s="18">
        <v>51</v>
      </c>
      <c r="B61" s="19" t="s">
        <v>124</v>
      </c>
      <c r="C61" s="19" t="s">
        <v>125</v>
      </c>
      <c r="D61" s="20">
        <v>25</v>
      </c>
      <c r="E61" s="21">
        <f t="shared" si="0"/>
        <v>80.645161290322577</v>
      </c>
      <c r="F61" s="18">
        <v>24</v>
      </c>
      <c r="G61" s="21">
        <f t="shared" si="1"/>
        <v>72.727272727272734</v>
      </c>
      <c r="H61" s="18">
        <v>27</v>
      </c>
      <c r="I61" s="22">
        <f t="shared" si="2"/>
        <v>87.096774193548384</v>
      </c>
      <c r="J61" s="18">
        <v>7</v>
      </c>
      <c r="K61" s="23">
        <f t="shared" si="10"/>
        <v>77.777777777777786</v>
      </c>
      <c r="L61" s="20">
        <v>39</v>
      </c>
      <c r="M61" s="21">
        <f t="shared" si="4"/>
        <v>75</v>
      </c>
      <c r="N61" s="20">
        <v>8</v>
      </c>
      <c r="O61" s="20">
        <f t="shared" si="5"/>
        <v>80</v>
      </c>
      <c r="P61" s="20">
        <v>13</v>
      </c>
      <c r="Q61" s="21">
        <f t="shared" si="6"/>
        <v>65</v>
      </c>
      <c r="R61" s="24">
        <v>10</v>
      </c>
      <c r="S61" s="21">
        <f t="shared" si="11"/>
        <v>90.909090909090907</v>
      </c>
      <c r="T61" s="18">
        <v>9</v>
      </c>
      <c r="U61" s="21">
        <f t="shared" si="8"/>
        <v>75</v>
      </c>
      <c r="V61" s="21">
        <f t="shared" si="9"/>
        <v>78.239564099779159</v>
      </c>
    </row>
    <row r="62" spans="1:22">
      <c r="A62" s="18">
        <v>52</v>
      </c>
      <c r="B62" s="19" t="s">
        <v>126</v>
      </c>
      <c r="C62" s="19" t="s">
        <v>127</v>
      </c>
      <c r="D62" s="20">
        <v>26</v>
      </c>
      <c r="E62" s="21">
        <f t="shared" si="0"/>
        <v>83.870967741935488</v>
      </c>
      <c r="F62" s="18">
        <v>25</v>
      </c>
      <c r="G62" s="21">
        <f t="shared" si="1"/>
        <v>75.757575757575751</v>
      </c>
      <c r="H62" s="18">
        <v>22</v>
      </c>
      <c r="I62" s="22">
        <f t="shared" si="2"/>
        <v>70.967741935483872</v>
      </c>
      <c r="J62" s="18">
        <v>7</v>
      </c>
      <c r="K62" s="23">
        <f t="shared" si="10"/>
        <v>77.777777777777786</v>
      </c>
      <c r="L62" s="20">
        <v>44</v>
      </c>
      <c r="M62" s="21">
        <f t="shared" si="4"/>
        <v>84.615384615384613</v>
      </c>
      <c r="N62" s="20">
        <v>7</v>
      </c>
      <c r="O62" s="20">
        <f t="shared" si="5"/>
        <v>70</v>
      </c>
      <c r="P62" s="20">
        <v>16</v>
      </c>
      <c r="Q62" s="21">
        <f t="shared" si="6"/>
        <v>80</v>
      </c>
      <c r="R62" s="24">
        <v>9</v>
      </c>
      <c r="S62" s="21">
        <f t="shared" si="11"/>
        <v>81.818181818181827</v>
      </c>
      <c r="T62" s="18">
        <v>8</v>
      </c>
      <c r="U62" s="21">
        <f t="shared" si="8"/>
        <v>66.666666666666657</v>
      </c>
      <c r="V62" s="21">
        <f t="shared" si="9"/>
        <v>76.830477368111772</v>
      </c>
    </row>
    <row r="63" spans="1:22">
      <c r="A63" s="18">
        <v>53</v>
      </c>
      <c r="B63" s="28" t="s">
        <v>128</v>
      </c>
      <c r="C63" s="28" t="s">
        <v>129</v>
      </c>
      <c r="D63" s="20">
        <v>2</v>
      </c>
      <c r="E63" s="21">
        <f t="shared" si="0"/>
        <v>6.4516129032258061</v>
      </c>
      <c r="F63" s="18">
        <v>2</v>
      </c>
      <c r="G63" s="21">
        <f t="shared" si="1"/>
        <v>6.0606060606060606</v>
      </c>
      <c r="H63" s="18">
        <v>2</v>
      </c>
      <c r="I63" s="22">
        <f t="shared" si="2"/>
        <v>6.4516129032258061</v>
      </c>
      <c r="J63" s="18">
        <v>0</v>
      </c>
      <c r="K63" s="23">
        <f t="shared" si="10"/>
        <v>0</v>
      </c>
      <c r="L63" s="20">
        <v>3</v>
      </c>
      <c r="M63" s="21">
        <f t="shared" si="4"/>
        <v>5.7692307692307692</v>
      </c>
      <c r="N63" s="20">
        <v>1</v>
      </c>
      <c r="O63" s="20">
        <f t="shared" si="5"/>
        <v>10</v>
      </c>
      <c r="P63" s="20">
        <v>1</v>
      </c>
      <c r="Q63" s="21">
        <f t="shared" si="6"/>
        <v>5</v>
      </c>
      <c r="R63" s="24">
        <v>0</v>
      </c>
      <c r="S63" s="21">
        <f t="shared" si="11"/>
        <v>0</v>
      </c>
      <c r="T63" s="18">
        <v>2</v>
      </c>
      <c r="U63" s="21">
        <f t="shared" si="8"/>
        <v>16.666666666666664</v>
      </c>
      <c r="V63" s="21">
        <f t="shared" si="9"/>
        <v>6.2666365892172333</v>
      </c>
    </row>
    <row r="64" spans="1:22">
      <c r="A64" s="18">
        <v>54</v>
      </c>
      <c r="B64" s="19" t="s">
        <v>130</v>
      </c>
      <c r="C64" s="19" t="s">
        <v>131</v>
      </c>
      <c r="D64" s="20">
        <v>14</v>
      </c>
      <c r="E64" s="21">
        <f t="shared" si="0"/>
        <v>45.161290322580641</v>
      </c>
      <c r="F64" s="18">
        <v>23</v>
      </c>
      <c r="G64" s="21">
        <f t="shared" si="1"/>
        <v>69.696969696969703</v>
      </c>
      <c r="H64" s="18">
        <v>26</v>
      </c>
      <c r="I64" s="22">
        <f t="shared" si="2"/>
        <v>83.870967741935488</v>
      </c>
      <c r="J64" s="18">
        <v>6</v>
      </c>
      <c r="K64" s="23">
        <f t="shared" si="10"/>
        <v>66.666666666666657</v>
      </c>
      <c r="L64" s="20">
        <v>39</v>
      </c>
      <c r="M64" s="21">
        <f t="shared" si="4"/>
        <v>75</v>
      </c>
      <c r="N64" s="20">
        <v>8</v>
      </c>
      <c r="O64" s="20">
        <f t="shared" si="5"/>
        <v>80</v>
      </c>
      <c r="P64" s="20">
        <v>16</v>
      </c>
      <c r="Q64" s="21">
        <f t="shared" si="6"/>
        <v>80</v>
      </c>
      <c r="R64" s="24">
        <v>9</v>
      </c>
      <c r="S64" s="21">
        <f t="shared" si="11"/>
        <v>81.818181818181827</v>
      </c>
      <c r="T64" s="18">
        <v>7</v>
      </c>
      <c r="U64" s="21">
        <f t="shared" si="8"/>
        <v>58.333333333333336</v>
      </c>
      <c r="V64" s="21">
        <f t="shared" si="9"/>
        <v>71.171934397740856</v>
      </c>
    </row>
    <row r="65" spans="1:22">
      <c r="A65" s="18">
        <v>55</v>
      </c>
      <c r="B65" s="19" t="s">
        <v>132</v>
      </c>
      <c r="C65" s="19" t="s">
        <v>133</v>
      </c>
      <c r="D65" s="20">
        <v>26</v>
      </c>
      <c r="E65" s="21">
        <f t="shared" si="0"/>
        <v>83.870967741935488</v>
      </c>
      <c r="F65" s="18">
        <v>26</v>
      </c>
      <c r="G65" s="21">
        <f t="shared" si="1"/>
        <v>78.787878787878782</v>
      </c>
      <c r="H65" s="18">
        <v>22</v>
      </c>
      <c r="I65" s="22">
        <f t="shared" si="2"/>
        <v>70.967741935483872</v>
      </c>
      <c r="J65" s="20">
        <v>7</v>
      </c>
      <c r="K65" s="23">
        <f t="shared" si="10"/>
        <v>77.777777777777786</v>
      </c>
      <c r="L65" s="20">
        <v>40</v>
      </c>
      <c r="M65" s="21">
        <f t="shared" si="4"/>
        <v>76.923076923076934</v>
      </c>
      <c r="N65" s="20">
        <v>5</v>
      </c>
      <c r="O65" s="20">
        <f t="shared" si="5"/>
        <v>50</v>
      </c>
      <c r="P65" s="20">
        <v>17</v>
      </c>
      <c r="Q65" s="21">
        <f t="shared" si="6"/>
        <v>85</v>
      </c>
      <c r="R65" s="24">
        <v>9</v>
      </c>
      <c r="S65" s="21">
        <f t="shared" si="11"/>
        <v>81.818181818181827</v>
      </c>
      <c r="T65" s="18">
        <v>8</v>
      </c>
      <c r="U65" s="21">
        <f t="shared" si="8"/>
        <v>66.666666666666657</v>
      </c>
      <c r="V65" s="21">
        <f t="shared" si="9"/>
        <v>74.645810183444596</v>
      </c>
    </row>
    <row r="66" spans="1:22">
      <c r="A66" s="112" t="s">
        <v>134</v>
      </c>
      <c r="B66" s="113"/>
      <c r="C66" s="114"/>
      <c r="D66" s="110" t="s">
        <v>135</v>
      </c>
      <c r="E66" s="111"/>
      <c r="F66" s="110" t="s">
        <v>136</v>
      </c>
      <c r="G66" s="111"/>
      <c r="H66" s="110" t="s">
        <v>137</v>
      </c>
      <c r="I66" s="111"/>
      <c r="J66" s="110" t="s">
        <v>135</v>
      </c>
      <c r="K66" s="111"/>
      <c r="L66" s="110" t="s">
        <v>138</v>
      </c>
      <c r="M66" s="111"/>
      <c r="N66" s="110" t="s">
        <v>139</v>
      </c>
      <c r="O66" s="111"/>
      <c r="P66" s="110" t="s">
        <v>140</v>
      </c>
      <c r="Q66" s="111"/>
      <c r="R66" s="110" t="s">
        <v>136</v>
      </c>
      <c r="S66" s="111"/>
      <c r="T66" s="110" t="s">
        <v>137</v>
      </c>
      <c r="U66" s="111"/>
      <c r="V66" s="21"/>
    </row>
    <row r="67" spans="1:22" ht="15">
      <c r="A67" s="29"/>
      <c r="B67" s="30"/>
      <c r="C67" s="30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31"/>
      <c r="P67" s="29"/>
      <c r="Q67" s="29"/>
      <c r="R67" s="29"/>
      <c r="S67" s="29"/>
      <c r="T67" s="29"/>
      <c r="U67" s="29"/>
      <c r="V67" s="29"/>
    </row>
    <row r="68" spans="1:22" ht="15">
      <c r="A68" s="29"/>
      <c r="B68" s="30"/>
      <c r="C68" s="30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31"/>
      <c r="P68" s="29"/>
      <c r="Q68" s="29"/>
      <c r="R68" s="29"/>
      <c r="S68" s="29"/>
      <c r="T68" s="29"/>
      <c r="U68" s="29"/>
      <c r="V68" s="29"/>
    </row>
    <row r="69" spans="1:22" ht="15">
      <c r="A69" s="128" t="s">
        <v>141</v>
      </c>
      <c r="B69" s="106"/>
      <c r="C69" s="106"/>
      <c r="D69" s="106"/>
      <c r="E69" s="106"/>
      <c r="F69" s="129" t="s">
        <v>142</v>
      </c>
      <c r="G69" s="106"/>
      <c r="H69" s="106"/>
      <c r="I69" s="106"/>
      <c r="J69" s="106"/>
      <c r="K69" s="106"/>
      <c r="L69" s="106"/>
      <c r="M69" s="106"/>
      <c r="N69" s="106"/>
      <c r="O69" s="106"/>
      <c r="P69" s="128" t="s">
        <v>143</v>
      </c>
      <c r="Q69" s="106"/>
      <c r="R69" s="106"/>
      <c r="S69" s="106"/>
      <c r="T69" s="106"/>
      <c r="U69" s="106"/>
      <c r="V69" s="106"/>
    </row>
    <row r="70" spans="1:22" ht="12.75">
      <c r="B70" s="10"/>
      <c r="C70" s="10"/>
    </row>
    <row r="71" spans="1:22" ht="12.75">
      <c r="B71" s="10"/>
      <c r="C71" s="10"/>
    </row>
    <row r="72" spans="1:22" ht="12.75">
      <c r="B72" s="10"/>
      <c r="C72" s="10"/>
    </row>
    <row r="73" spans="1:22" ht="12.75">
      <c r="B73" s="10"/>
      <c r="C73" s="10"/>
    </row>
    <row r="74" spans="1:22" ht="12.75">
      <c r="B74" s="10"/>
      <c r="C74" s="10"/>
    </row>
    <row r="75" spans="1:22" ht="12.75">
      <c r="B75" s="10"/>
      <c r="C75" s="10"/>
    </row>
    <row r="76" spans="1:22" ht="12.75">
      <c r="B76" s="10"/>
      <c r="C76" s="10"/>
    </row>
    <row r="77" spans="1:22" ht="12.75">
      <c r="B77" s="10"/>
      <c r="C77" s="10"/>
    </row>
    <row r="78" spans="1:22" ht="12.75">
      <c r="B78" s="10"/>
      <c r="C78" s="10"/>
    </row>
    <row r="79" spans="1:22" ht="12.75">
      <c r="B79" s="10"/>
      <c r="C79" s="10"/>
    </row>
    <row r="80" spans="1:22" ht="12.75">
      <c r="B80" s="10"/>
      <c r="C80" s="10"/>
    </row>
    <row r="81" spans="2:3" ht="12.75">
      <c r="B81" s="10"/>
      <c r="C81" s="10"/>
    </row>
    <row r="82" spans="2:3" ht="12.75">
      <c r="B82" s="10"/>
      <c r="C82" s="10"/>
    </row>
    <row r="83" spans="2:3" ht="12.75">
      <c r="B83" s="10"/>
      <c r="C83" s="10"/>
    </row>
    <row r="84" spans="2:3" ht="12.75">
      <c r="B84" s="10"/>
      <c r="C84" s="10"/>
    </row>
    <row r="85" spans="2:3" ht="12.75">
      <c r="B85" s="10"/>
      <c r="C85" s="10"/>
    </row>
    <row r="86" spans="2:3" ht="12.75">
      <c r="B86" s="10"/>
      <c r="C86" s="10"/>
    </row>
    <row r="87" spans="2:3" ht="12.75">
      <c r="B87" s="10"/>
      <c r="C87" s="10"/>
    </row>
    <row r="88" spans="2:3" ht="12.75">
      <c r="B88" s="10"/>
      <c r="C88" s="10"/>
    </row>
    <row r="89" spans="2:3" ht="12.75">
      <c r="B89" s="10"/>
      <c r="C89" s="10"/>
    </row>
    <row r="90" spans="2:3" ht="12.75">
      <c r="B90" s="10"/>
      <c r="C90" s="10"/>
    </row>
    <row r="91" spans="2:3" ht="12.75">
      <c r="B91" s="10"/>
      <c r="C91" s="10"/>
    </row>
    <row r="92" spans="2:3" ht="12.75">
      <c r="B92" s="10"/>
      <c r="C92" s="10"/>
    </row>
    <row r="93" spans="2:3" ht="12.75">
      <c r="B93" s="10"/>
      <c r="C93" s="10"/>
    </row>
    <row r="94" spans="2:3" ht="12.75">
      <c r="B94" s="10"/>
      <c r="C94" s="10"/>
    </row>
    <row r="95" spans="2:3" ht="12.75">
      <c r="B95" s="10"/>
      <c r="C95" s="10"/>
    </row>
    <row r="96" spans="2:3" ht="12.75">
      <c r="B96" s="10"/>
      <c r="C96" s="10"/>
    </row>
    <row r="97" spans="2:3" ht="12.75">
      <c r="B97" s="10"/>
      <c r="C97" s="10"/>
    </row>
    <row r="98" spans="2:3" ht="12.75">
      <c r="B98" s="10"/>
      <c r="C98" s="10"/>
    </row>
    <row r="99" spans="2:3" ht="12.75">
      <c r="B99" s="10"/>
      <c r="C99" s="10"/>
    </row>
    <row r="100" spans="2:3" ht="12.75">
      <c r="B100" s="10"/>
      <c r="C100" s="10"/>
    </row>
    <row r="101" spans="2:3" ht="12.75">
      <c r="B101" s="10"/>
      <c r="C101" s="10"/>
    </row>
    <row r="102" spans="2:3" ht="12.75">
      <c r="B102" s="10"/>
      <c r="C102" s="10"/>
    </row>
    <row r="103" spans="2:3" ht="12.75">
      <c r="B103" s="10"/>
      <c r="C103" s="10"/>
    </row>
    <row r="104" spans="2:3" ht="12.75">
      <c r="B104" s="10"/>
      <c r="C104" s="10"/>
    </row>
    <row r="105" spans="2:3" ht="12.75">
      <c r="B105" s="10"/>
      <c r="C105" s="10"/>
    </row>
    <row r="106" spans="2:3" ht="12.75">
      <c r="B106" s="10"/>
      <c r="C106" s="10"/>
    </row>
    <row r="107" spans="2:3" ht="12.75">
      <c r="B107" s="10"/>
      <c r="C107" s="10"/>
    </row>
    <row r="108" spans="2:3" ht="12.75">
      <c r="B108" s="10"/>
      <c r="C108" s="10"/>
    </row>
    <row r="109" spans="2:3" ht="12.75">
      <c r="B109" s="10"/>
      <c r="C109" s="10"/>
    </row>
    <row r="110" spans="2:3" ht="12.75">
      <c r="B110" s="10"/>
      <c r="C110" s="10"/>
    </row>
    <row r="111" spans="2:3" ht="12.75">
      <c r="B111" s="10"/>
      <c r="C111" s="10"/>
    </row>
    <row r="112" spans="2:3" ht="12.75">
      <c r="B112" s="10"/>
      <c r="C112" s="10"/>
    </row>
    <row r="113" spans="2:3" ht="12.75">
      <c r="B113" s="10"/>
      <c r="C113" s="10"/>
    </row>
    <row r="114" spans="2:3" ht="12.75">
      <c r="B114" s="10"/>
      <c r="C114" s="10"/>
    </row>
    <row r="115" spans="2:3" ht="12.75">
      <c r="B115" s="10"/>
      <c r="C115" s="10"/>
    </row>
    <row r="116" spans="2:3" ht="12.75">
      <c r="B116" s="10"/>
      <c r="C116" s="10"/>
    </row>
    <row r="117" spans="2:3" ht="12.75">
      <c r="B117" s="10"/>
      <c r="C117" s="10"/>
    </row>
    <row r="118" spans="2:3" ht="12.75">
      <c r="B118" s="10"/>
      <c r="C118" s="10"/>
    </row>
    <row r="119" spans="2:3" ht="12.75">
      <c r="B119" s="10"/>
      <c r="C119" s="10"/>
    </row>
    <row r="120" spans="2:3" ht="12.75">
      <c r="B120" s="10"/>
      <c r="C120" s="10"/>
    </row>
    <row r="121" spans="2:3" ht="12.75">
      <c r="B121" s="10"/>
      <c r="C121" s="10"/>
    </row>
    <row r="122" spans="2:3" ht="12.75">
      <c r="B122" s="10"/>
      <c r="C122" s="10"/>
    </row>
    <row r="123" spans="2:3" ht="12.75">
      <c r="B123" s="10"/>
      <c r="C123" s="10"/>
    </row>
    <row r="124" spans="2:3" ht="12.75">
      <c r="B124" s="10"/>
      <c r="C124" s="10"/>
    </row>
    <row r="125" spans="2:3" ht="12.75">
      <c r="B125" s="10"/>
      <c r="C125" s="10"/>
    </row>
    <row r="126" spans="2:3" ht="12.75">
      <c r="B126" s="10"/>
      <c r="C126" s="10"/>
    </row>
    <row r="127" spans="2:3" ht="12.75">
      <c r="B127" s="10"/>
      <c r="C127" s="10"/>
    </row>
    <row r="128" spans="2:3" ht="12.75">
      <c r="B128" s="10"/>
      <c r="C128" s="10"/>
    </row>
    <row r="129" spans="2:3" ht="12.75">
      <c r="B129" s="10"/>
      <c r="C129" s="10"/>
    </row>
    <row r="130" spans="2:3" ht="12.75">
      <c r="B130" s="10"/>
      <c r="C130" s="10"/>
    </row>
    <row r="131" spans="2:3" ht="12.75">
      <c r="B131" s="10"/>
      <c r="C131" s="10"/>
    </row>
    <row r="132" spans="2:3" ht="12.75">
      <c r="B132" s="10"/>
      <c r="C132" s="10"/>
    </row>
    <row r="133" spans="2:3" ht="12.75">
      <c r="B133" s="10"/>
      <c r="C133" s="10"/>
    </row>
    <row r="134" spans="2:3" ht="12.75">
      <c r="B134" s="10"/>
      <c r="C134" s="10"/>
    </row>
    <row r="135" spans="2:3" ht="12.75">
      <c r="B135" s="10"/>
      <c r="C135" s="10"/>
    </row>
    <row r="136" spans="2:3" ht="12.75">
      <c r="B136" s="10"/>
      <c r="C136" s="10"/>
    </row>
    <row r="137" spans="2:3" ht="12.75">
      <c r="B137" s="10"/>
      <c r="C137" s="10"/>
    </row>
    <row r="138" spans="2:3" ht="12.75">
      <c r="B138" s="10"/>
      <c r="C138" s="10"/>
    </row>
    <row r="139" spans="2:3" ht="12.75">
      <c r="B139" s="10"/>
      <c r="C139" s="10"/>
    </row>
    <row r="140" spans="2:3" ht="12.75">
      <c r="B140" s="10"/>
      <c r="C140" s="10"/>
    </row>
    <row r="141" spans="2:3" ht="12.75">
      <c r="B141" s="10"/>
      <c r="C141" s="10"/>
    </row>
    <row r="142" spans="2:3" ht="12.75">
      <c r="B142" s="10"/>
      <c r="C142" s="10"/>
    </row>
    <row r="143" spans="2:3" ht="12.75">
      <c r="B143" s="10"/>
      <c r="C143" s="10"/>
    </row>
    <row r="144" spans="2:3" ht="12.75">
      <c r="B144" s="10"/>
      <c r="C144" s="10"/>
    </row>
    <row r="145" spans="2:3" ht="12.75">
      <c r="B145" s="10"/>
      <c r="C145" s="10"/>
    </row>
    <row r="146" spans="2:3" ht="12.75">
      <c r="B146" s="10"/>
      <c r="C146" s="10"/>
    </row>
    <row r="147" spans="2:3" ht="12.75">
      <c r="B147" s="10"/>
      <c r="C147" s="10"/>
    </row>
    <row r="148" spans="2:3" ht="12.75">
      <c r="B148" s="10"/>
      <c r="C148" s="10"/>
    </row>
    <row r="149" spans="2:3" ht="12.75">
      <c r="B149" s="10"/>
      <c r="C149" s="10"/>
    </row>
    <row r="150" spans="2:3" ht="12.75">
      <c r="B150" s="10"/>
      <c r="C150" s="10"/>
    </row>
    <row r="151" spans="2:3" ht="12.75">
      <c r="B151" s="10"/>
      <c r="C151" s="10"/>
    </row>
    <row r="152" spans="2:3" ht="12.75">
      <c r="B152" s="10"/>
      <c r="C152" s="10"/>
    </row>
    <row r="153" spans="2:3" ht="12.75">
      <c r="B153" s="10"/>
      <c r="C153" s="10"/>
    </row>
    <row r="154" spans="2:3" ht="12.75">
      <c r="B154" s="10"/>
      <c r="C154" s="10"/>
    </row>
    <row r="155" spans="2:3" ht="12.75">
      <c r="B155" s="10"/>
      <c r="C155" s="10"/>
    </row>
    <row r="156" spans="2:3" ht="12.75">
      <c r="B156" s="10"/>
      <c r="C156" s="10"/>
    </row>
    <row r="157" spans="2:3" ht="12.75">
      <c r="B157" s="10"/>
      <c r="C157" s="10"/>
    </row>
    <row r="158" spans="2:3" ht="12.75">
      <c r="B158" s="10"/>
      <c r="C158" s="10"/>
    </row>
    <row r="159" spans="2:3" ht="12.75">
      <c r="B159" s="10"/>
      <c r="C159" s="10"/>
    </row>
    <row r="160" spans="2:3" ht="12.75">
      <c r="B160" s="10"/>
      <c r="C160" s="10"/>
    </row>
    <row r="161" spans="2:3" ht="12.75">
      <c r="B161" s="10"/>
      <c r="C161" s="10"/>
    </row>
    <row r="162" spans="2:3" ht="12.75">
      <c r="B162" s="10"/>
      <c r="C162" s="10"/>
    </row>
    <row r="163" spans="2:3" ht="12.75">
      <c r="B163" s="10"/>
      <c r="C163" s="10"/>
    </row>
    <row r="164" spans="2:3" ht="12.75">
      <c r="B164" s="10"/>
      <c r="C164" s="10"/>
    </row>
    <row r="165" spans="2:3" ht="12.75">
      <c r="B165" s="10"/>
      <c r="C165" s="10"/>
    </row>
    <row r="166" spans="2:3" ht="12.75">
      <c r="B166" s="10"/>
      <c r="C166" s="10"/>
    </row>
    <row r="167" spans="2:3" ht="12.75">
      <c r="B167" s="10"/>
      <c r="C167" s="10"/>
    </row>
    <row r="168" spans="2:3" ht="12.75">
      <c r="B168" s="10"/>
      <c r="C168" s="10"/>
    </row>
    <row r="169" spans="2:3" ht="12.75">
      <c r="B169" s="10"/>
      <c r="C169" s="10"/>
    </row>
    <row r="170" spans="2:3" ht="12.75">
      <c r="B170" s="10"/>
      <c r="C170" s="10"/>
    </row>
    <row r="171" spans="2:3" ht="12.75">
      <c r="B171" s="10"/>
      <c r="C171" s="10"/>
    </row>
    <row r="172" spans="2:3" ht="12.75">
      <c r="B172" s="10"/>
      <c r="C172" s="10"/>
    </row>
    <row r="173" spans="2:3" ht="12.75">
      <c r="B173" s="10"/>
      <c r="C173" s="10"/>
    </row>
    <row r="174" spans="2:3" ht="12.75">
      <c r="B174" s="10"/>
      <c r="C174" s="10"/>
    </row>
    <row r="175" spans="2:3" ht="12.75">
      <c r="B175" s="10"/>
      <c r="C175" s="10"/>
    </row>
    <row r="176" spans="2:3" ht="12.75">
      <c r="B176" s="10"/>
      <c r="C176" s="10"/>
    </row>
    <row r="177" spans="2:3" ht="12.75">
      <c r="B177" s="10"/>
      <c r="C177" s="10"/>
    </row>
    <row r="178" spans="2:3" ht="12.75">
      <c r="B178" s="10"/>
      <c r="C178" s="10"/>
    </row>
    <row r="179" spans="2:3" ht="12.75">
      <c r="B179" s="10"/>
      <c r="C179" s="10"/>
    </row>
    <row r="180" spans="2:3" ht="12.75">
      <c r="B180" s="10"/>
      <c r="C180" s="10"/>
    </row>
    <row r="181" spans="2:3" ht="12.75">
      <c r="B181" s="10"/>
      <c r="C181" s="10"/>
    </row>
    <row r="182" spans="2:3" ht="12.75">
      <c r="B182" s="10"/>
      <c r="C182" s="10"/>
    </row>
    <row r="183" spans="2:3" ht="12.75">
      <c r="B183" s="10"/>
      <c r="C183" s="10"/>
    </row>
    <row r="184" spans="2:3" ht="12.75">
      <c r="B184" s="10"/>
      <c r="C184" s="10"/>
    </row>
    <row r="185" spans="2:3" ht="12.75">
      <c r="B185" s="10"/>
      <c r="C185" s="10"/>
    </row>
    <row r="186" spans="2:3" ht="12.75">
      <c r="B186" s="10"/>
      <c r="C186" s="10"/>
    </row>
    <row r="187" spans="2:3" ht="12.75">
      <c r="B187" s="10"/>
      <c r="C187" s="10"/>
    </row>
    <row r="188" spans="2:3" ht="12.75">
      <c r="B188" s="10"/>
      <c r="C188" s="10"/>
    </row>
    <row r="189" spans="2:3" ht="12.75">
      <c r="B189" s="10"/>
      <c r="C189" s="10"/>
    </row>
    <row r="190" spans="2:3" ht="12.75">
      <c r="B190" s="10"/>
      <c r="C190" s="10"/>
    </row>
    <row r="191" spans="2:3" ht="12.75">
      <c r="B191" s="10"/>
      <c r="C191" s="10"/>
    </row>
    <row r="192" spans="2:3" ht="12.75">
      <c r="B192" s="10"/>
      <c r="C192" s="10"/>
    </row>
    <row r="193" spans="2:3" ht="12.75">
      <c r="B193" s="10"/>
      <c r="C193" s="10"/>
    </row>
    <row r="194" spans="2:3" ht="12.75">
      <c r="B194" s="10"/>
      <c r="C194" s="10"/>
    </row>
    <row r="195" spans="2:3" ht="12.75">
      <c r="B195" s="10"/>
      <c r="C195" s="10"/>
    </row>
    <row r="196" spans="2:3" ht="12.75">
      <c r="B196" s="10"/>
      <c r="C196" s="10"/>
    </row>
    <row r="197" spans="2:3" ht="12.75">
      <c r="B197" s="10"/>
      <c r="C197" s="10"/>
    </row>
    <row r="198" spans="2:3" ht="12.75">
      <c r="B198" s="10"/>
      <c r="C198" s="10"/>
    </row>
    <row r="199" spans="2:3" ht="12.75">
      <c r="B199" s="10"/>
      <c r="C199" s="10"/>
    </row>
    <row r="200" spans="2:3" ht="12.75">
      <c r="B200" s="10"/>
      <c r="C200" s="10"/>
    </row>
    <row r="201" spans="2:3" ht="12.75">
      <c r="B201" s="10"/>
      <c r="C201" s="10"/>
    </row>
    <row r="202" spans="2:3" ht="12.75">
      <c r="B202" s="10"/>
      <c r="C202" s="10"/>
    </row>
    <row r="203" spans="2:3" ht="12.75">
      <c r="B203" s="10"/>
      <c r="C203" s="10"/>
    </row>
    <row r="204" spans="2:3" ht="12.75">
      <c r="B204" s="10"/>
      <c r="C204" s="10"/>
    </row>
    <row r="205" spans="2:3" ht="12.75">
      <c r="B205" s="10"/>
      <c r="C205" s="10"/>
    </row>
    <row r="206" spans="2:3" ht="12.75">
      <c r="B206" s="10"/>
      <c r="C206" s="10"/>
    </row>
    <row r="207" spans="2:3" ht="12.75">
      <c r="B207" s="10"/>
      <c r="C207" s="10"/>
    </row>
    <row r="208" spans="2:3" ht="12.75">
      <c r="B208" s="10"/>
      <c r="C208" s="10"/>
    </row>
    <row r="209" spans="2:3" ht="12.75">
      <c r="B209" s="10"/>
      <c r="C209" s="10"/>
    </row>
    <row r="210" spans="2:3" ht="12.75">
      <c r="B210" s="10"/>
      <c r="C210" s="10"/>
    </row>
    <row r="211" spans="2:3" ht="12.75">
      <c r="B211" s="10"/>
      <c r="C211" s="10"/>
    </row>
    <row r="212" spans="2:3" ht="12.75">
      <c r="B212" s="10"/>
      <c r="C212" s="10"/>
    </row>
    <row r="213" spans="2:3" ht="12.75">
      <c r="B213" s="10"/>
      <c r="C213" s="10"/>
    </row>
    <row r="214" spans="2:3" ht="12.75">
      <c r="B214" s="10"/>
      <c r="C214" s="10"/>
    </row>
    <row r="215" spans="2:3" ht="12.75">
      <c r="B215" s="10"/>
      <c r="C215" s="10"/>
    </row>
    <row r="216" spans="2:3" ht="12.75">
      <c r="B216" s="10"/>
      <c r="C216" s="10"/>
    </row>
    <row r="217" spans="2:3" ht="12.75">
      <c r="B217" s="10"/>
      <c r="C217" s="10"/>
    </row>
    <row r="218" spans="2:3" ht="12.75">
      <c r="B218" s="10"/>
      <c r="C218" s="10"/>
    </row>
    <row r="219" spans="2:3" ht="12.75">
      <c r="B219" s="10"/>
      <c r="C219" s="10"/>
    </row>
    <row r="220" spans="2:3" ht="12.75">
      <c r="B220" s="10"/>
      <c r="C220" s="10"/>
    </row>
    <row r="221" spans="2:3" ht="12.75">
      <c r="B221" s="10"/>
      <c r="C221" s="10"/>
    </row>
    <row r="222" spans="2:3" ht="12.75">
      <c r="B222" s="10"/>
      <c r="C222" s="10"/>
    </row>
    <row r="223" spans="2:3" ht="12.75">
      <c r="B223" s="10"/>
      <c r="C223" s="10"/>
    </row>
    <row r="224" spans="2:3" ht="12.75">
      <c r="B224" s="10"/>
      <c r="C224" s="10"/>
    </row>
    <row r="225" spans="2:3" ht="12.75">
      <c r="B225" s="10"/>
      <c r="C225" s="10"/>
    </row>
    <row r="226" spans="2:3" ht="12.75">
      <c r="B226" s="10"/>
      <c r="C226" s="10"/>
    </row>
    <row r="227" spans="2:3" ht="12.75">
      <c r="B227" s="10"/>
      <c r="C227" s="10"/>
    </row>
    <row r="228" spans="2:3" ht="12.75">
      <c r="B228" s="10"/>
      <c r="C228" s="10"/>
    </row>
    <row r="229" spans="2:3" ht="12.75">
      <c r="B229" s="10"/>
      <c r="C229" s="10"/>
    </row>
    <row r="230" spans="2:3" ht="12.75">
      <c r="B230" s="10"/>
      <c r="C230" s="10"/>
    </row>
    <row r="231" spans="2:3" ht="12.75">
      <c r="B231" s="10"/>
      <c r="C231" s="10"/>
    </row>
    <row r="232" spans="2:3" ht="12.75">
      <c r="B232" s="10"/>
      <c r="C232" s="10"/>
    </row>
    <row r="233" spans="2:3" ht="12.75">
      <c r="B233" s="10"/>
      <c r="C233" s="10"/>
    </row>
    <row r="234" spans="2:3" ht="12.75">
      <c r="B234" s="10"/>
      <c r="C234" s="10"/>
    </row>
    <row r="235" spans="2:3" ht="12.75">
      <c r="B235" s="10"/>
      <c r="C235" s="10"/>
    </row>
    <row r="236" spans="2:3" ht="12.75">
      <c r="B236" s="10"/>
      <c r="C236" s="10"/>
    </row>
    <row r="237" spans="2:3" ht="12.75">
      <c r="B237" s="10"/>
      <c r="C237" s="10"/>
    </row>
    <row r="238" spans="2:3" ht="12.75">
      <c r="B238" s="10"/>
      <c r="C238" s="10"/>
    </row>
    <row r="239" spans="2:3" ht="12.75">
      <c r="B239" s="10"/>
      <c r="C239" s="10"/>
    </row>
    <row r="240" spans="2:3" ht="12.75">
      <c r="B240" s="10"/>
      <c r="C240" s="10"/>
    </row>
    <row r="241" spans="2:3" ht="12.75">
      <c r="B241" s="10"/>
      <c r="C241" s="10"/>
    </row>
    <row r="242" spans="2:3" ht="12.75">
      <c r="B242" s="10"/>
      <c r="C242" s="10"/>
    </row>
    <row r="243" spans="2:3" ht="12.75">
      <c r="B243" s="10"/>
      <c r="C243" s="10"/>
    </row>
    <row r="244" spans="2:3" ht="12.75">
      <c r="B244" s="10"/>
      <c r="C244" s="10"/>
    </row>
    <row r="245" spans="2:3" ht="12.75">
      <c r="B245" s="10"/>
      <c r="C245" s="10"/>
    </row>
    <row r="246" spans="2:3" ht="12.75">
      <c r="B246" s="10"/>
      <c r="C246" s="10"/>
    </row>
    <row r="247" spans="2:3" ht="12.75">
      <c r="B247" s="10"/>
      <c r="C247" s="10"/>
    </row>
    <row r="248" spans="2:3" ht="12.75">
      <c r="B248" s="10"/>
      <c r="C248" s="10"/>
    </row>
    <row r="249" spans="2:3" ht="12.75">
      <c r="B249" s="10"/>
      <c r="C249" s="10"/>
    </row>
    <row r="250" spans="2:3" ht="12.75">
      <c r="B250" s="10"/>
      <c r="C250" s="10"/>
    </row>
    <row r="251" spans="2:3" ht="12.75">
      <c r="B251" s="10"/>
      <c r="C251" s="10"/>
    </row>
    <row r="252" spans="2:3" ht="12.75">
      <c r="B252" s="10"/>
      <c r="C252" s="10"/>
    </row>
    <row r="253" spans="2:3" ht="12.75">
      <c r="B253" s="10"/>
      <c r="C253" s="10"/>
    </row>
    <row r="254" spans="2:3" ht="12.75">
      <c r="B254" s="10"/>
      <c r="C254" s="10"/>
    </row>
    <row r="255" spans="2:3" ht="12.75">
      <c r="B255" s="10"/>
      <c r="C255" s="10"/>
    </row>
    <row r="256" spans="2:3" ht="12.75">
      <c r="B256" s="10"/>
      <c r="C256" s="10"/>
    </row>
    <row r="257" spans="2:3" ht="12.75">
      <c r="B257" s="10"/>
      <c r="C257" s="10"/>
    </row>
    <row r="258" spans="2:3" ht="12.75">
      <c r="B258" s="10"/>
      <c r="C258" s="10"/>
    </row>
    <row r="259" spans="2:3" ht="12.75">
      <c r="B259" s="10"/>
      <c r="C259" s="10"/>
    </row>
    <row r="260" spans="2:3" ht="12.75">
      <c r="B260" s="10"/>
      <c r="C260" s="10"/>
    </row>
    <row r="261" spans="2:3" ht="12.75">
      <c r="B261" s="10"/>
      <c r="C261" s="10"/>
    </row>
    <row r="262" spans="2:3" ht="12.75">
      <c r="B262" s="10"/>
      <c r="C262" s="10"/>
    </row>
    <row r="263" spans="2:3" ht="12.75">
      <c r="B263" s="10"/>
      <c r="C263" s="10"/>
    </row>
    <row r="264" spans="2:3" ht="12.75">
      <c r="B264" s="10"/>
      <c r="C264" s="10"/>
    </row>
    <row r="265" spans="2:3" ht="12.75">
      <c r="B265" s="10"/>
      <c r="C265" s="10"/>
    </row>
    <row r="266" spans="2:3" ht="12.75">
      <c r="B266" s="10"/>
      <c r="C266" s="10"/>
    </row>
    <row r="267" spans="2:3" ht="12.75">
      <c r="B267" s="10"/>
      <c r="C267" s="10"/>
    </row>
    <row r="268" spans="2:3" ht="12.75">
      <c r="B268" s="10"/>
      <c r="C268" s="10"/>
    </row>
    <row r="269" spans="2:3" ht="12.75">
      <c r="B269" s="10"/>
      <c r="C269" s="10"/>
    </row>
    <row r="270" spans="2:3" ht="12.75">
      <c r="B270" s="10"/>
      <c r="C270" s="10"/>
    </row>
    <row r="271" spans="2:3" ht="12.75">
      <c r="B271" s="10"/>
      <c r="C271" s="10"/>
    </row>
    <row r="272" spans="2:3" ht="12.75">
      <c r="B272" s="10"/>
      <c r="C272" s="10"/>
    </row>
    <row r="273" spans="2:3" ht="12.75">
      <c r="B273" s="10"/>
      <c r="C273" s="10"/>
    </row>
    <row r="274" spans="2:3" ht="12.75">
      <c r="B274" s="10"/>
      <c r="C274" s="10"/>
    </row>
    <row r="275" spans="2:3" ht="12.75">
      <c r="B275" s="10"/>
      <c r="C275" s="10"/>
    </row>
    <row r="276" spans="2:3" ht="12.75">
      <c r="B276" s="10"/>
      <c r="C276" s="10"/>
    </row>
    <row r="277" spans="2:3" ht="12.75">
      <c r="B277" s="10"/>
      <c r="C277" s="10"/>
    </row>
    <row r="278" spans="2:3" ht="12.75">
      <c r="B278" s="10"/>
      <c r="C278" s="10"/>
    </row>
    <row r="279" spans="2:3" ht="12.75">
      <c r="B279" s="10"/>
      <c r="C279" s="10"/>
    </row>
    <row r="280" spans="2:3" ht="12.75">
      <c r="B280" s="10"/>
      <c r="C280" s="10"/>
    </row>
    <row r="281" spans="2:3" ht="12.75">
      <c r="B281" s="10"/>
      <c r="C281" s="10"/>
    </row>
    <row r="282" spans="2:3" ht="12.75">
      <c r="B282" s="10"/>
      <c r="C282" s="10"/>
    </row>
    <row r="283" spans="2:3" ht="12.75">
      <c r="B283" s="10"/>
      <c r="C283" s="10"/>
    </row>
    <row r="284" spans="2:3" ht="12.75">
      <c r="B284" s="10"/>
      <c r="C284" s="10"/>
    </row>
    <row r="285" spans="2:3" ht="12.75">
      <c r="B285" s="10"/>
      <c r="C285" s="10"/>
    </row>
    <row r="286" spans="2:3" ht="12.75">
      <c r="B286" s="10"/>
      <c r="C286" s="10"/>
    </row>
    <row r="287" spans="2:3" ht="12.75">
      <c r="B287" s="10"/>
      <c r="C287" s="10"/>
    </row>
    <row r="288" spans="2:3" ht="12.75">
      <c r="B288" s="10"/>
      <c r="C288" s="10"/>
    </row>
    <row r="289" spans="2:3" ht="12.75">
      <c r="B289" s="10"/>
      <c r="C289" s="10"/>
    </row>
    <row r="290" spans="2:3" ht="12.75">
      <c r="B290" s="10"/>
      <c r="C290" s="10"/>
    </row>
    <row r="291" spans="2:3" ht="12.75">
      <c r="B291" s="10"/>
      <c r="C291" s="10"/>
    </row>
    <row r="292" spans="2:3" ht="12.75">
      <c r="B292" s="10"/>
      <c r="C292" s="10"/>
    </row>
    <row r="293" spans="2:3" ht="12.75">
      <c r="B293" s="10"/>
      <c r="C293" s="10"/>
    </row>
    <row r="294" spans="2:3" ht="12.75">
      <c r="B294" s="10"/>
      <c r="C294" s="10"/>
    </row>
    <row r="295" spans="2:3" ht="12.75">
      <c r="B295" s="10"/>
      <c r="C295" s="10"/>
    </row>
    <row r="296" spans="2:3" ht="12.75">
      <c r="B296" s="10"/>
      <c r="C296" s="10"/>
    </row>
    <row r="297" spans="2:3" ht="12.75">
      <c r="B297" s="10"/>
      <c r="C297" s="10"/>
    </row>
    <row r="298" spans="2:3" ht="12.75">
      <c r="B298" s="10"/>
      <c r="C298" s="10"/>
    </row>
    <row r="299" spans="2:3" ht="12.75">
      <c r="B299" s="10"/>
      <c r="C299" s="10"/>
    </row>
    <row r="300" spans="2:3" ht="12.75">
      <c r="B300" s="10"/>
      <c r="C300" s="10"/>
    </row>
    <row r="301" spans="2:3" ht="12.75">
      <c r="B301" s="10"/>
      <c r="C301" s="10"/>
    </row>
    <row r="302" spans="2:3" ht="12.75">
      <c r="B302" s="10"/>
      <c r="C302" s="10"/>
    </row>
    <row r="303" spans="2:3" ht="12.75">
      <c r="B303" s="10"/>
      <c r="C303" s="10"/>
    </row>
    <row r="304" spans="2:3" ht="12.75">
      <c r="B304" s="10"/>
      <c r="C304" s="10"/>
    </row>
    <row r="305" spans="2:3" ht="12.75">
      <c r="B305" s="10"/>
      <c r="C305" s="10"/>
    </row>
    <row r="306" spans="2:3" ht="12.75">
      <c r="B306" s="10"/>
      <c r="C306" s="10"/>
    </row>
    <row r="307" spans="2:3" ht="12.75">
      <c r="B307" s="10"/>
      <c r="C307" s="10"/>
    </row>
    <row r="308" spans="2:3" ht="12.75">
      <c r="B308" s="10"/>
      <c r="C308" s="10"/>
    </row>
    <row r="309" spans="2:3" ht="12.75">
      <c r="B309" s="10"/>
      <c r="C309" s="10"/>
    </row>
    <row r="310" spans="2:3" ht="12.75">
      <c r="B310" s="10"/>
      <c r="C310" s="10"/>
    </row>
    <row r="311" spans="2:3" ht="12.75">
      <c r="B311" s="10"/>
      <c r="C311" s="10"/>
    </row>
    <row r="312" spans="2:3" ht="12.75">
      <c r="B312" s="10"/>
      <c r="C312" s="10"/>
    </row>
    <row r="313" spans="2:3" ht="12.75">
      <c r="B313" s="10"/>
      <c r="C313" s="10"/>
    </row>
    <row r="314" spans="2:3" ht="12.75">
      <c r="B314" s="10"/>
      <c r="C314" s="10"/>
    </row>
    <row r="315" spans="2:3" ht="12.75">
      <c r="B315" s="10"/>
      <c r="C315" s="10"/>
    </row>
    <row r="316" spans="2:3" ht="12.75">
      <c r="B316" s="10"/>
      <c r="C316" s="10"/>
    </row>
    <row r="317" spans="2:3" ht="12.75">
      <c r="B317" s="10"/>
      <c r="C317" s="10"/>
    </row>
    <row r="318" spans="2:3" ht="12.75">
      <c r="B318" s="10"/>
      <c r="C318" s="10"/>
    </row>
    <row r="319" spans="2:3" ht="12.75">
      <c r="B319" s="10"/>
      <c r="C319" s="10"/>
    </row>
    <row r="320" spans="2:3" ht="12.75">
      <c r="B320" s="10"/>
      <c r="C320" s="10"/>
    </row>
    <row r="321" spans="2:3" ht="12.75">
      <c r="B321" s="10"/>
      <c r="C321" s="10"/>
    </row>
    <row r="322" spans="2:3" ht="12.75">
      <c r="B322" s="10"/>
      <c r="C322" s="10"/>
    </row>
    <row r="323" spans="2:3" ht="12.75">
      <c r="B323" s="10"/>
      <c r="C323" s="10"/>
    </row>
    <row r="324" spans="2:3" ht="12.75">
      <c r="B324" s="10"/>
      <c r="C324" s="10"/>
    </row>
    <row r="325" spans="2:3" ht="12.75">
      <c r="B325" s="10"/>
      <c r="C325" s="10"/>
    </row>
    <row r="326" spans="2:3" ht="12.75">
      <c r="B326" s="10"/>
      <c r="C326" s="10"/>
    </row>
    <row r="327" spans="2:3" ht="12.75">
      <c r="B327" s="10"/>
      <c r="C327" s="10"/>
    </row>
    <row r="328" spans="2:3" ht="12.75">
      <c r="B328" s="10"/>
      <c r="C328" s="10"/>
    </row>
    <row r="329" spans="2:3" ht="12.75">
      <c r="B329" s="10"/>
      <c r="C329" s="10"/>
    </row>
    <row r="330" spans="2:3" ht="12.75">
      <c r="B330" s="10"/>
      <c r="C330" s="10"/>
    </row>
    <row r="331" spans="2:3" ht="12.75">
      <c r="B331" s="10"/>
      <c r="C331" s="10"/>
    </row>
    <row r="332" spans="2:3" ht="12.75">
      <c r="B332" s="10"/>
      <c r="C332" s="10"/>
    </row>
    <row r="333" spans="2:3" ht="12.75">
      <c r="B333" s="10"/>
      <c r="C333" s="10"/>
    </row>
    <row r="334" spans="2:3" ht="12.75">
      <c r="B334" s="10"/>
      <c r="C334" s="10"/>
    </row>
    <row r="335" spans="2:3" ht="12.75">
      <c r="B335" s="10"/>
      <c r="C335" s="10"/>
    </row>
    <row r="336" spans="2:3" ht="12.75">
      <c r="B336" s="10"/>
      <c r="C336" s="10"/>
    </row>
    <row r="337" spans="2:3" ht="12.75">
      <c r="B337" s="10"/>
      <c r="C337" s="10"/>
    </row>
    <row r="338" spans="2:3" ht="12.75">
      <c r="B338" s="10"/>
      <c r="C338" s="10"/>
    </row>
    <row r="339" spans="2:3" ht="12.75">
      <c r="B339" s="10"/>
      <c r="C339" s="10"/>
    </row>
    <row r="340" spans="2:3" ht="12.75">
      <c r="B340" s="10"/>
      <c r="C340" s="10"/>
    </row>
    <row r="341" spans="2:3" ht="12.75">
      <c r="B341" s="10"/>
      <c r="C341" s="10"/>
    </row>
    <row r="342" spans="2:3" ht="12.75">
      <c r="B342" s="10"/>
      <c r="C342" s="10"/>
    </row>
    <row r="343" spans="2:3" ht="12.75">
      <c r="B343" s="10"/>
      <c r="C343" s="10"/>
    </row>
    <row r="344" spans="2:3" ht="12.75">
      <c r="B344" s="10"/>
      <c r="C344" s="10"/>
    </row>
    <row r="345" spans="2:3" ht="12.75">
      <c r="B345" s="10"/>
      <c r="C345" s="10"/>
    </row>
    <row r="346" spans="2:3" ht="12.75">
      <c r="B346" s="10"/>
      <c r="C346" s="10"/>
    </row>
    <row r="347" spans="2:3" ht="12.75">
      <c r="B347" s="10"/>
      <c r="C347" s="10"/>
    </row>
    <row r="348" spans="2:3" ht="12.75">
      <c r="B348" s="10"/>
      <c r="C348" s="10"/>
    </row>
    <row r="349" spans="2:3" ht="12.75">
      <c r="B349" s="10"/>
      <c r="C349" s="10"/>
    </row>
    <row r="350" spans="2:3" ht="12.75">
      <c r="B350" s="10"/>
      <c r="C350" s="10"/>
    </row>
    <row r="351" spans="2:3" ht="12.75">
      <c r="B351" s="10"/>
      <c r="C351" s="10"/>
    </row>
    <row r="352" spans="2:3" ht="12.75">
      <c r="B352" s="10"/>
      <c r="C352" s="10"/>
    </row>
    <row r="353" spans="2:3" ht="12.75">
      <c r="B353" s="10"/>
      <c r="C353" s="10"/>
    </row>
    <row r="354" spans="2:3" ht="12.75">
      <c r="B354" s="10"/>
      <c r="C354" s="10"/>
    </row>
    <row r="355" spans="2:3" ht="12.75">
      <c r="B355" s="10"/>
      <c r="C355" s="10"/>
    </row>
    <row r="356" spans="2:3" ht="12.75">
      <c r="B356" s="10"/>
      <c r="C356" s="10"/>
    </row>
    <row r="357" spans="2:3" ht="12.75">
      <c r="B357" s="10"/>
      <c r="C357" s="10"/>
    </row>
    <row r="358" spans="2:3" ht="12.75">
      <c r="B358" s="10"/>
      <c r="C358" s="10"/>
    </row>
    <row r="359" spans="2:3" ht="12.75">
      <c r="B359" s="10"/>
      <c r="C359" s="10"/>
    </row>
    <row r="360" spans="2:3" ht="12.75">
      <c r="B360" s="10"/>
      <c r="C360" s="10"/>
    </row>
    <row r="361" spans="2:3" ht="12.75">
      <c r="B361" s="10"/>
      <c r="C361" s="10"/>
    </row>
    <row r="362" spans="2:3" ht="12.75">
      <c r="B362" s="10"/>
      <c r="C362" s="10"/>
    </row>
    <row r="363" spans="2:3" ht="12.75">
      <c r="B363" s="10"/>
      <c r="C363" s="10"/>
    </row>
    <row r="364" spans="2:3" ht="12.75">
      <c r="B364" s="10"/>
      <c r="C364" s="10"/>
    </row>
    <row r="365" spans="2:3" ht="12.75">
      <c r="B365" s="10"/>
      <c r="C365" s="10"/>
    </row>
    <row r="366" spans="2:3" ht="12.75">
      <c r="B366" s="10"/>
      <c r="C366" s="10"/>
    </row>
    <row r="367" spans="2:3" ht="12.75">
      <c r="B367" s="10"/>
      <c r="C367" s="10"/>
    </row>
    <row r="368" spans="2:3" ht="12.75">
      <c r="B368" s="10"/>
      <c r="C368" s="10"/>
    </row>
    <row r="369" spans="2:3" ht="12.75">
      <c r="B369" s="10"/>
      <c r="C369" s="10"/>
    </row>
    <row r="370" spans="2:3" ht="12.75">
      <c r="B370" s="10"/>
      <c r="C370" s="10"/>
    </row>
    <row r="371" spans="2:3" ht="12.75">
      <c r="B371" s="10"/>
      <c r="C371" s="10"/>
    </row>
    <row r="372" spans="2:3" ht="12.75">
      <c r="B372" s="10"/>
      <c r="C372" s="10"/>
    </row>
    <row r="373" spans="2:3" ht="12.75">
      <c r="B373" s="10"/>
      <c r="C373" s="10"/>
    </row>
    <row r="374" spans="2:3" ht="12.75">
      <c r="B374" s="10"/>
      <c r="C374" s="10"/>
    </row>
    <row r="375" spans="2:3" ht="12.75">
      <c r="B375" s="10"/>
      <c r="C375" s="10"/>
    </row>
    <row r="376" spans="2:3" ht="12.75">
      <c r="B376" s="10"/>
      <c r="C376" s="10"/>
    </row>
    <row r="377" spans="2:3" ht="12.75">
      <c r="B377" s="10"/>
      <c r="C377" s="10"/>
    </row>
    <row r="378" spans="2:3" ht="12.75">
      <c r="B378" s="10"/>
      <c r="C378" s="10"/>
    </row>
    <row r="379" spans="2:3" ht="12.75">
      <c r="B379" s="10"/>
      <c r="C379" s="10"/>
    </row>
    <row r="380" spans="2:3" ht="12.75">
      <c r="B380" s="10"/>
      <c r="C380" s="10"/>
    </row>
    <row r="381" spans="2:3" ht="12.75">
      <c r="B381" s="10"/>
      <c r="C381" s="10"/>
    </row>
    <row r="382" spans="2:3" ht="12.75">
      <c r="B382" s="10"/>
      <c r="C382" s="10"/>
    </row>
    <row r="383" spans="2:3" ht="12.75">
      <c r="B383" s="10"/>
      <c r="C383" s="10"/>
    </row>
    <row r="384" spans="2:3" ht="12.75">
      <c r="B384" s="10"/>
      <c r="C384" s="10"/>
    </row>
    <row r="385" spans="2:3" ht="12.75">
      <c r="B385" s="10"/>
      <c r="C385" s="10"/>
    </row>
    <row r="386" spans="2:3" ht="12.75">
      <c r="B386" s="10"/>
      <c r="C386" s="10"/>
    </row>
    <row r="387" spans="2:3" ht="12.75">
      <c r="B387" s="10"/>
      <c r="C387" s="10"/>
    </row>
    <row r="388" spans="2:3" ht="12.75">
      <c r="B388" s="10"/>
      <c r="C388" s="10"/>
    </row>
    <row r="389" spans="2:3" ht="12.75">
      <c r="B389" s="10"/>
      <c r="C389" s="10"/>
    </row>
    <row r="390" spans="2:3" ht="12.75">
      <c r="B390" s="10"/>
      <c r="C390" s="10"/>
    </row>
    <row r="391" spans="2:3" ht="12.75">
      <c r="B391" s="10"/>
      <c r="C391" s="10"/>
    </row>
    <row r="392" spans="2:3" ht="12.75">
      <c r="B392" s="10"/>
      <c r="C392" s="10"/>
    </row>
    <row r="393" spans="2:3" ht="12.75">
      <c r="B393" s="10"/>
      <c r="C393" s="10"/>
    </row>
    <row r="394" spans="2:3" ht="12.75">
      <c r="B394" s="10"/>
      <c r="C394" s="10"/>
    </row>
    <row r="395" spans="2:3" ht="12.75">
      <c r="B395" s="10"/>
      <c r="C395" s="10"/>
    </row>
    <row r="396" spans="2:3" ht="12.75">
      <c r="B396" s="10"/>
      <c r="C396" s="10"/>
    </row>
    <row r="397" spans="2:3" ht="12.75">
      <c r="B397" s="10"/>
      <c r="C397" s="10"/>
    </row>
    <row r="398" spans="2:3" ht="12.75">
      <c r="B398" s="10"/>
      <c r="C398" s="10"/>
    </row>
    <row r="399" spans="2:3" ht="12.75">
      <c r="B399" s="10"/>
      <c r="C399" s="10"/>
    </row>
    <row r="400" spans="2:3" ht="12.75">
      <c r="B400" s="10"/>
      <c r="C400" s="10"/>
    </row>
    <row r="401" spans="2:3" ht="12.75">
      <c r="B401" s="10"/>
      <c r="C401" s="10"/>
    </row>
    <row r="402" spans="2:3" ht="12.75">
      <c r="B402" s="10"/>
      <c r="C402" s="10"/>
    </row>
    <row r="403" spans="2:3" ht="12.75">
      <c r="B403" s="10"/>
      <c r="C403" s="10"/>
    </row>
    <row r="404" spans="2:3" ht="12.75">
      <c r="B404" s="10"/>
      <c r="C404" s="10"/>
    </row>
    <row r="405" spans="2:3" ht="12.75">
      <c r="B405" s="10"/>
      <c r="C405" s="10"/>
    </row>
    <row r="406" spans="2:3" ht="12.75">
      <c r="B406" s="10"/>
      <c r="C406" s="10"/>
    </row>
    <row r="407" spans="2:3" ht="12.75">
      <c r="B407" s="10"/>
      <c r="C407" s="10"/>
    </row>
    <row r="408" spans="2:3" ht="12.75">
      <c r="B408" s="10"/>
      <c r="C408" s="10"/>
    </row>
    <row r="409" spans="2:3" ht="12.75">
      <c r="B409" s="10"/>
      <c r="C409" s="10"/>
    </row>
    <row r="410" spans="2:3" ht="12.75">
      <c r="B410" s="10"/>
      <c r="C410" s="10"/>
    </row>
    <row r="411" spans="2:3" ht="12.75">
      <c r="B411" s="10"/>
      <c r="C411" s="10"/>
    </row>
    <row r="412" spans="2:3" ht="12.75">
      <c r="B412" s="10"/>
      <c r="C412" s="10"/>
    </row>
    <row r="413" spans="2:3" ht="12.75">
      <c r="B413" s="10"/>
      <c r="C413" s="10"/>
    </row>
    <row r="414" spans="2:3" ht="12.75">
      <c r="B414" s="10"/>
      <c r="C414" s="10"/>
    </row>
    <row r="415" spans="2:3" ht="12.75">
      <c r="B415" s="10"/>
      <c r="C415" s="10"/>
    </row>
    <row r="416" spans="2:3" ht="12.75">
      <c r="B416" s="10"/>
      <c r="C416" s="10"/>
    </row>
    <row r="417" spans="2:3" ht="12.75">
      <c r="B417" s="10"/>
      <c r="C417" s="10"/>
    </row>
    <row r="418" spans="2:3" ht="12.75">
      <c r="B418" s="10"/>
      <c r="C418" s="10"/>
    </row>
    <row r="419" spans="2:3" ht="12.75">
      <c r="B419" s="10"/>
      <c r="C419" s="10"/>
    </row>
    <row r="420" spans="2:3" ht="12.75">
      <c r="B420" s="10"/>
      <c r="C420" s="10"/>
    </row>
    <row r="421" spans="2:3" ht="12.75">
      <c r="B421" s="10"/>
      <c r="C421" s="10"/>
    </row>
    <row r="422" spans="2:3" ht="12.75">
      <c r="B422" s="10"/>
      <c r="C422" s="10"/>
    </row>
    <row r="423" spans="2:3" ht="12.75">
      <c r="B423" s="10"/>
      <c r="C423" s="10"/>
    </row>
    <row r="424" spans="2:3" ht="12.75">
      <c r="B424" s="10"/>
      <c r="C424" s="10"/>
    </row>
    <row r="425" spans="2:3" ht="12.75">
      <c r="B425" s="10"/>
      <c r="C425" s="10"/>
    </row>
    <row r="426" spans="2:3" ht="12.75">
      <c r="B426" s="10"/>
      <c r="C426" s="10"/>
    </row>
    <row r="427" spans="2:3" ht="12.75">
      <c r="B427" s="10"/>
      <c r="C427" s="10"/>
    </row>
    <row r="428" spans="2:3" ht="12.75">
      <c r="B428" s="10"/>
      <c r="C428" s="10"/>
    </row>
    <row r="429" spans="2:3" ht="12.75">
      <c r="B429" s="10"/>
      <c r="C429" s="10"/>
    </row>
    <row r="430" spans="2:3" ht="12.75">
      <c r="B430" s="10"/>
      <c r="C430" s="10"/>
    </row>
    <row r="431" spans="2:3" ht="12.75">
      <c r="B431" s="10"/>
      <c r="C431" s="10"/>
    </row>
    <row r="432" spans="2:3" ht="12.75">
      <c r="B432" s="10"/>
      <c r="C432" s="10"/>
    </row>
    <row r="433" spans="2:3" ht="12.75">
      <c r="B433" s="10"/>
      <c r="C433" s="10"/>
    </row>
    <row r="434" spans="2:3" ht="12.75">
      <c r="B434" s="10"/>
      <c r="C434" s="10"/>
    </row>
    <row r="435" spans="2:3" ht="12.75">
      <c r="B435" s="10"/>
      <c r="C435" s="10"/>
    </row>
    <row r="436" spans="2:3" ht="12.75">
      <c r="B436" s="10"/>
      <c r="C436" s="10"/>
    </row>
    <row r="437" spans="2:3" ht="12.75">
      <c r="B437" s="10"/>
      <c r="C437" s="10"/>
    </row>
    <row r="438" spans="2:3" ht="12.75">
      <c r="B438" s="10"/>
      <c r="C438" s="10"/>
    </row>
    <row r="439" spans="2:3" ht="12.75">
      <c r="B439" s="10"/>
      <c r="C439" s="10"/>
    </row>
    <row r="440" spans="2:3" ht="12.75">
      <c r="B440" s="10"/>
      <c r="C440" s="10"/>
    </row>
    <row r="441" spans="2:3" ht="12.75">
      <c r="B441" s="10"/>
      <c r="C441" s="10"/>
    </row>
    <row r="442" spans="2:3" ht="12.75">
      <c r="B442" s="10"/>
      <c r="C442" s="10"/>
    </row>
    <row r="443" spans="2:3" ht="12.75">
      <c r="B443" s="10"/>
      <c r="C443" s="10"/>
    </row>
    <row r="444" spans="2:3" ht="12.75">
      <c r="B444" s="10"/>
      <c r="C444" s="10"/>
    </row>
    <row r="445" spans="2:3" ht="12.75">
      <c r="B445" s="10"/>
      <c r="C445" s="10"/>
    </row>
    <row r="446" spans="2:3" ht="12.75">
      <c r="B446" s="10"/>
      <c r="C446" s="10"/>
    </row>
    <row r="447" spans="2:3" ht="12.75">
      <c r="B447" s="10"/>
      <c r="C447" s="10"/>
    </row>
    <row r="448" spans="2:3" ht="12.75">
      <c r="B448" s="10"/>
      <c r="C448" s="10"/>
    </row>
    <row r="449" spans="2:3" ht="12.75">
      <c r="B449" s="10"/>
      <c r="C449" s="10"/>
    </row>
    <row r="450" spans="2:3" ht="12.75">
      <c r="B450" s="10"/>
      <c r="C450" s="10"/>
    </row>
    <row r="451" spans="2:3" ht="12.75">
      <c r="B451" s="10"/>
      <c r="C451" s="10"/>
    </row>
    <row r="452" spans="2:3" ht="12.75">
      <c r="B452" s="10"/>
      <c r="C452" s="10"/>
    </row>
    <row r="453" spans="2:3" ht="12.75">
      <c r="B453" s="10"/>
      <c r="C453" s="10"/>
    </row>
    <row r="454" spans="2:3" ht="12.75">
      <c r="B454" s="10"/>
      <c r="C454" s="10"/>
    </row>
    <row r="455" spans="2:3" ht="12.75">
      <c r="B455" s="10"/>
      <c r="C455" s="10"/>
    </row>
    <row r="456" spans="2:3" ht="12.75">
      <c r="B456" s="10"/>
      <c r="C456" s="10"/>
    </row>
    <row r="457" spans="2:3" ht="12.75">
      <c r="B457" s="10"/>
      <c r="C457" s="10"/>
    </row>
    <row r="458" spans="2:3" ht="12.75">
      <c r="B458" s="10"/>
      <c r="C458" s="10"/>
    </row>
    <row r="459" spans="2:3" ht="12.75">
      <c r="B459" s="10"/>
      <c r="C459" s="10"/>
    </row>
    <row r="460" spans="2:3" ht="12.75">
      <c r="B460" s="10"/>
      <c r="C460" s="10"/>
    </row>
    <row r="461" spans="2:3" ht="12.75">
      <c r="B461" s="10"/>
      <c r="C461" s="10"/>
    </row>
    <row r="462" spans="2:3" ht="12.75">
      <c r="B462" s="10"/>
      <c r="C462" s="10"/>
    </row>
    <row r="463" spans="2:3" ht="12.75">
      <c r="B463" s="10"/>
      <c r="C463" s="10"/>
    </row>
    <row r="464" spans="2:3" ht="12.75">
      <c r="B464" s="10"/>
      <c r="C464" s="10"/>
    </row>
    <row r="465" spans="2:3" ht="12.75">
      <c r="B465" s="10"/>
      <c r="C465" s="10"/>
    </row>
    <row r="466" spans="2:3" ht="12.75">
      <c r="B466" s="10"/>
      <c r="C466" s="10"/>
    </row>
    <row r="467" spans="2:3" ht="12.75">
      <c r="B467" s="10"/>
      <c r="C467" s="10"/>
    </row>
    <row r="468" spans="2:3" ht="12.75">
      <c r="B468" s="10"/>
      <c r="C468" s="10"/>
    </row>
    <row r="469" spans="2:3" ht="12.75">
      <c r="B469" s="10"/>
      <c r="C469" s="10"/>
    </row>
    <row r="470" spans="2:3" ht="12.75">
      <c r="B470" s="10"/>
      <c r="C470" s="10"/>
    </row>
    <row r="471" spans="2:3" ht="12.75">
      <c r="B471" s="10"/>
      <c r="C471" s="10"/>
    </row>
    <row r="472" spans="2:3" ht="12.75">
      <c r="B472" s="10"/>
      <c r="C472" s="10"/>
    </row>
    <row r="473" spans="2:3" ht="12.75">
      <c r="B473" s="10"/>
      <c r="C473" s="10"/>
    </row>
    <row r="474" spans="2:3" ht="12.75">
      <c r="B474" s="10"/>
      <c r="C474" s="10"/>
    </row>
    <row r="475" spans="2:3" ht="12.75">
      <c r="B475" s="10"/>
      <c r="C475" s="10"/>
    </row>
    <row r="476" spans="2:3" ht="12.75">
      <c r="B476" s="10"/>
      <c r="C476" s="10"/>
    </row>
    <row r="477" spans="2:3" ht="12.75">
      <c r="B477" s="10"/>
      <c r="C477" s="10"/>
    </row>
    <row r="478" spans="2:3" ht="12.75">
      <c r="B478" s="10"/>
      <c r="C478" s="10"/>
    </row>
    <row r="479" spans="2:3" ht="12.75">
      <c r="B479" s="10"/>
      <c r="C479" s="10"/>
    </row>
    <row r="480" spans="2:3" ht="12.75">
      <c r="B480" s="10"/>
      <c r="C480" s="10"/>
    </row>
    <row r="481" spans="2:3" ht="12.75">
      <c r="B481" s="10"/>
      <c r="C481" s="10"/>
    </row>
    <row r="482" spans="2:3" ht="12.75">
      <c r="B482" s="10"/>
      <c r="C482" s="10"/>
    </row>
    <row r="483" spans="2:3" ht="12.75">
      <c r="B483" s="10"/>
      <c r="C483" s="10"/>
    </row>
    <row r="484" spans="2:3" ht="12.75">
      <c r="B484" s="10"/>
      <c r="C484" s="10"/>
    </row>
    <row r="485" spans="2:3" ht="12.75">
      <c r="B485" s="10"/>
      <c r="C485" s="10"/>
    </row>
    <row r="486" spans="2:3" ht="12.75">
      <c r="B486" s="10"/>
      <c r="C486" s="10"/>
    </row>
    <row r="487" spans="2:3" ht="12.75">
      <c r="B487" s="10"/>
      <c r="C487" s="10"/>
    </row>
    <row r="488" spans="2:3" ht="12.75">
      <c r="B488" s="10"/>
      <c r="C488" s="10"/>
    </row>
    <row r="489" spans="2:3" ht="12.75">
      <c r="B489" s="10"/>
      <c r="C489" s="10"/>
    </row>
    <row r="490" spans="2:3" ht="12.75">
      <c r="B490" s="10"/>
      <c r="C490" s="10"/>
    </row>
    <row r="491" spans="2:3" ht="12.75">
      <c r="B491" s="10"/>
      <c r="C491" s="10"/>
    </row>
    <row r="492" spans="2:3" ht="12.75">
      <c r="B492" s="10"/>
      <c r="C492" s="10"/>
    </row>
    <row r="493" spans="2:3" ht="12.75">
      <c r="B493" s="10"/>
      <c r="C493" s="10"/>
    </row>
    <row r="494" spans="2:3" ht="12.75">
      <c r="B494" s="10"/>
      <c r="C494" s="10"/>
    </row>
    <row r="495" spans="2:3" ht="12.75">
      <c r="B495" s="10"/>
      <c r="C495" s="10"/>
    </row>
    <row r="496" spans="2:3" ht="12.75">
      <c r="B496" s="10"/>
      <c r="C496" s="10"/>
    </row>
    <row r="497" spans="2:3" ht="12.75">
      <c r="B497" s="10"/>
      <c r="C497" s="10"/>
    </row>
    <row r="498" spans="2:3" ht="12.75">
      <c r="B498" s="10"/>
      <c r="C498" s="10"/>
    </row>
    <row r="499" spans="2:3" ht="12.75">
      <c r="B499" s="10"/>
      <c r="C499" s="10"/>
    </row>
    <row r="500" spans="2:3" ht="12.75">
      <c r="B500" s="10"/>
      <c r="C500" s="10"/>
    </row>
    <row r="501" spans="2:3" ht="12.75">
      <c r="B501" s="10"/>
      <c r="C501" s="10"/>
    </row>
    <row r="502" spans="2:3" ht="12.75">
      <c r="B502" s="10"/>
      <c r="C502" s="10"/>
    </row>
    <row r="503" spans="2:3" ht="12.75">
      <c r="B503" s="10"/>
      <c r="C503" s="10"/>
    </row>
    <row r="504" spans="2:3" ht="12.75">
      <c r="B504" s="10"/>
      <c r="C504" s="10"/>
    </row>
    <row r="505" spans="2:3" ht="12.75">
      <c r="B505" s="10"/>
      <c r="C505" s="10"/>
    </row>
    <row r="506" spans="2:3" ht="12.75">
      <c r="B506" s="10"/>
      <c r="C506" s="10"/>
    </row>
    <row r="507" spans="2:3" ht="12.75">
      <c r="B507" s="10"/>
      <c r="C507" s="10"/>
    </row>
    <row r="508" spans="2:3" ht="12.75">
      <c r="B508" s="10"/>
      <c r="C508" s="10"/>
    </row>
    <row r="509" spans="2:3" ht="12.75">
      <c r="B509" s="10"/>
      <c r="C509" s="10"/>
    </row>
    <row r="510" spans="2:3" ht="12.75">
      <c r="B510" s="10"/>
      <c r="C510" s="10"/>
    </row>
    <row r="511" spans="2:3" ht="12.75">
      <c r="B511" s="10"/>
      <c r="C511" s="10"/>
    </row>
    <row r="512" spans="2:3" ht="12.75">
      <c r="B512" s="10"/>
      <c r="C512" s="10"/>
    </row>
    <row r="513" spans="2:3" ht="12.75">
      <c r="B513" s="10"/>
      <c r="C513" s="10"/>
    </row>
    <row r="514" spans="2:3" ht="12.75">
      <c r="B514" s="10"/>
      <c r="C514" s="10"/>
    </row>
    <row r="515" spans="2:3" ht="12.75">
      <c r="B515" s="10"/>
      <c r="C515" s="10"/>
    </row>
    <row r="516" spans="2:3" ht="12.75">
      <c r="B516" s="10"/>
      <c r="C516" s="10"/>
    </row>
    <row r="517" spans="2:3" ht="12.75">
      <c r="B517" s="10"/>
      <c r="C517" s="10"/>
    </row>
    <row r="518" spans="2:3" ht="12.75">
      <c r="B518" s="10"/>
      <c r="C518" s="10"/>
    </row>
    <row r="519" spans="2:3" ht="12.75">
      <c r="B519" s="10"/>
      <c r="C519" s="10"/>
    </row>
    <row r="520" spans="2:3" ht="12.75">
      <c r="B520" s="10"/>
      <c r="C520" s="10"/>
    </row>
    <row r="521" spans="2:3" ht="12.75">
      <c r="B521" s="10"/>
      <c r="C521" s="10"/>
    </row>
    <row r="522" spans="2:3" ht="12.75">
      <c r="B522" s="10"/>
      <c r="C522" s="10"/>
    </row>
    <row r="523" spans="2:3" ht="12.75">
      <c r="B523" s="10"/>
      <c r="C523" s="10"/>
    </row>
    <row r="524" spans="2:3" ht="12.75">
      <c r="B524" s="10"/>
      <c r="C524" s="10"/>
    </row>
    <row r="525" spans="2:3" ht="12.75">
      <c r="B525" s="10"/>
      <c r="C525" s="10"/>
    </row>
    <row r="526" spans="2:3" ht="12.75">
      <c r="B526" s="10"/>
      <c r="C526" s="10"/>
    </row>
    <row r="527" spans="2:3" ht="12.75">
      <c r="B527" s="10"/>
      <c r="C527" s="10"/>
    </row>
    <row r="528" spans="2:3" ht="12.75">
      <c r="B528" s="10"/>
      <c r="C528" s="10"/>
    </row>
    <row r="529" spans="2:3" ht="12.75">
      <c r="B529" s="10"/>
      <c r="C529" s="10"/>
    </row>
    <row r="530" spans="2:3" ht="12.75">
      <c r="B530" s="10"/>
      <c r="C530" s="10"/>
    </row>
    <row r="531" spans="2:3" ht="12.75">
      <c r="B531" s="10"/>
      <c r="C531" s="10"/>
    </row>
    <row r="532" spans="2:3" ht="12.75">
      <c r="B532" s="10"/>
      <c r="C532" s="10"/>
    </row>
    <row r="533" spans="2:3" ht="12.75">
      <c r="B533" s="10"/>
      <c r="C533" s="10"/>
    </row>
    <row r="534" spans="2:3" ht="12.75">
      <c r="B534" s="10"/>
      <c r="C534" s="10"/>
    </row>
    <row r="535" spans="2:3" ht="12.75">
      <c r="B535" s="10"/>
      <c r="C535" s="10"/>
    </row>
    <row r="536" spans="2:3" ht="12.75">
      <c r="B536" s="10"/>
      <c r="C536" s="10"/>
    </row>
    <row r="537" spans="2:3" ht="12.75">
      <c r="B537" s="10"/>
      <c r="C537" s="10"/>
    </row>
    <row r="538" spans="2:3" ht="12.75">
      <c r="B538" s="10"/>
      <c r="C538" s="10"/>
    </row>
    <row r="539" spans="2:3" ht="12.75">
      <c r="B539" s="10"/>
      <c r="C539" s="10"/>
    </row>
    <row r="540" spans="2:3" ht="12.75">
      <c r="B540" s="10"/>
      <c r="C540" s="10"/>
    </row>
    <row r="541" spans="2:3" ht="12.75">
      <c r="B541" s="10"/>
      <c r="C541" s="10"/>
    </row>
    <row r="542" spans="2:3" ht="12.75">
      <c r="B542" s="10"/>
      <c r="C542" s="10"/>
    </row>
    <row r="543" spans="2:3" ht="12.75">
      <c r="B543" s="10"/>
      <c r="C543" s="10"/>
    </row>
    <row r="544" spans="2:3" ht="12.75">
      <c r="B544" s="10"/>
      <c r="C544" s="10"/>
    </row>
    <row r="545" spans="2:3" ht="12.75">
      <c r="B545" s="10"/>
      <c r="C545" s="10"/>
    </row>
    <row r="546" spans="2:3" ht="12.75">
      <c r="B546" s="10"/>
      <c r="C546" s="10"/>
    </row>
    <row r="547" spans="2:3" ht="12.75">
      <c r="B547" s="10"/>
      <c r="C547" s="10"/>
    </row>
    <row r="548" spans="2:3" ht="12.75">
      <c r="B548" s="10"/>
      <c r="C548" s="10"/>
    </row>
    <row r="549" spans="2:3" ht="12.75">
      <c r="B549" s="10"/>
      <c r="C549" s="10"/>
    </row>
    <row r="550" spans="2:3" ht="12.75">
      <c r="B550" s="10"/>
      <c r="C550" s="10"/>
    </row>
    <row r="551" spans="2:3" ht="12.75">
      <c r="B551" s="10"/>
      <c r="C551" s="10"/>
    </row>
    <row r="552" spans="2:3" ht="12.75">
      <c r="B552" s="10"/>
      <c r="C552" s="10"/>
    </row>
    <row r="553" spans="2:3" ht="12.75">
      <c r="B553" s="10"/>
      <c r="C553" s="10"/>
    </row>
    <row r="554" spans="2:3" ht="12.75">
      <c r="B554" s="10"/>
      <c r="C554" s="10"/>
    </row>
    <row r="555" spans="2:3" ht="12.75">
      <c r="B555" s="10"/>
      <c r="C555" s="10"/>
    </row>
    <row r="556" spans="2:3" ht="12.75">
      <c r="B556" s="10"/>
      <c r="C556" s="10"/>
    </row>
    <row r="557" spans="2:3" ht="12.75">
      <c r="B557" s="10"/>
      <c r="C557" s="10"/>
    </row>
    <row r="558" spans="2:3" ht="12.75">
      <c r="B558" s="10"/>
      <c r="C558" s="10"/>
    </row>
    <row r="559" spans="2:3" ht="12.75">
      <c r="B559" s="10"/>
      <c r="C559" s="10"/>
    </row>
    <row r="560" spans="2:3" ht="12.75">
      <c r="B560" s="10"/>
      <c r="C560" s="10"/>
    </row>
    <row r="561" spans="2:3" ht="12.75">
      <c r="B561" s="10"/>
      <c r="C561" s="10"/>
    </row>
    <row r="562" spans="2:3" ht="12.75">
      <c r="B562" s="10"/>
      <c r="C562" s="10"/>
    </row>
    <row r="563" spans="2:3" ht="12.75">
      <c r="B563" s="10"/>
      <c r="C563" s="10"/>
    </row>
    <row r="564" spans="2:3" ht="12.75">
      <c r="B564" s="10"/>
      <c r="C564" s="10"/>
    </row>
    <row r="565" spans="2:3" ht="12.75">
      <c r="B565" s="10"/>
      <c r="C565" s="10"/>
    </row>
    <row r="566" spans="2:3" ht="12.75">
      <c r="B566" s="10"/>
      <c r="C566" s="10"/>
    </row>
    <row r="567" spans="2:3" ht="12.75">
      <c r="B567" s="10"/>
      <c r="C567" s="10"/>
    </row>
    <row r="568" spans="2:3" ht="12.75">
      <c r="B568" s="10"/>
      <c r="C568" s="10"/>
    </row>
    <row r="569" spans="2:3" ht="12.75">
      <c r="B569" s="10"/>
      <c r="C569" s="10"/>
    </row>
    <row r="570" spans="2:3" ht="12.75">
      <c r="B570" s="10"/>
      <c r="C570" s="10"/>
    </row>
    <row r="571" spans="2:3" ht="12.75">
      <c r="B571" s="10"/>
      <c r="C571" s="10"/>
    </row>
    <row r="572" spans="2:3" ht="12.75">
      <c r="B572" s="10"/>
      <c r="C572" s="10"/>
    </row>
    <row r="573" spans="2:3" ht="12.75">
      <c r="B573" s="10"/>
      <c r="C573" s="10"/>
    </row>
    <row r="574" spans="2:3" ht="12.75">
      <c r="B574" s="10"/>
      <c r="C574" s="10"/>
    </row>
    <row r="575" spans="2:3" ht="12.75">
      <c r="B575" s="10"/>
      <c r="C575" s="10"/>
    </row>
    <row r="576" spans="2:3" ht="12.75">
      <c r="B576" s="10"/>
      <c r="C576" s="10"/>
    </row>
    <row r="577" spans="2:3" ht="12.75">
      <c r="B577" s="10"/>
      <c r="C577" s="10"/>
    </row>
    <row r="578" spans="2:3" ht="12.75">
      <c r="B578" s="10"/>
      <c r="C578" s="10"/>
    </row>
    <row r="579" spans="2:3" ht="12.75">
      <c r="B579" s="10"/>
      <c r="C579" s="10"/>
    </row>
    <row r="580" spans="2:3" ht="12.75">
      <c r="B580" s="10"/>
      <c r="C580" s="10"/>
    </row>
    <row r="581" spans="2:3" ht="12.75">
      <c r="B581" s="10"/>
      <c r="C581" s="10"/>
    </row>
    <row r="582" spans="2:3" ht="12.75">
      <c r="B582" s="10"/>
      <c r="C582" s="10"/>
    </row>
    <row r="583" spans="2:3" ht="12.75">
      <c r="B583" s="10"/>
      <c r="C583" s="10"/>
    </row>
    <row r="584" spans="2:3" ht="12.75">
      <c r="B584" s="10"/>
      <c r="C584" s="10"/>
    </row>
    <row r="585" spans="2:3" ht="12.75">
      <c r="B585" s="10"/>
      <c r="C585" s="10"/>
    </row>
    <row r="586" spans="2:3" ht="12.75">
      <c r="B586" s="10"/>
      <c r="C586" s="10"/>
    </row>
    <row r="587" spans="2:3" ht="12.75">
      <c r="B587" s="10"/>
      <c r="C587" s="10"/>
    </row>
    <row r="588" spans="2:3" ht="12.75">
      <c r="B588" s="10"/>
      <c r="C588" s="10"/>
    </row>
    <row r="589" spans="2:3" ht="12.75">
      <c r="B589" s="10"/>
      <c r="C589" s="10"/>
    </row>
    <row r="590" spans="2:3" ht="12.75">
      <c r="B590" s="10"/>
      <c r="C590" s="10"/>
    </row>
    <row r="591" spans="2:3" ht="12.75">
      <c r="B591" s="10"/>
      <c r="C591" s="10"/>
    </row>
    <row r="592" spans="2:3" ht="12.75">
      <c r="B592" s="10"/>
      <c r="C592" s="10"/>
    </row>
    <row r="593" spans="2:3" ht="12.75">
      <c r="B593" s="10"/>
      <c r="C593" s="10"/>
    </row>
    <row r="594" spans="2:3" ht="12.75">
      <c r="B594" s="10"/>
      <c r="C594" s="10"/>
    </row>
    <row r="595" spans="2:3" ht="12.75">
      <c r="B595" s="10"/>
      <c r="C595" s="10"/>
    </row>
    <row r="596" spans="2:3" ht="12.75">
      <c r="B596" s="10"/>
      <c r="C596" s="10"/>
    </row>
    <row r="597" spans="2:3" ht="12.75">
      <c r="B597" s="10"/>
      <c r="C597" s="10"/>
    </row>
    <row r="598" spans="2:3" ht="12.75">
      <c r="B598" s="10"/>
      <c r="C598" s="10"/>
    </row>
    <row r="599" spans="2:3" ht="12.75">
      <c r="B599" s="10"/>
      <c r="C599" s="10"/>
    </row>
    <row r="600" spans="2:3" ht="12.75">
      <c r="B600" s="10"/>
      <c r="C600" s="10"/>
    </row>
    <row r="601" spans="2:3" ht="12.75">
      <c r="B601" s="10"/>
      <c r="C601" s="10"/>
    </row>
    <row r="602" spans="2:3" ht="12.75">
      <c r="B602" s="10"/>
      <c r="C602" s="10"/>
    </row>
    <row r="603" spans="2:3" ht="12.75">
      <c r="B603" s="10"/>
      <c r="C603" s="10"/>
    </row>
    <row r="604" spans="2:3" ht="12.75">
      <c r="B604" s="10"/>
      <c r="C604" s="10"/>
    </row>
    <row r="605" spans="2:3" ht="12.75">
      <c r="B605" s="10"/>
      <c r="C605" s="10"/>
    </row>
    <row r="606" spans="2:3" ht="12.75">
      <c r="B606" s="10"/>
      <c r="C606" s="10"/>
    </row>
    <row r="607" spans="2:3" ht="12.75">
      <c r="B607" s="10"/>
      <c r="C607" s="10"/>
    </row>
    <row r="608" spans="2:3" ht="12.75">
      <c r="B608" s="10"/>
      <c r="C608" s="10"/>
    </row>
    <row r="609" spans="2:3" ht="12.75">
      <c r="B609" s="10"/>
      <c r="C609" s="10"/>
    </row>
    <row r="610" spans="2:3" ht="12.75">
      <c r="B610" s="10"/>
      <c r="C610" s="10"/>
    </row>
    <row r="611" spans="2:3" ht="12.75">
      <c r="B611" s="10"/>
      <c r="C611" s="10"/>
    </row>
    <row r="612" spans="2:3" ht="12.75">
      <c r="B612" s="10"/>
      <c r="C612" s="10"/>
    </row>
    <row r="613" spans="2:3" ht="12.75">
      <c r="B613" s="10"/>
      <c r="C613" s="10"/>
    </row>
    <row r="614" spans="2:3" ht="12.75">
      <c r="B614" s="10"/>
      <c r="C614" s="10"/>
    </row>
    <row r="615" spans="2:3" ht="12.75">
      <c r="B615" s="10"/>
      <c r="C615" s="10"/>
    </row>
    <row r="616" spans="2:3" ht="12.75">
      <c r="B616" s="10"/>
      <c r="C616" s="10"/>
    </row>
    <row r="617" spans="2:3" ht="12.75">
      <c r="B617" s="10"/>
      <c r="C617" s="10"/>
    </row>
    <row r="618" spans="2:3" ht="12.75">
      <c r="B618" s="10"/>
      <c r="C618" s="10"/>
    </row>
    <row r="619" spans="2:3" ht="12.75">
      <c r="B619" s="10"/>
      <c r="C619" s="10"/>
    </row>
    <row r="620" spans="2:3" ht="12.75">
      <c r="B620" s="10"/>
      <c r="C620" s="10"/>
    </row>
    <row r="621" spans="2:3" ht="12.75">
      <c r="B621" s="10"/>
      <c r="C621" s="10"/>
    </row>
    <row r="622" spans="2:3" ht="12.75">
      <c r="B622" s="10"/>
      <c r="C622" s="10"/>
    </row>
    <row r="623" spans="2:3" ht="12.75">
      <c r="B623" s="10"/>
      <c r="C623" s="10"/>
    </row>
    <row r="624" spans="2:3" ht="12.75">
      <c r="B624" s="10"/>
      <c r="C624" s="10"/>
    </row>
    <row r="625" spans="2:3" ht="12.75">
      <c r="B625" s="10"/>
      <c r="C625" s="10"/>
    </row>
    <row r="626" spans="2:3" ht="12.75">
      <c r="B626" s="10"/>
      <c r="C626" s="10"/>
    </row>
    <row r="627" spans="2:3" ht="12.75">
      <c r="B627" s="10"/>
      <c r="C627" s="10"/>
    </row>
    <row r="628" spans="2:3" ht="12.75">
      <c r="B628" s="10"/>
      <c r="C628" s="10"/>
    </row>
    <row r="629" spans="2:3" ht="12.75">
      <c r="B629" s="10"/>
      <c r="C629" s="10"/>
    </row>
    <row r="630" spans="2:3" ht="12.75">
      <c r="B630" s="10"/>
      <c r="C630" s="10"/>
    </row>
    <row r="631" spans="2:3" ht="12.75">
      <c r="B631" s="10"/>
      <c r="C631" s="10"/>
    </row>
    <row r="632" spans="2:3" ht="12.75">
      <c r="B632" s="10"/>
      <c r="C632" s="10"/>
    </row>
    <row r="633" spans="2:3" ht="12.75">
      <c r="B633" s="10"/>
      <c r="C633" s="10"/>
    </row>
    <row r="634" spans="2:3" ht="12.75">
      <c r="B634" s="10"/>
      <c r="C634" s="10"/>
    </row>
    <row r="635" spans="2:3" ht="12.75">
      <c r="B635" s="10"/>
      <c r="C635" s="10"/>
    </row>
    <row r="636" spans="2:3" ht="12.75">
      <c r="B636" s="10"/>
      <c r="C636" s="10"/>
    </row>
    <row r="637" spans="2:3" ht="12.75">
      <c r="B637" s="10"/>
      <c r="C637" s="10"/>
    </row>
    <row r="638" spans="2:3" ht="12.75">
      <c r="B638" s="10"/>
      <c r="C638" s="10"/>
    </row>
    <row r="639" spans="2:3" ht="12.75">
      <c r="B639" s="10"/>
      <c r="C639" s="10"/>
    </row>
    <row r="640" spans="2:3" ht="12.75">
      <c r="B640" s="10"/>
      <c r="C640" s="10"/>
    </row>
    <row r="641" spans="2:3" ht="12.75">
      <c r="B641" s="10"/>
      <c r="C641" s="10"/>
    </row>
    <row r="642" spans="2:3" ht="12.75">
      <c r="B642" s="10"/>
      <c r="C642" s="10"/>
    </row>
    <row r="643" spans="2:3" ht="12.75">
      <c r="B643" s="10"/>
      <c r="C643" s="10"/>
    </row>
    <row r="644" spans="2:3" ht="12.75">
      <c r="B644" s="10"/>
      <c r="C644" s="10"/>
    </row>
    <row r="645" spans="2:3" ht="12.75">
      <c r="B645" s="10"/>
      <c r="C645" s="10"/>
    </row>
    <row r="646" spans="2:3" ht="12.75">
      <c r="B646" s="10"/>
      <c r="C646" s="10"/>
    </row>
    <row r="647" spans="2:3" ht="12.75">
      <c r="B647" s="10"/>
      <c r="C647" s="10"/>
    </row>
    <row r="648" spans="2:3" ht="12.75">
      <c r="B648" s="10"/>
      <c r="C648" s="10"/>
    </row>
    <row r="649" spans="2:3" ht="12.75">
      <c r="B649" s="10"/>
      <c r="C649" s="10"/>
    </row>
    <row r="650" spans="2:3" ht="12.75">
      <c r="B650" s="10"/>
      <c r="C650" s="10"/>
    </row>
    <row r="651" spans="2:3" ht="12.75">
      <c r="B651" s="10"/>
      <c r="C651" s="10"/>
    </row>
    <row r="652" spans="2:3" ht="12.75">
      <c r="B652" s="10"/>
      <c r="C652" s="10"/>
    </row>
    <row r="653" spans="2:3" ht="12.75">
      <c r="B653" s="10"/>
      <c r="C653" s="10"/>
    </row>
    <row r="654" spans="2:3" ht="12.75">
      <c r="B654" s="10"/>
      <c r="C654" s="10"/>
    </row>
    <row r="655" spans="2:3" ht="12.75">
      <c r="B655" s="10"/>
      <c r="C655" s="10"/>
    </row>
    <row r="656" spans="2:3" ht="12.75">
      <c r="B656" s="10"/>
      <c r="C656" s="10"/>
    </row>
    <row r="657" spans="2:3" ht="12.75">
      <c r="B657" s="10"/>
      <c r="C657" s="10"/>
    </row>
    <row r="658" spans="2:3" ht="12.75">
      <c r="B658" s="10"/>
      <c r="C658" s="10"/>
    </row>
    <row r="659" spans="2:3" ht="12.75">
      <c r="B659" s="10"/>
      <c r="C659" s="10"/>
    </row>
    <row r="660" spans="2:3" ht="12.75">
      <c r="B660" s="10"/>
      <c r="C660" s="10"/>
    </row>
    <row r="661" spans="2:3" ht="12.75">
      <c r="B661" s="10"/>
      <c r="C661" s="10"/>
    </row>
    <row r="662" spans="2:3" ht="12.75">
      <c r="B662" s="10"/>
      <c r="C662" s="10"/>
    </row>
    <row r="663" spans="2:3" ht="12.75">
      <c r="B663" s="10"/>
      <c r="C663" s="10"/>
    </row>
    <row r="664" spans="2:3" ht="12.75">
      <c r="B664" s="10"/>
      <c r="C664" s="10"/>
    </row>
    <row r="665" spans="2:3" ht="12.75">
      <c r="B665" s="10"/>
      <c r="C665" s="10"/>
    </row>
    <row r="666" spans="2:3" ht="12.75">
      <c r="B666" s="10"/>
      <c r="C666" s="10"/>
    </row>
    <row r="667" spans="2:3" ht="12.75">
      <c r="B667" s="10"/>
      <c r="C667" s="10"/>
    </row>
    <row r="668" spans="2:3" ht="12.75">
      <c r="B668" s="10"/>
      <c r="C668" s="10"/>
    </row>
    <row r="669" spans="2:3" ht="12.75">
      <c r="B669" s="10"/>
      <c r="C669" s="10"/>
    </row>
    <row r="670" spans="2:3" ht="12.75">
      <c r="B670" s="10"/>
      <c r="C670" s="10"/>
    </row>
    <row r="671" spans="2:3" ht="12.75">
      <c r="B671" s="10"/>
      <c r="C671" s="10"/>
    </row>
    <row r="672" spans="2:3" ht="12.75">
      <c r="B672" s="10"/>
      <c r="C672" s="10"/>
    </row>
    <row r="673" spans="2:3" ht="12.75">
      <c r="B673" s="10"/>
      <c r="C673" s="10"/>
    </row>
    <row r="674" spans="2:3" ht="12.75">
      <c r="B674" s="10"/>
      <c r="C674" s="10"/>
    </row>
    <row r="675" spans="2:3" ht="12.75">
      <c r="B675" s="10"/>
      <c r="C675" s="10"/>
    </row>
    <row r="676" spans="2:3" ht="12.75">
      <c r="B676" s="10"/>
      <c r="C676" s="10"/>
    </row>
    <row r="677" spans="2:3" ht="12.75">
      <c r="B677" s="10"/>
      <c r="C677" s="10"/>
    </row>
    <row r="678" spans="2:3" ht="12.75">
      <c r="B678" s="10"/>
      <c r="C678" s="10"/>
    </row>
    <row r="679" spans="2:3" ht="12.75">
      <c r="B679" s="10"/>
      <c r="C679" s="10"/>
    </row>
    <row r="680" spans="2:3" ht="12.75">
      <c r="B680" s="10"/>
      <c r="C680" s="10"/>
    </row>
    <row r="681" spans="2:3" ht="12.75">
      <c r="B681" s="10"/>
      <c r="C681" s="10"/>
    </row>
    <row r="682" spans="2:3" ht="12.75">
      <c r="B682" s="10"/>
      <c r="C682" s="10"/>
    </row>
    <row r="683" spans="2:3" ht="12.75">
      <c r="B683" s="10"/>
      <c r="C683" s="10"/>
    </row>
    <row r="684" spans="2:3" ht="12.75">
      <c r="B684" s="10"/>
      <c r="C684" s="10"/>
    </row>
    <row r="685" spans="2:3" ht="12.75">
      <c r="B685" s="10"/>
      <c r="C685" s="10"/>
    </row>
    <row r="686" spans="2:3" ht="12.75">
      <c r="B686" s="10"/>
      <c r="C686" s="10"/>
    </row>
    <row r="687" spans="2:3" ht="12.75">
      <c r="B687" s="10"/>
      <c r="C687" s="10"/>
    </row>
    <row r="688" spans="2:3" ht="12.75">
      <c r="B688" s="10"/>
      <c r="C688" s="10"/>
    </row>
    <row r="689" spans="2:3" ht="12.75">
      <c r="B689" s="10"/>
      <c r="C689" s="10"/>
    </row>
    <row r="690" spans="2:3" ht="12.75">
      <c r="B690" s="10"/>
      <c r="C690" s="10"/>
    </row>
    <row r="691" spans="2:3" ht="12.75">
      <c r="B691" s="10"/>
      <c r="C691" s="10"/>
    </row>
    <row r="692" spans="2:3" ht="12.75">
      <c r="B692" s="10"/>
      <c r="C692" s="10"/>
    </row>
    <row r="693" spans="2:3" ht="12.75">
      <c r="B693" s="10"/>
      <c r="C693" s="10"/>
    </row>
    <row r="694" spans="2:3" ht="12.75">
      <c r="B694" s="10"/>
      <c r="C694" s="10"/>
    </row>
    <row r="695" spans="2:3" ht="12.75">
      <c r="B695" s="10"/>
      <c r="C695" s="10"/>
    </row>
    <row r="696" spans="2:3" ht="12.75">
      <c r="B696" s="10"/>
      <c r="C696" s="10"/>
    </row>
    <row r="697" spans="2:3" ht="12.75">
      <c r="B697" s="10"/>
      <c r="C697" s="10"/>
    </row>
    <row r="698" spans="2:3" ht="12.75">
      <c r="B698" s="10"/>
      <c r="C698" s="10"/>
    </row>
    <row r="699" spans="2:3" ht="12.75">
      <c r="B699" s="10"/>
      <c r="C699" s="10"/>
    </row>
    <row r="700" spans="2:3" ht="12.75">
      <c r="B700" s="10"/>
      <c r="C700" s="10"/>
    </row>
    <row r="701" spans="2:3" ht="12.75">
      <c r="B701" s="10"/>
      <c r="C701" s="10"/>
    </row>
    <row r="702" spans="2:3" ht="12.75">
      <c r="B702" s="10"/>
      <c r="C702" s="10"/>
    </row>
    <row r="703" spans="2:3" ht="12.75">
      <c r="B703" s="10"/>
      <c r="C703" s="10"/>
    </row>
    <row r="704" spans="2:3" ht="12.75">
      <c r="B704" s="10"/>
      <c r="C704" s="10"/>
    </row>
    <row r="705" spans="2:3" ht="12.75">
      <c r="B705" s="10"/>
      <c r="C705" s="10"/>
    </row>
    <row r="706" spans="2:3" ht="12.75">
      <c r="B706" s="10"/>
      <c r="C706" s="10"/>
    </row>
    <row r="707" spans="2:3" ht="12.75">
      <c r="B707" s="10"/>
      <c r="C707" s="10"/>
    </row>
    <row r="708" spans="2:3" ht="12.75">
      <c r="B708" s="10"/>
      <c r="C708" s="10"/>
    </row>
    <row r="709" spans="2:3" ht="12.75">
      <c r="B709" s="10"/>
      <c r="C709" s="10"/>
    </row>
    <row r="710" spans="2:3" ht="12.75">
      <c r="B710" s="10"/>
      <c r="C710" s="10"/>
    </row>
    <row r="711" spans="2:3" ht="12.75">
      <c r="B711" s="10"/>
      <c r="C711" s="10"/>
    </row>
    <row r="712" spans="2:3" ht="12.75">
      <c r="B712" s="10"/>
      <c r="C712" s="10"/>
    </row>
    <row r="713" spans="2:3" ht="12.75">
      <c r="B713" s="10"/>
      <c r="C713" s="10"/>
    </row>
    <row r="714" spans="2:3" ht="12.75">
      <c r="B714" s="10"/>
      <c r="C714" s="10"/>
    </row>
    <row r="715" spans="2:3" ht="12.75">
      <c r="B715" s="10"/>
      <c r="C715" s="10"/>
    </row>
    <row r="716" spans="2:3" ht="12.75">
      <c r="B716" s="10"/>
      <c r="C716" s="10"/>
    </row>
    <row r="717" spans="2:3" ht="12.75">
      <c r="B717" s="10"/>
      <c r="C717" s="10"/>
    </row>
    <row r="718" spans="2:3" ht="12.75">
      <c r="B718" s="10"/>
      <c r="C718" s="10"/>
    </row>
    <row r="719" spans="2:3" ht="12.75">
      <c r="B719" s="10"/>
      <c r="C719" s="10"/>
    </row>
    <row r="720" spans="2:3" ht="12.75">
      <c r="B720" s="10"/>
      <c r="C720" s="10"/>
    </row>
    <row r="721" spans="2:3" ht="12.75">
      <c r="B721" s="10"/>
      <c r="C721" s="10"/>
    </row>
    <row r="722" spans="2:3" ht="12.75">
      <c r="B722" s="10"/>
      <c r="C722" s="10"/>
    </row>
    <row r="723" spans="2:3" ht="12.75">
      <c r="B723" s="10"/>
      <c r="C723" s="10"/>
    </row>
    <row r="724" spans="2:3" ht="12.75">
      <c r="B724" s="10"/>
      <c r="C724" s="10"/>
    </row>
    <row r="725" spans="2:3" ht="12.75">
      <c r="B725" s="10"/>
      <c r="C725" s="10"/>
    </row>
    <row r="726" spans="2:3" ht="12.75">
      <c r="B726" s="10"/>
      <c r="C726" s="10"/>
    </row>
    <row r="727" spans="2:3" ht="12.75">
      <c r="B727" s="10"/>
      <c r="C727" s="10"/>
    </row>
    <row r="728" spans="2:3" ht="12.75">
      <c r="B728" s="10"/>
      <c r="C728" s="10"/>
    </row>
    <row r="729" spans="2:3" ht="12.75">
      <c r="B729" s="10"/>
      <c r="C729" s="10"/>
    </row>
    <row r="730" spans="2:3" ht="12.75">
      <c r="B730" s="10"/>
      <c r="C730" s="10"/>
    </row>
    <row r="731" spans="2:3" ht="12.75">
      <c r="B731" s="10"/>
      <c r="C731" s="10"/>
    </row>
    <row r="732" spans="2:3" ht="12.75">
      <c r="B732" s="10"/>
      <c r="C732" s="10"/>
    </row>
    <row r="733" spans="2:3" ht="12.75">
      <c r="B733" s="10"/>
      <c r="C733" s="10"/>
    </row>
    <row r="734" spans="2:3" ht="12.75">
      <c r="B734" s="10"/>
      <c r="C734" s="10"/>
    </row>
    <row r="735" spans="2:3" ht="12.75">
      <c r="B735" s="10"/>
      <c r="C735" s="10"/>
    </row>
    <row r="736" spans="2:3" ht="12.75">
      <c r="B736" s="10"/>
      <c r="C736" s="10"/>
    </row>
    <row r="737" spans="2:3" ht="12.75">
      <c r="B737" s="10"/>
      <c r="C737" s="10"/>
    </row>
    <row r="738" spans="2:3" ht="12.75">
      <c r="B738" s="10"/>
      <c r="C738" s="10"/>
    </row>
    <row r="739" spans="2:3" ht="12.75">
      <c r="B739" s="10"/>
      <c r="C739" s="10"/>
    </row>
    <row r="740" spans="2:3" ht="12.75">
      <c r="B740" s="10"/>
      <c r="C740" s="10"/>
    </row>
    <row r="741" spans="2:3" ht="12.75">
      <c r="B741" s="10"/>
      <c r="C741" s="10"/>
    </row>
    <row r="742" spans="2:3" ht="12.75">
      <c r="B742" s="10"/>
      <c r="C742" s="10"/>
    </row>
    <row r="743" spans="2:3" ht="12.75">
      <c r="B743" s="10"/>
      <c r="C743" s="10"/>
    </row>
    <row r="744" spans="2:3" ht="12.75">
      <c r="B744" s="10"/>
      <c r="C744" s="10"/>
    </row>
    <row r="745" spans="2:3" ht="12.75">
      <c r="B745" s="10"/>
      <c r="C745" s="10"/>
    </row>
    <row r="746" spans="2:3" ht="12.75">
      <c r="B746" s="10"/>
      <c r="C746" s="10"/>
    </row>
    <row r="747" spans="2:3" ht="12.75">
      <c r="B747" s="10"/>
      <c r="C747" s="10"/>
    </row>
    <row r="748" spans="2:3" ht="12.75">
      <c r="B748" s="10"/>
      <c r="C748" s="10"/>
    </row>
    <row r="749" spans="2:3" ht="12.75">
      <c r="B749" s="10"/>
      <c r="C749" s="10"/>
    </row>
    <row r="750" spans="2:3" ht="12.75">
      <c r="B750" s="10"/>
      <c r="C750" s="10"/>
    </row>
    <row r="751" spans="2:3" ht="12.75">
      <c r="B751" s="10"/>
      <c r="C751" s="10"/>
    </row>
    <row r="752" spans="2:3" ht="12.75">
      <c r="B752" s="10"/>
      <c r="C752" s="10"/>
    </row>
    <row r="753" spans="2:3" ht="12.75">
      <c r="B753" s="10"/>
      <c r="C753" s="10"/>
    </row>
    <row r="754" spans="2:3" ht="12.75">
      <c r="B754" s="10"/>
      <c r="C754" s="10"/>
    </row>
    <row r="755" spans="2:3" ht="12.75">
      <c r="B755" s="10"/>
      <c r="C755" s="10"/>
    </row>
    <row r="756" spans="2:3" ht="12.75">
      <c r="B756" s="10"/>
      <c r="C756" s="10"/>
    </row>
    <row r="757" spans="2:3" ht="12.75">
      <c r="B757" s="10"/>
      <c r="C757" s="10"/>
    </row>
    <row r="758" spans="2:3" ht="12.75">
      <c r="B758" s="10"/>
      <c r="C758" s="10"/>
    </row>
    <row r="759" spans="2:3" ht="12.75">
      <c r="B759" s="10"/>
      <c r="C759" s="10"/>
    </row>
    <row r="760" spans="2:3" ht="12.75">
      <c r="B760" s="10"/>
      <c r="C760" s="10"/>
    </row>
    <row r="761" spans="2:3" ht="12.75">
      <c r="B761" s="10"/>
      <c r="C761" s="10"/>
    </row>
    <row r="762" spans="2:3" ht="12.75">
      <c r="B762" s="10"/>
      <c r="C762" s="10"/>
    </row>
    <row r="763" spans="2:3" ht="12.75">
      <c r="B763" s="10"/>
      <c r="C763" s="10"/>
    </row>
    <row r="764" spans="2:3" ht="12.75">
      <c r="B764" s="10"/>
      <c r="C764" s="10"/>
    </row>
    <row r="765" spans="2:3" ht="12.75">
      <c r="B765" s="10"/>
      <c r="C765" s="10"/>
    </row>
    <row r="766" spans="2:3" ht="12.75">
      <c r="B766" s="10"/>
      <c r="C766" s="10"/>
    </row>
    <row r="767" spans="2:3" ht="12.75">
      <c r="B767" s="10"/>
      <c r="C767" s="10"/>
    </row>
    <row r="768" spans="2:3" ht="12.75">
      <c r="B768" s="10"/>
      <c r="C768" s="10"/>
    </row>
    <row r="769" spans="2:3" ht="12.75">
      <c r="B769" s="10"/>
      <c r="C769" s="10"/>
    </row>
    <row r="770" spans="2:3" ht="12.75">
      <c r="B770" s="10"/>
      <c r="C770" s="10"/>
    </row>
    <row r="771" spans="2:3" ht="12.75">
      <c r="B771" s="10"/>
      <c r="C771" s="10"/>
    </row>
    <row r="772" spans="2:3" ht="12.75">
      <c r="B772" s="10"/>
      <c r="C772" s="10"/>
    </row>
    <row r="773" spans="2:3" ht="12.75">
      <c r="B773" s="10"/>
      <c r="C773" s="10"/>
    </row>
    <row r="774" spans="2:3" ht="12.75">
      <c r="B774" s="10"/>
      <c r="C774" s="10"/>
    </row>
    <row r="775" spans="2:3" ht="12.75">
      <c r="B775" s="10"/>
      <c r="C775" s="10"/>
    </row>
    <row r="776" spans="2:3" ht="12.75">
      <c r="B776" s="10"/>
      <c r="C776" s="10"/>
    </row>
    <row r="777" spans="2:3" ht="12.75">
      <c r="B777" s="10"/>
      <c r="C777" s="10"/>
    </row>
    <row r="778" spans="2:3" ht="12.75">
      <c r="B778" s="10"/>
      <c r="C778" s="10"/>
    </row>
    <row r="779" spans="2:3" ht="12.75">
      <c r="B779" s="10"/>
      <c r="C779" s="10"/>
    </row>
    <row r="780" spans="2:3" ht="12.75">
      <c r="B780" s="10"/>
      <c r="C780" s="10"/>
    </row>
    <row r="781" spans="2:3" ht="12.75">
      <c r="B781" s="10"/>
      <c r="C781" s="10"/>
    </row>
    <row r="782" spans="2:3" ht="12.75">
      <c r="B782" s="10"/>
      <c r="C782" s="10"/>
    </row>
    <row r="783" spans="2:3" ht="12.75">
      <c r="B783" s="10"/>
      <c r="C783" s="10"/>
    </row>
    <row r="784" spans="2:3" ht="12.75">
      <c r="B784" s="10"/>
      <c r="C784" s="10"/>
    </row>
    <row r="785" spans="2:3" ht="12.75">
      <c r="B785" s="10"/>
      <c r="C785" s="10"/>
    </row>
    <row r="786" spans="2:3" ht="12.75">
      <c r="B786" s="10"/>
      <c r="C786" s="10"/>
    </row>
    <row r="787" spans="2:3" ht="12.75">
      <c r="B787" s="10"/>
      <c r="C787" s="10"/>
    </row>
    <row r="788" spans="2:3" ht="12.75">
      <c r="B788" s="10"/>
      <c r="C788" s="10"/>
    </row>
    <row r="789" spans="2:3" ht="12.75">
      <c r="B789" s="10"/>
      <c r="C789" s="10"/>
    </row>
    <row r="790" spans="2:3" ht="12.75">
      <c r="B790" s="10"/>
      <c r="C790" s="10"/>
    </row>
    <row r="791" spans="2:3" ht="12.75">
      <c r="B791" s="10"/>
      <c r="C791" s="10"/>
    </row>
    <row r="792" spans="2:3" ht="12.75">
      <c r="B792" s="10"/>
      <c r="C792" s="10"/>
    </row>
    <row r="793" spans="2:3" ht="12.75">
      <c r="B793" s="10"/>
      <c r="C793" s="10"/>
    </row>
    <row r="794" spans="2:3" ht="12.75">
      <c r="B794" s="10"/>
      <c r="C794" s="10"/>
    </row>
    <row r="795" spans="2:3" ht="12.75">
      <c r="B795" s="10"/>
      <c r="C795" s="10"/>
    </row>
    <row r="796" spans="2:3" ht="12.75">
      <c r="B796" s="10"/>
      <c r="C796" s="10"/>
    </row>
    <row r="797" spans="2:3" ht="12.75">
      <c r="B797" s="10"/>
      <c r="C797" s="10"/>
    </row>
    <row r="798" spans="2:3" ht="12.75">
      <c r="B798" s="10"/>
      <c r="C798" s="10"/>
    </row>
    <row r="799" spans="2:3" ht="12.75">
      <c r="B799" s="10"/>
      <c r="C799" s="10"/>
    </row>
    <row r="800" spans="2:3" ht="12.75">
      <c r="B800" s="10"/>
      <c r="C800" s="10"/>
    </row>
    <row r="801" spans="2:3" ht="12.75">
      <c r="B801" s="10"/>
      <c r="C801" s="10"/>
    </row>
    <row r="802" spans="2:3" ht="12.75">
      <c r="B802" s="10"/>
      <c r="C802" s="10"/>
    </row>
    <row r="803" spans="2:3" ht="12.75">
      <c r="B803" s="10"/>
      <c r="C803" s="10"/>
    </row>
    <row r="804" spans="2:3" ht="12.75">
      <c r="B804" s="10"/>
      <c r="C804" s="10"/>
    </row>
    <row r="805" spans="2:3" ht="12.75">
      <c r="B805" s="10"/>
      <c r="C805" s="10"/>
    </row>
    <row r="806" spans="2:3" ht="12.75">
      <c r="B806" s="10"/>
      <c r="C806" s="10"/>
    </row>
    <row r="807" spans="2:3" ht="12.75">
      <c r="B807" s="10"/>
      <c r="C807" s="10"/>
    </row>
    <row r="808" spans="2:3" ht="12.75">
      <c r="B808" s="10"/>
      <c r="C808" s="10"/>
    </row>
    <row r="809" spans="2:3" ht="12.75">
      <c r="B809" s="10"/>
      <c r="C809" s="10"/>
    </row>
    <row r="810" spans="2:3" ht="12.75">
      <c r="B810" s="10"/>
      <c r="C810" s="10"/>
    </row>
    <row r="811" spans="2:3" ht="12.75">
      <c r="B811" s="10"/>
      <c r="C811" s="10"/>
    </row>
    <row r="812" spans="2:3" ht="12.75">
      <c r="B812" s="10"/>
      <c r="C812" s="10"/>
    </row>
    <row r="813" spans="2:3" ht="12.75">
      <c r="B813" s="10"/>
      <c r="C813" s="10"/>
    </row>
    <row r="814" spans="2:3" ht="12.75">
      <c r="B814" s="10"/>
      <c r="C814" s="10"/>
    </row>
    <row r="815" spans="2:3" ht="12.75">
      <c r="B815" s="10"/>
      <c r="C815" s="10"/>
    </row>
    <row r="816" spans="2:3" ht="12.75">
      <c r="B816" s="10"/>
      <c r="C816" s="10"/>
    </row>
    <row r="817" spans="2:3" ht="12.75">
      <c r="B817" s="10"/>
      <c r="C817" s="10"/>
    </row>
    <row r="818" spans="2:3" ht="12.75">
      <c r="B818" s="10"/>
      <c r="C818" s="10"/>
    </row>
    <row r="819" spans="2:3" ht="12.75">
      <c r="B819" s="10"/>
      <c r="C819" s="10"/>
    </row>
    <row r="820" spans="2:3" ht="12.75">
      <c r="B820" s="10"/>
      <c r="C820" s="10"/>
    </row>
    <row r="821" spans="2:3" ht="12.75">
      <c r="B821" s="10"/>
      <c r="C821" s="10"/>
    </row>
    <row r="822" spans="2:3" ht="12.75">
      <c r="B822" s="10"/>
      <c r="C822" s="10"/>
    </row>
    <row r="823" spans="2:3" ht="12.75">
      <c r="B823" s="10"/>
      <c r="C823" s="10"/>
    </row>
    <row r="824" spans="2:3" ht="12.75">
      <c r="B824" s="10"/>
      <c r="C824" s="10"/>
    </row>
    <row r="825" spans="2:3" ht="12.75">
      <c r="B825" s="10"/>
      <c r="C825" s="10"/>
    </row>
    <row r="826" spans="2:3" ht="12.75">
      <c r="B826" s="10"/>
      <c r="C826" s="10"/>
    </row>
    <row r="827" spans="2:3" ht="12.75">
      <c r="B827" s="10"/>
      <c r="C827" s="10"/>
    </row>
    <row r="828" spans="2:3" ht="12.75">
      <c r="B828" s="10"/>
      <c r="C828" s="10"/>
    </row>
    <row r="829" spans="2:3" ht="12.75">
      <c r="B829" s="10"/>
      <c r="C829" s="10"/>
    </row>
    <row r="830" spans="2:3" ht="12.75">
      <c r="B830" s="10"/>
      <c r="C830" s="10"/>
    </row>
    <row r="831" spans="2:3" ht="12.75">
      <c r="B831" s="10"/>
      <c r="C831" s="10"/>
    </row>
    <row r="832" spans="2:3" ht="12.75">
      <c r="B832" s="10"/>
      <c r="C832" s="10"/>
    </row>
    <row r="833" spans="2:3" ht="12.75">
      <c r="B833" s="10"/>
      <c r="C833" s="10"/>
    </row>
    <row r="834" spans="2:3" ht="12.75">
      <c r="B834" s="10"/>
      <c r="C834" s="10"/>
    </row>
    <row r="835" spans="2:3" ht="12.75">
      <c r="B835" s="10"/>
      <c r="C835" s="10"/>
    </row>
    <row r="836" spans="2:3" ht="12.75">
      <c r="B836" s="10"/>
      <c r="C836" s="10"/>
    </row>
    <row r="837" spans="2:3" ht="12.75">
      <c r="B837" s="10"/>
      <c r="C837" s="10"/>
    </row>
    <row r="838" spans="2:3" ht="12.75">
      <c r="B838" s="10"/>
      <c r="C838" s="10"/>
    </row>
    <row r="839" spans="2:3" ht="12.75">
      <c r="B839" s="10"/>
      <c r="C839" s="10"/>
    </row>
    <row r="840" spans="2:3" ht="12.75">
      <c r="B840" s="10"/>
      <c r="C840" s="10"/>
    </row>
    <row r="841" spans="2:3" ht="12.75">
      <c r="B841" s="10"/>
      <c r="C841" s="10"/>
    </row>
    <row r="842" spans="2:3" ht="12.75">
      <c r="B842" s="10"/>
      <c r="C842" s="10"/>
    </row>
    <row r="843" spans="2:3" ht="12.75">
      <c r="B843" s="10"/>
      <c r="C843" s="10"/>
    </row>
    <row r="844" spans="2:3" ht="12.75">
      <c r="B844" s="10"/>
      <c r="C844" s="10"/>
    </row>
    <row r="845" spans="2:3" ht="12.75">
      <c r="B845" s="10"/>
      <c r="C845" s="10"/>
    </row>
    <row r="846" spans="2:3" ht="12.75">
      <c r="B846" s="10"/>
      <c r="C846" s="10"/>
    </row>
    <row r="847" spans="2:3" ht="12.75">
      <c r="B847" s="10"/>
      <c r="C847" s="10"/>
    </row>
    <row r="848" spans="2:3" ht="12.75">
      <c r="B848" s="10"/>
      <c r="C848" s="10"/>
    </row>
    <row r="849" spans="2:3" ht="12.75">
      <c r="B849" s="10"/>
      <c r="C849" s="10"/>
    </row>
    <row r="850" spans="2:3" ht="12.75">
      <c r="B850" s="10"/>
      <c r="C850" s="10"/>
    </row>
    <row r="851" spans="2:3" ht="12.75">
      <c r="B851" s="10"/>
      <c r="C851" s="10"/>
    </row>
    <row r="852" spans="2:3" ht="12.75">
      <c r="B852" s="10"/>
      <c r="C852" s="10"/>
    </row>
    <row r="853" spans="2:3" ht="12.75">
      <c r="B853" s="10"/>
      <c r="C853" s="10"/>
    </row>
    <row r="854" spans="2:3" ht="12.75">
      <c r="B854" s="10"/>
      <c r="C854" s="10"/>
    </row>
    <row r="855" spans="2:3" ht="12.75">
      <c r="B855" s="10"/>
      <c r="C855" s="10"/>
    </row>
    <row r="856" spans="2:3" ht="12.75">
      <c r="B856" s="10"/>
      <c r="C856" s="10"/>
    </row>
    <row r="857" spans="2:3" ht="12.75">
      <c r="B857" s="10"/>
      <c r="C857" s="10"/>
    </row>
    <row r="858" spans="2:3" ht="12.75">
      <c r="B858" s="10"/>
      <c r="C858" s="10"/>
    </row>
    <row r="859" spans="2:3" ht="12.75">
      <c r="B859" s="10"/>
      <c r="C859" s="10"/>
    </row>
    <row r="860" spans="2:3" ht="12.75">
      <c r="B860" s="10"/>
      <c r="C860" s="10"/>
    </row>
    <row r="861" spans="2:3" ht="12.75">
      <c r="B861" s="10"/>
      <c r="C861" s="10"/>
    </row>
    <row r="862" spans="2:3" ht="12.75">
      <c r="B862" s="10"/>
      <c r="C862" s="10"/>
    </row>
    <row r="863" spans="2:3" ht="12.75">
      <c r="B863" s="10"/>
      <c r="C863" s="10"/>
    </row>
    <row r="864" spans="2:3" ht="12.75">
      <c r="B864" s="10"/>
      <c r="C864" s="10"/>
    </row>
    <row r="865" spans="2:3" ht="12.75">
      <c r="B865" s="10"/>
      <c r="C865" s="10"/>
    </row>
    <row r="866" spans="2:3" ht="12.75">
      <c r="B866" s="10"/>
      <c r="C866" s="10"/>
    </row>
    <row r="867" spans="2:3" ht="12.75">
      <c r="B867" s="10"/>
      <c r="C867" s="10"/>
    </row>
    <row r="868" spans="2:3" ht="12.75">
      <c r="B868" s="10"/>
      <c r="C868" s="10"/>
    </row>
    <row r="869" spans="2:3" ht="12.75">
      <c r="B869" s="10"/>
      <c r="C869" s="10"/>
    </row>
    <row r="870" spans="2:3" ht="12.75">
      <c r="B870" s="10"/>
      <c r="C870" s="10"/>
    </row>
    <row r="871" spans="2:3" ht="12.75">
      <c r="B871" s="10"/>
      <c r="C871" s="10"/>
    </row>
    <row r="872" spans="2:3" ht="12.75">
      <c r="B872" s="10"/>
      <c r="C872" s="10"/>
    </row>
    <row r="873" spans="2:3" ht="12.75">
      <c r="B873" s="10"/>
      <c r="C873" s="10"/>
    </row>
    <row r="874" spans="2:3" ht="12.75">
      <c r="B874" s="10"/>
      <c r="C874" s="10"/>
    </row>
    <row r="875" spans="2:3" ht="12.75">
      <c r="B875" s="10"/>
      <c r="C875" s="10"/>
    </row>
    <row r="876" spans="2:3" ht="12.75">
      <c r="B876" s="10"/>
      <c r="C876" s="10"/>
    </row>
    <row r="877" spans="2:3" ht="12.75">
      <c r="B877" s="10"/>
      <c r="C877" s="10"/>
    </row>
    <row r="878" spans="2:3" ht="12.75">
      <c r="B878" s="10"/>
      <c r="C878" s="10"/>
    </row>
    <row r="879" spans="2:3" ht="12.75">
      <c r="B879" s="10"/>
      <c r="C879" s="10"/>
    </row>
    <row r="880" spans="2:3" ht="12.75">
      <c r="B880" s="10"/>
      <c r="C880" s="10"/>
    </row>
    <row r="881" spans="2:3" ht="12.75">
      <c r="B881" s="10"/>
      <c r="C881" s="10"/>
    </row>
    <row r="882" spans="2:3" ht="12.75">
      <c r="B882" s="10"/>
      <c r="C882" s="10"/>
    </row>
    <row r="883" spans="2:3" ht="12.75">
      <c r="B883" s="10"/>
      <c r="C883" s="10"/>
    </row>
    <row r="884" spans="2:3" ht="12.75">
      <c r="B884" s="10"/>
      <c r="C884" s="10"/>
    </row>
    <row r="885" spans="2:3" ht="12.75">
      <c r="B885" s="10"/>
      <c r="C885" s="10"/>
    </row>
    <row r="886" spans="2:3" ht="12.75">
      <c r="B886" s="10"/>
      <c r="C886" s="10"/>
    </row>
    <row r="887" spans="2:3" ht="12.75">
      <c r="B887" s="10"/>
      <c r="C887" s="10"/>
    </row>
    <row r="888" spans="2:3" ht="12.75">
      <c r="B888" s="10"/>
      <c r="C888" s="10"/>
    </row>
    <row r="889" spans="2:3" ht="12.75">
      <c r="B889" s="10"/>
      <c r="C889" s="10"/>
    </row>
    <row r="890" spans="2:3" ht="12.75">
      <c r="B890" s="10"/>
      <c r="C890" s="10"/>
    </row>
    <row r="891" spans="2:3" ht="12.75">
      <c r="B891" s="10"/>
      <c r="C891" s="10"/>
    </row>
    <row r="892" spans="2:3" ht="12.75">
      <c r="B892" s="10"/>
      <c r="C892" s="10"/>
    </row>
    <row r="893" spans="2:3" ht="12.75">
      <c r="B893" s="10"/>
      <c r="C893" s="10"/>
    </row>
    <row r="894" spans="2:3" ht="12.75">
      <c r="B894" s="10"/>
      <c r="C894" s="10"/>
    </row>
    <row r="895" spans="2:3" ht="12.75">
      <c r="B895" s="10"/>
      <c r="C895" s="10"/>
    </row>
    <row r="896" spans="2:3" ht="12.75">
      <c r="B896" s="10"/>
      <c r="C896" s="10"/>
    </row>
    <row r="897" spans="2:3" ht="12.75">
      <c r="B897" s="10"/>
      <c r="C897" s="10"/>
    </row>
    <row r="898" spans="2:3" ht="12.75">
      <c r="B898" s="10"/>
      <c r="C898" s="10"/>
    </row>
    <row r="899" spans="2:3" ht="12.75">
      <c r="B899" s="10"/>
      <c r="C899" s="10"/>
    </row>
    <row r="900" spans="2:3" ht="12.75">
      <c r="B900" s="10"/>
      <c r="C900" s="10"/>
    </row>
    <row r="901" spans="2:3" ht="12.75">
      <c r="B901" s="10"/>
      <c r="C901" s="10"/>
    </row>
    <row r="902" spans="2:3" ht="12.75">
      <c r="B902" s="10"/>
      <c r="C902" s="10"/>
    </row>
    <row r="903" spans="2:3" ht="12.75">
      <c r="B903" s="10"/>
      <c r="C903" s="10"/>
    </row>
    <row r="904" spans="2:3" ht="12.75">
      <c r="B904" s="10"/>
      <c r="C904" s="10"/>
    </row>
    <row r="905" spans="2:3" ht="12.75">
      <c r="B905" s="10"/>
      <c r="C905" s="10"/>
    </row>
    <row r="906" spans="2:3" ht="12.75">
      <c r="B906" s="10"/>
      <c r="C906" s="10"/>
    </row>
    <row r="907" spans="2:3" ht="12.75">
      <c r="B907" s="10"/>
      <c r="C907" s="10"/>
    </row>
    <row r="908" spans="2:3" ht="12.75">
      <c r="B908" s="10"/>
      <c r="C908" s="10"/>
    </row>
    <row r="909" spans="2:3" ht="12.75">
      <c r="B909" s="10"/>
      <c r="C909" s="10"/>
    </row>
    <row r="910" spans="2:3" ht="12.75">
      <c r="B910" s="10"/>
      <c r="C910" s="10"/>
    </row>
    <row r="911" spans="2:3" ht="12.75">
      <c r="B911" s="10"/>
      <c r="C911" s="10"/>
    </row>
    <row r="912" spans="2:3" ht="12.75">
      <c r="B912" s="10"/>
      <c r="C912" s="10"/>
    </row>
    <row r="913" spans="2:3" ht="12.75">
      <c r="B913" s="10"/>
      <c r="C913" s="10"/>
    </row>
    <row r="914" spans="2:3" ht="12.75">
      <c r="B914" s="10"/>
      <c r="C914" s="10"/>
    </row>
    <row r="915" spans="2:3" ht="12.75">
      <c r="B915" s="10"/>
      <c r="C915" s="10"/>
    </row>
    <row r="916" spans="2:3" ht="12.75">
      <c r="B916" s="10"/>
      <c r="C916" s="10"/>
    </row>
    <row r="917" spans="2:3" ht="12.75">
      <c r="B917" s="10"/>
      <c r="C917" s="10"/>
    </row>
    <row r="918" spans="2:3" ht="12.75">
      <c r="B918" s="10"/>
      <c r="C918" s="10"/>
    </row>
    <row r="919" spans="2:3" ht="12.75">
      <c r="B919" s="10"/>
      <c r="C919" s="10"/>
    </row>
    <row r="920" spans="2:3" ht="12.75">
      <c r="B920" s="10"/>
      <c r="C920" s="10"/>
    </row>
    <row r="921" spans="2:3" ht="12.75">
      <c r="B921" s="10"/>
      <c r="C921" s="10"/>
    </row>
    <row r="922" spans="2:3" ht="12.75">
      <c r="B922" s="10"/>
      <c r="C922" s="10"/>
    </row>
    <row r="923" spans="2:3" ht="12.75">
      <c r="B923" s="10"/>
      <c r="C923" s="10"/>
    </row>
    <row r="924" spans="2:3" ht="12.75">
      <c r="B924" s="10"/>
      <c r="C924" s="10"/>
    </row>
    <row r="925" spans="2:3" ht="12.75">
      <c r="B925" s="10"/>
      <c r="C925" s="10"/>
    </row>
    <row r="926" spans="2:3" ht="12.75">
      <c r="B926" s="10"/>
      <c r="C926" s="10"/>
    </row>
    <row r="927" spans="2:3" ht="12.75">
      <c r="B927" s="10"/>
      <c r="C927" s="10"/>
    </row>
    <row r="928" spans="2:3" ht="12.75">
      <c r="B928" s="10"/>
      <c r="C928" s="10"/>
    </row>
    <row r="929" spans="2:3" ht="12.75">
      <c r="B929" s="10"/>
      <c r="C929" s="10"/>
    </row>
    <row r="930" spans="2:3" ht="12.75">
      <c r="B930" s="10"/>
      <c r="C930" s="10"/>
    </row>
    <row r="931" spans="2:3" ht="12.75">
      <c r="B931" s="10"/>
      <c r="C931" s="10"/>
    </row>
    <row r="932" spans="2:3" ht="12.75">
      <c r="B932" s="10"/>
      <c r="C932" s="10"/>
    </row>
    <row r="933" spans="2:3" ht="12.75">
      <c r="B933" s="10"/>
      <c r="C933" s="10"/>
    </row>
    <row r="934" spans="2:3" ht="12.75">
      <c r="B934" s="10"/>
      <c r="C934" s="10"/>
    </row>
    <row r="935" spans="2:3" ht="12.75">
      <c r="B935" s="10"/>
      <c r="C935" s="10"/>
    </row>
    <row r="936" spans="2:3" ht="12.75">
      <c r="B936" s="10"/>
      <c r="C936" s="10"/>
    </row>
    <row r="937" spans="2:3" ht="12.75">
      <c r="B937" s="10"/>
      <c r="C937" s="10"/>
    </row>
    <row r="938" spans="2:3" ht="12.75">
      <c r="B938" s="10"/>
      <c r="C938" s="10"/>
    </row>
    <row r="939" spans="2:3" ht="12.75">
      <c r="B939" s="10"/>
      <c r="C939" s="10"/>
    </row>
    <row r="940" spans="2:3" ht="12.75">
      <c r="B940" s="10"/>
      <c r="C940" s="10"/>
    </row>
    <row r="941" spans="2:3" ht="12.75">
      <c r="B941" s="10"/>
      <c r="C941" s="10"/>
    </row>
    <row r="942" spans="2:3" ht="12.75">
      <c r="B942" s="10"/>
      <c r="C942" s="10"/>
    </row>
    <row r="943" spans="2:3" ht="12.75">
      <c r="B943" s="10"/>
      <c r="C943" s="10"/>
    </row>
    <row r="944" spans="2:3" ht="12.75">
      <c r="B944" s="10"/>
      <c r="C944" s="10"/>
    </row>
    <row r="945" spans="2:3" ht="12.75">
      <c r="B945" s="10"/>
      <c r="C945" s="10"/>
    </row>
    <row r="946" spans="2:3" ht="12.75">
      <c r="B946" s="10"/>
      <c r="C946" s="10"/>
    </row>
    <row r="947" spans="2:3" ht="12.75">
      <c r="B947" s="10"/>
      <c r="C947" s="10"/>
    </row>
    <row r="948" spans="2:3" ht="12.75">
      <c r="B948" s="10"/>
      <c r="C948" s="10"/>
    </row>
    <row r="949" spans="2:3" ht="12.75">
      <c r="B949" s="10"/>
      <c r="C949" s="10"/>
    </row>
    <row r="950" spans="2:3" ht="12.75">
      <c r="B950" s="10"/>
      <c r="C950" s="10"/>
    </row>
    <row r="951" spans="2:3" ht="12.75">
      <c r="B951" s="10"/>
      <c r="C951" s="10"/>
    </row>
    <row r="952" spans="2:3" ht="12.75">
      <c r="B952" s="10"/>
      <c r="C952" s="10"/>
    </row>
    <row r="953" spans="2:3" ht="12.75">
      <c r="B953" s="10"/>
      <c r="C953" s="10"/>
    </row>
    <row r="954" spans="2:3" ht="12.75">
      <c r="B954" s="10"/>
      <c r="C954" s="10"/>
    </row>
    <row r="955" spans="2:3" ht="12.75">
      <c r="B955" s="10"/>
      <c r="C955" s="10"/>
    </row>
    <row r="956" spans="2:3" ht="12.75">
      <c r="B956" s="10"/>
      <c r="C956" s="10"/>
    </row>
    <row r="957" spans="2:3" ht="12.75">
      <c r="B957" s="10"/>
      <c r="C957" s="10"/>
    </row>
    <row r="958" spans="2:3" ht="12.75">
      <c r="B958" s="10"/>
      <c r="C958" s="10"/>
    </row>
    <row r="959" spans="2:3" ht="12.75">
      <c r="B959" s="10"/>
      <c r="C959" s="10"/>
    </row>
    <row r="960" spans="2:3" ht="12.75">
      <c r="B960" s="10"/>
      <c r="C960" s="10"/>
    </row>
    <row r="961" spans="2:3" ht="12.75">
      <c r="B961" s="10"/>
      <c r="C961" s="10"/>
    </row>
    <row r="962" spans="2:3" ht="12.75">
      <c r="B962" s="10"/>
      <c r="C962" s="10"/>
    </row>
    <row r="963" spans="2:3" ht="12.75">
      <c r="B963" s="10"/>
      <c r="C963" s="10"/>
    </row>
    <row r="964" spans="2:3" ht="12.75">
      <c r="B964" s="10"/>
      <c r="C964" s="10"/>
    </row>
    <row r="965" spans="2:3" ht="12.75">
      <c r="B965" s="10"/>
      <c r="C965" s="10"/>
    </row>
    <row r="966" spans="2:3" ht="12.75">
      <c r="B966" s="10"/>
      <c r="C966" s="10"/>
    </row>
    <row r="967" spans="2:3" ht="12.75">
      <c r="B967" s="10"/>
      <c r="C967" s="10"/>
    </row>
    <row r="968" spans="2:3" ht="12.75">
      <c r="B968" s="10"/>
      <c r="C968" s="10"/>
    </row>
    <row r="969" spans="2:3" ht="12.75">
      <c r="B969" s="10"/>
      <c r="C969" s="10"/>
    </row>
    <row r="970" spans="2:3" ht="12.75">
      <c r="B970" s="10"/>
      <c r="C970" s="10"/>
    </row>
    <row r="971" spans="2:3" ht="12.75">
      <c r="B971" s="10"/>
      <c r="C971" s="10"/>
    </row>
    <row r="972" spans="2:3" ht="12.75">
      <c r="B972" s="10"/>
      <c r="C972" s="10"/>
    </row>
    <row r="973" spans="2:3" ht="12.75">
      <c r="B973" s="10"/>
      <c r="C973" s="10"/>
    </row>
    <row r="974" spans="2:3" ht="12.75">
      <c r="B974" s="10"/>
      <c r="C974" s="10"/>
    </row>
    <row r="975" spans="2:3" ht="12.75">
      <c r="B975" s="10"/>
      <c r="C975" s="10"/>
    </row>
    <row r="976" spans="2:3" ht="12.75">
      <c r="B976" s="10"/>
      <c r="C976" s="10"/>
    </row>
    <row r="977" spans="2:3" ht="12.75">
      <c r="B977" s="10"/>
      <c r="C977" s="10"/>
    </row>
    <row r="978" spans="2:3" ht="12.75">
      <c r="B978" s="10"/>
      <c r="C978" s="10"/>
    </row>
    <row r="979" spans="2:3" ht="12.75">
      <c r="B979" s="10"/>
      <c r="C979" s="10"/>
    </row>
    <row r="980" spans="2:3" ht="12.75">
      <c r="B980" s="10"/>
      <c r="C980" s="10"/>
    </row>
    <row r="981" spans="2:3" ht="12.75">
      <c r="B981" s="10"/>
      <c r="C981" s="10"/>
    </row>
    <row r="982" spans="2:3" ht="12.75">
      <c r="B982" s="10"/>
      <c r="C982" s="10"/>
    </row>
    <row r="983" spans="2:3" ht="12.75">
      <c r="B983" s="10"/>
      <c r="C983" s="10"/>
    </row>
    <row r="984" spans="2:3" ht="12.75">
      <c r="B984" s="10"/>
      <c r="C984" s="10"/>
    </row>
    <row r="985" spans="2:3" ht="12.75">
      <c r="B985" s="10"/>
      <c r="C985" s="10"/>
    </row>
  </sheetData>
  <mergeCells count="56">
    <mergeCell ref="A69:E69"/>
    <mergeCell ref="F69:O69"/>
    <mergeCell ref="P69:V69"/>
    <mergeCell ref="V7:V10"/>
    <mergeCell ref="R8:S8"/>
    <mergeCell ref="T8:U8"/>
    <mergeCell ref="R9:R10"/>
    <mergeCell ref="S9:S10"/>
    <mergeCell ref="P9:P10"/>
    <mergeCell ref="Q9:Q10"/>
    <mergeCell ref="T9:T10"/>
    <mergeCell ref="U9:U10"/>
    <mergeCell ref="R7:S7"/>
    <mergeCell ref="T7:U7"/>
    <mergeCell ref="N7:O7"/>
    <mergeCell ref="P7:Q7"/>
    <mergeCell ref="N8:O8"/>
    <mergeCell ref="P8:Q8"/>
    <mergeCell ref="Q1:V1"/>
    <mergeCell ref="A2:Q2"/>
    <mergeCell ref="A3:Q3"/>
    <mergeCell ref="A4:Q4"/>
    <mergeCell ref="D7:E7"/>
    <mergeCell ref="F7:G7"/>
    <mergeCell ref="H7:I7"/>
    <mergeCell ref="J7:K7"/>
    <mergeCell ref="L7:M7"/>
    <mergeCell ref="D8:E8"/>
    <mergeCell ref="F8:G8"/>
    <mergeCell ref="H8:I8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N9:N10"/>
    <mergeCell ref="O9:O10"/>
    <mergeCell ref="A8:B9"/>
    <mergeCell ref="C9:C10"/>
    <mergeCell ref="D9:D10"/>
    <mergeCell ref="E9:E10"/>
    <mergeCell ref="F9:F10"/>
    <mergeCell ref="G9:G10"/>
    <mergeCell ref="H9:H10"/>
    <mergeCell ref="J8:K8"/>
    <mergeCell ref="L8:M8"/>
    <mergeCell ref="I9:I10"/>
    <mergeCell ref="J9:J10"/>
    <mergeCell ref="K9:K10"/>
    <mergeCell ref="L9:L10"/>
    <mergeCell ref="M9:M10"/>
  </mergeCells>
  <printOptions horizontalCentered="1"/>
  <pageMargins left="0.7" right="0.7" top="0.75" bottom="0.75" header="0" footer="0"/>
  <pageSetup paperSize="9" fitToHeight="0" pageOrder="overThenDown" orientation="landscape" cellComments="atEnd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3:F59"/>
  <sheetViews>
    <sheetView workbookViewId="0"/>
  </sheetViews>
  <sheetFormatPr defaultColWidth="12.5703125" defaultRowHeight="15.75" customHeight="1"/>
  <cols>
    <col min="1" max="1" width="5.5703125" customWidth="1"/>
    <col min="2" max="2" width="20.140625" bestFit="1" customWidth="1"/>
    <col min="3" max="3" width="39" bestFit="1" customWidth="1"/>
    <col min="5" max="5" width="47.7109375" customWidth="1"/>
    <col min="6" max="6" width="24.42578125" customWidth="1"/>
  </cols>
  <sheetData>
    <row r="3" spans="1:6" ht="15.75" customHeight="1">
      <c r="A3" s="32"/>
      <c r="B3" s="32"/>
      <c r="C3" s="32"/>
      <c r="D3" s="33"/>
      <c r="E3" s="33"/>
      <c r="F3" s="34"/>
    </row>
    <row r="4" spans="1:6" ht="15.75" customHeight="1">
      <c r="A4" s="35" t="s">
        <v>22</v>
      </c>
      <c r="B4" s="36" t="s">
        <v>23</v>
      </c>
      <c r="C4" s="37" t="s">
        <v>144</v>
      </c>
      <c r="D4" s="36" t="s">
        <v>145</v>
      </c>
      <c r="E4" s="36" t="s">
        <v>146</v>
      </c>
      <c r="F4" s="38" t="s">
        <v>147</v>
      </c>
    </row>
    <row r="5" spans="1:6" ht="15.75" customHeight="1">
      <c r="A5" s="39">
        <v>1</v>
      </c>
      <c r="B5" s="40" t="s">
        <v>24</v>
      </c>
      <c r="C5" s="41" t="s">
        <v>148</v>
      </c>
      <c r="D5" s="42" t="s">
        <v>149</v>
      </c>
      <c r="E5" s="42" t="s">
        <v>150</v>
      </c>
      <c r="F5" s="43" t="s">
        <v>151</v>
      </c>
    </row>
    <row r="6" spans="1:6" ht="15.75" customHeight="1">
      <c r="A6" s="44">
        <v>2</v>
      </c>
      <c r="B6" s="40" t="s">
        <v>26</v>
      </c>
      <c r="C6" s="41" t="s">
        <v>152</v>
      </c>
      <c r="D6" s="42" t="s">
        <v>149</v>
      </c>
      <c r="E6" s="42" t="s">
        <v>153</v>
      </c>
      <c r="F6" s="43" t="s">
        <v>154</v>
      </c>
    </row>
    <row r="7" spans="1:6" ht="15.75" customHeight="1">
      <c r="A7" s="39">
        <v>3</v>
      </c>
      <c r="B7" s="40" t="s">
        <v>28</v>
      </c>
      <c r="C7" s="41" t="s">
        <v>155</v>
      </c>
      <c r="D7" s="45"/>
      <c r="E7" s="45"/>
      <c r="F7" s="46"/>
    </row>
    <row r="8" spans="1:6" ht="15.75" customHeight="1">
      <c r="A8" s="44">
        <v>4</v>
      </c>
      <c r="B8" s="40" t="s">
        <v>30</v>
      </c>
      <c r="C8" s="41" t="s">
        <v>156</v>
      </c>
      <c r="D8" s="45"/>
      <c r="E8" s="45"/>
      <c r="F8" s="46"/>
    </row>
    <row r="9" spans="1:6" ht="15.75" customHeight="1">
      <c r="A9" s="39">
        <v>5</v>
      </c>
      <c r="B9" s="40" t="s">
        <v>32</v>
      </c>
      <c r="C9" s="41" t="s">
        <v>157</v>
      </c>
      <c r="D9" s="42" t="s">
        <v>149</v>
      </c>
      <c r="E9" s="42" t="s">
        <v>158</v>
      </c>
      <c r="F9" s="43" t="s">
        <v>154</v>
      </c>
    </row>
    <row r="10" spans="1:6" ht="15.75" customHeight="1">
      <c r="A10" s="44">
        <v>6</v>
      </c>
      <c r="B10" s="40" t="s">
        <v>34</v>
      </c>
      <c r="C10" s="41" t="s">
        <v>159</v>
      </c>
      <c r="D10" s="42" t="s">
        <v>149</v>
      </c>
      <c r="E10" s="42" t="s">
        <v>160</v>
      </c>
      <c r="F10" s="43" t="s">
        <v>151</v>
      </c>
    </row>
    <row r="11" spans="1:6" ht="15.75" customHeight="1">
      <c r="A11" s="39">
        <v>7</v>
      </c>
      <c r="B11" s="40" t="s">
        <v>36</v>
      </c>
      <c r="C11" s="41" t="s">
        <v>161</v>
      </c>
      <c r="D11" s="45"/>
      <c r="E11" s="45"/>
      <c r="F11" s="46"/>
    </row>
    <row r="12" spans="1:6" ht="15.75" customHeight="1">
      <c r="A12" s="44">
        <v>8</v>
      </c>
      <c r="B12" s="40" t="s">
        <v>38</v>
      </c>
      <c r="C12" s="41" t="s">
        <v>162</v>
      </c>
      <c r="D12" s="42" t="s">
        <v>163</v>
      </c>
      <c r="E12" s="42" t="s">
        <v>164</v>
      </c>
      <c r="F12" s="47">
        <v>0.1</v>
      </c>
    </row>
    <row r="13" spans="1:6" ht="15.75" customHeight="1">
      <c r="A13" s="39">
        <v>9</v>
      </c>
      <c r="B13" s="40" t="s">
        <v>40</v>
      </c>
      <c r="C13" s="41" t="s">
        <v>165</v>
      </c>
      <c r="D13" s="42" t="s">
        <v>166</v>
      </c>
      <c r="E13" s="48">
        <v>46113</v>
      </c>
      <c r="F13" s="43" t="s">
        <v>167</v>
      </c>
    </row>
    <row r="14" spans="1:6" ht="15.75" customHeight="1">
      <c r="A14" s="44">
        <v>10</v>
      </c>
      <c r="B14" s="40" t="s">
        <v>42</v>
      </c>
      <c r="C14" s="41" t="s">
        <v>168</v>
      </c>
      <c r="D14" s="42" t="s">
        <v>169</v>
      </c>
      <c r="E14" s="42" t="s">
        <v>170</v>
      </c>
      <c r="F14" s="43" t="s">
        <v>171</v>
      </c>
    </row>
    <row r="15" spans="1:6" ht="15.75" customHeight="1">
      <c r="A15" s="39">
        <v>11</v>
      </c>
      <c r="B15" s="40" t="s">
        <v>44</v>
      </c>
      <c r="C15" s="41" t="s">
        <v>172</v>
      </c>
      <c r="D15" s="42" t="s">
        <v>166</v>
      </c>
      <c r="E15" s="42" t="s">
        <v>173</v>
      </c>
      <c r="F15" s="43" t="s">
        <v>151</v>
      </c>
    </row>
    <row r="16" spans="1:6" ht="15.75" customHeight="1">
      <c r="A16" s="44">
        <v>12</v>
      </c>
      <c r="B16" s="40" t="s">
        <v>46</v>
      </c>
      <c r="C16" s="41" t="s">
        <v>174</v>
      </c>
      <c r="D16" s="42" t="s">
        <v>175</v>
      </c>
      <c r="E16" s="42" t="s">
        <v>176</v>
      </c>
      <c r="F16" s="43" t="s">
        <v>151</v>
      </c>
    </row>
    <row r="17" spans="1:6" ht="15.75" customHeight="1">
      <c r="A17" s="39">
        <v>13</v>
      </c>
      <c r="B17" s="40" t="s">
        <v>48</v>
      </c>
      <c r="C17" s="41" t="s">
        <v>177</v>
      </c>
      <c r="D17" s="42" t="s">
        <v>175</v>
      </c>
      <c r="E17" s="42" t="s">
        <v>178</v>
      </c>
      <c r="F17" s="43" t="s">
        <v>151</v>
      </c>
    </row>
    <row r="18" spans="1:6" ht="15.75" customHeight="1">
      <c r="A18" s="44">
        <v>14</v>
      </c>
      <c r="B18" s="40" t="s">
        <v>50</v>
      </c>
      <c r="C18" s="41" t="s">
        <v>179</v>
      </c>
      <c r="D18" s="42" t="s">
        <v>175</v>
      </c>
      <c r="E18" s="42" t="s">
        <v>180</v>
      </c>
      <c r="F18" s="43" t="s">
        <v>151</v>
      </c>
    </row>
    <row r="19" spans="1:6" ht="15.75" customHeight="1">
      <c r="A19" s="39">
        <v>15</v>
      </c>
      <c r="B19" s="40" t="s">
        <v>52</v>
      </c>
      <c r="C19" s="41" t="s">
        <v>181</v>
      </c>
      <c r="D19" s="45"/>
      <c r="E19" s="45"/>
      <c r="F19" s="46"/>
    </row>
    <row r="20" spans="1:6" ht="15.75" customHeight="1">
      <c r="A20" s="44">
        <v>16</v>
      </c>
      <c r="B20" s="40" t="s">
        <v>54</v>
      </c>
      <c r="C20" s="41" t="s">
        <v>182</v>
      </c>
      <c r="D20" s="45"/>
      <c r="E20" s="45"/>
      <c r="F20" s="46"/>
    </row>
    <row r="21" spans="1:6" ht="15.75" customHeight="1">
      <c r="A21" s="39">
        <v>17</v>
      </c>
      <c r="B21" s="40" t="s">
        <v>56</v>
      </c>
      <c r="C21" s="41" t="s">
        <v>183</v>
      </c>
      <c r="D21" s="42" t="s">
        <v>175</v>
      </c>
      <c r="E21" s="42" t="s">
        <v>180</v>
      </c>
      <c r="F21" s="43" t="s">
        <v>151</v>
      </c>
    </row>
    <row r="22" spans="1:6" ht="15.75" customHeight="1">
      <c r="A22" s="44">
        <v>18</v>
      </c>
      <c r="B22" s="40" t="s">
        <v>58</v>
      </c>
      <c r="C22" s="41" t="s">
        <v>184</v>
      </c>
      <c r="D22" s="45"/>
      <c r="E22" s="45"/>
      <c r="F22" s="46"/>
    </row>
    <row r="23" spans="1:6" ht="15.75" customHeight="1">
      <c r="A23" s="39">
        <v>19</v>
      </c>
      <c r="B23" s="40" t="s">
        <v>60</v>
      </c>
      <c r="C23" s="41" t="s">
        <v>185</v>
      </c>
      <c r="D23" s="45"/>
      <c r="E23" s="45"/>
      <c r="F23" s="46"/>
    </row>
    <row r="24" spans="1:6" ht="20.25">
      <c r="A24" s="44">
        <v>20</v>
      </c>
      <c r="B24" s="40" t="s">
        <v>62</v>
      </c>
      <c r="C24" s="41" t="s">
        <v>186</v>
      </c>
      <c r="D24" s="42" t="s">
        <v>149</v>
      </c>
      <c r="E24" s="42" t="s">
        <v>187</v>
      </c>
      <c r="F24" s="43" t="s">
        <v>151</v>
      </c>
    </row>
    <row r="25" spans="1:6" ht="20.25">
      <c r="A25" s="39">
        <v>21</v>
      </c>
      <c r="B25" s="40" t="s">
        <v>64</v>
      </c>
      <c r="C25" s="41" t="s">
        <v>188</v>
      </c>
      <c r="D25" s="42" t="s">
        <v>166</v>
      </c>
      <c r="E25" s="48">
        <v>46113</v>
      </c>
      <c r="F25" s="43" t="s">
        <v>167</v>
      </c>
    </row>
    <row r="26" spans="1:6" ht="20.25">
      <c r="A26" s="44">
        <v>22</v>
      </c>
      <c r="B26" s="40" t="s">
        <v>66</v>
      </c>
      <c r="C26" s="41" t="s">
        <v>189</v>
      </c>
      <c r="D26" s="45"/>
      <c r="E26" s="45"/>
      <c r="F26" s="46"/>
    </row>
    <row r="27" spans="1:6" ht="20.25">
      <c r="A27" s="39">
        <v>23</v>
      </c>
      <c r="B27" s="40" t="s">
        <v>68</v>
      </c>
      <c r="C27" s="41" t="s">
        <v>190</v>
      </c>
      <c r="D27" s="42" t="s">
        <v>166</v>
      </c>
      <c r="E27" s="42" t="s">
        <v>191</v>
      </c>
      <c r="F27" s="43" t="s">
        <v>154</v>
      </c>
    </row>
    <row r="28" spans="1:6" ht="20.25">
      <c r="A28" s="44">
        <v>24</v>
      </c>
      <c r="B28" s="40" t="s">
        <v>70</v>
      </c>
      <c r="C28" s="41" t="s">
        <v>192</v>
      </c>
      <c r="D28" s="45"/>
      <c r="E28" s="45"/>
      <c r="F28" s="46"/>
    </row>
    <row r="29" spans="1:6" ht="20.25">
      <c r="A29" s="39">
        <v>25</v>
      </c>
      <c r="B29" s="40" t="s">
        <v>72</v>
      </c>
      <c r="C29" s="41" t="s">
        <v>193</v>
      </c>
      <c r="D29" s="42" t="s">
        <v>166</v>
      </c>
      <c r="E29" s="48">
        <v>46113</v>
      </c>
      <c r="F29" s="43" t="s">
        <v>167</v>
      </c>
    </row>
    <row r="30" spans="1:6" ht="20.25">
      <c r="A30" s="44">
        <v>26</v>
      </c>
      <c r="B30" s="40" t="s">
        <v>74</v>
      </c>
      <c r="C30" s="41" t="s">
        <v>194</v>
      </c>
      <c r="D30" s="45"/>
      <c r="E30" s="45"/>
      <c r="F30" s="46"/>
    </row>
    <row r="31" spans="1:6" ht="20.25">
      <c r="A31" s="39">
        <v>27</v>
      </c>
      <c r="B31" s="40" t="s">
        <v>76</v>
      </c>
      <c r="C31" s="41" t="s">
        <v>195</v>
      </c>
      <c r="D31" s="42" t="s">
        <v>163</v>
      </c>
      <c r="E31" s="42" t="s">
        <v>196</v>
      </c>
      <c r="F31" s="47">
        <v>0.1</v>
      </c>
    </row>
    <row r="32" spans="1:6" ht="20.25">
      <c r="A32" s="44">
        <v>28</v>
      </c>
      <c r="B32" s="40" t="s">
        <v>78</v>
      </c>
      <c r="C32" s="41" t="s">
        <v>197</v>
      </c>
      <c r="D32" s="45"/>
      <c r="E32" s="45"/>
      <c r="F32" s="46"/>
    </row>
    <row r="33" spans="1:6" ht="20.25">
      <c r="A33" s="39">
        <v>29</v>
      </c>
      <c r="B33" s="40" t="s">
        <v>80</v>
      </c>
      <c r="C33" s="41" t="s">
        <v>198</v>
      </c>
      <c r="D33" s="42" t="s">
        <v>163</v>
      </c>
      <c r="E33" s="42" t="s">
        <v>199</v>
      </c>
      <c r="F33" s="47">
        <v>0.1</v>
      </c>
    </row>
    <row r="34" spans="1:6" ht="20.25">
      <c r="A34" s="44">
        <v>30</v>
      </c>
      <c r="B34" s="40" t="s">
        <v>82</v>
      </c>
      <c r="C34" s="41" t="s">
        <v>200</v>
      </c>
      <c r="D34" s="45"/>
      <c r="E34" s="45"/>
      <c r="F34" s="46"/>
    </row>
    <row r="35" spans="1:6" ht="20.25">
      <c r="A35" s="39">
        <v>31</v>
      </c>
      <c r="B35" s="40" t="s">
        <v>84</v>
      </c>
      <c r="C35" s="41" t="s">
        <v>201</v>
      </c>
      <c r="D35" s="42" t="s">
        <v>166</v>
      </c>
      <c r="E35" s="48">
        <v>46113</v>
      </c>
      <c r="F35" s="43" t="s">
        <v>167</v>
      </c>
    </row>
    <row r="36" spans="1:6" ht="20.25">
      <c r="A36" s="44">
        <v>32</v>
      </c>
      <c r="B36" s="40" t="s">
        <v>86</v>
      </c>
      <c r="C36" s="41" t="s">
        <v>202</v>
      </c>
      <c r="D36" s="42" t="s">
        <v>166</v>
      </c>
      <c r="E36" s="42" t="s">
        <v>203</v>
      </c>
      <c r="F36" s="43" t="s">
        <v>167</v>
      </c>
    </row>
    <row r="37" spans="1:6" ht="20.25">
      <c r="A37" s="39">
        <v>33</v>
      </c>
      <c r="B37" s="40" t="s">
        <v>88</v>
      </c>
      <c r="C37" s="41" t="s">
        <v>204</v>
      </c>
      <c r="D37" s="42" t="s">
        <v>149</v>
      </c>
      <c r="E37" s="42" t="s">
        <v>150</v>
      </c>
      <c r="F37" s="43" t="s">
        <v>151</v>
      </c>
    </row>
    <row r="38" spans="1:6" ht="20.25">
      <c r="A38" s="44">
        <v>34</v>
      </c>
      <c r="B38" s="40" t="s">
        <v>90</v>
      </c>
      <c r="C38" s="41" t="s">
        <v>205</v>
      </c>
      <c r="D38" s="45"/>
      <c r="E38" s="45"/>
      <c r="F38" s="46"/>
    </row>
    <row r="39" spans="1:6" ht="20.25">
      <c r="A39" s="39">
        <v>35</v>
      </c>
      <c r="B39" s="40" t="s">
        <v>92</v>
      </c>
      <c r="C39" s="41" t="s">
        <v>206</v>
      </c>
      <c r="D39" s="45"/>
      <c r="E39" s="45"/>
      <c r="F39" s="46"/>
    </row>
    <row r="40" spans="1:6" ht="20.25">
      <c r="A40" s="44">
        <v>36</v>
      </c>
      <c r="B40" s="40" t="s">
        <v>94</v>
      </c>
      <c r="C40" s="41" t="s">
        <v>207</v>
      </c>
      <c r="D40" s="45"/>
      <c r="E40" s="45"/>
      <c r="F40" s="46"/>
    </row>
    <row r="41" spans="1:6" ht="20.25">
      <c r="A41" s="39">
        <v>37</v>
      </c>
      <c r="B41" s="40" t="s">
        <v>96</v>
      </c>
      <c r="C41" s="41" t="s">
        <v>208</v>
      </c>
      <c r="D41" s="42" t="s">
        <v>163</v>
      </c>
      <c r="E41" s="42" t="s">
        <v>209</v>
      </c>
      <c r="F41" s="47">
        <v>0.1</v>
      </c>
    </row>
    <row r="42" spans="1:6" ht="20.25">
      <c r="A42" s="44">
        <v>38</v>
      </c>
      <c r="B42" s="40" t="s">
        <v>98</v>
      </c>
      <c r="C42" s="41" t="s">
        <v>210</v>
      </c>
      <c r="D42" s="45"/>
      <c r="E42" s="45"/>
      <c r="F42" s="46"/>
    </row>
    <row r="43" spans="1:6" ht="20.25">
      <c r="A43" s="39">
        <v>39</v>
      </c>
      <c r="B43" s="40" t="s">
        <v>100</v>
      </c>
      <c r="C43" s="41" t="s">
        <v>211</v>
      </c>
      <c r="D43" s="42" t="s">
        <v>163</v>
      </c>
      <c r="E43" s="42" t="s">
        <v>212</v>
      </c>
      <c r="F43" s="47">
        <v>0.1</v>
      </c>
    </row>
    <row r="44" spans="1:6" ht="20.25">
      <c r="A44" s="44">
        <v>40</v>
      </c>
      <c r="B44" s="40" t="s">
        <v>102</v>
      </c>
      <c r="C44" s="41" t="s">
        <v>213</v>
      </c>
      <c r="D44" s="42" t="s">
        <v>163</v>
      </c>
      <c r="E44" s="42" t="s">
        <v>214</v>
      </c>
      <c r="F44" s="47">
        <v>0.1</v>
      </c>
    </row>
    <row r="45" spans="1:6" ht="20.25">
      <c r="A45" s="39">
        <v>41</v>
      </c>
      <c r="B45" s="40" t="s">
        <v>104</v>
      </c>
      <c r="C45" s="41" t="s">
        <v>215</v>
      </c>
      <c r="D45" s="45"/>
      <c r="E45" s="45"/>
      <c r="F45" s="46"/>
    </row>
    <row r="46" spans="1:6" ht="20.25">
      <c r="A46" s="44">
        <v>42</v>
      </c>
      <c r="B46" s="40" t="s">
        <v>106</v>
      </c>
      <c r="C46" s="41" t="s">
        <v>216</v>
      </c>
      <c r="D46" s="42" t="s">
        <v>166</v>
      </c>
      <c r="E46" s="42" t="s">
        <v>217</v>
      </c>
      <c r="F46" s="43" t="s">
        <v>167</v>
      </c>
    </row>
    <row r="47" spans="1:6" ht="20.25">
      <c r="A47" s="39">
        <v>43</v>
      </c>
      <c r="B47" s="40" t="s">
        <v>108</v>
      </c>
      <c r="C47" s="41" t="s">
        <v>218</v>
      </c>
      <c r="D47" s="45"/>
      <c r="E47" s="45"/>
      <c r="F47" s="46"/>
    </row>
    <row r="48" spans="1:6" ht="20.25">
      <c r="A48" s="44">
        <v>44</v>
      </c>
      <c r="B48" s="40" t="s">
        <v>110</v>
      </c>
      <c r="C48" s="41" t="s">
        <v>219</v>
      </c>
      <c r="D48" s="42" t="s">
        <v>149</v>
      </c>
      <c r="E48" s="42" t="s">
        <v>220</v>
      </c>
      <c r="F48" s="43" t="s">
        <v>151</v>
      </c>
    </row>
    <row r="49" spans="1:6" ht="20.25">
      <c r="A49" s="39">
        <v>45</v>
      </c>
      <c r="B49" s="40" t="s">
        <v>112</v>
      </c>
      <c r="C49" s="41" t="s">
        <v>221</v>
      </c>
      <c r="D49" s="45"/>
      <c r="E49" s="45"/>
      <c r="F49" s="46"/>
    </row>
    <row r="50" spans="1:6" ht="20.25">
      <c r="A50" s="44">
        <v>46</v>
      </c>
      <c r="B50" s="40" t="s">
        <v>114</v>
      </c>
      <c r="C50" s="41" t="s">
        <v>222</v>
      </c>
      <c r="D50" s="45"/>
      <c r="E50" s="45"/>
      <c r="F50" s="46"/>
    </row>
    <row r="51" spans="1:6" ht="20.25">
      <c r="A51" s="39">
        <v>47</v>
      </c>
      <c r="B51" s="40" t="s">
        <v>116</v>
      </c>
      <c r="C51" s="41" t="s">
        <v>223</v>
      </c>
      <c r="D51" s="45"/>
      <c r="E51" s="45"/>
      <c r="F51" s="46"/>
    </row>
    <row r="52" spans="1:6" ht="20.25">
      <c r="A52" s="44">
        <v>48</v>
      </c>
      <c r="B52" s="40" t="s">
        <v>118</v>
      </c>
      <c r="C52" s="41" t="s">
        <v>224</v>
      </c>
      <c r="D52" s="45"/>
      <c r="E52" s="45"/>
      <c r="F52" s="46"/>
    </row>
    <row r="53" spans="1:6" ht="20.25">
      <c r="A53" s="39">
        <v>49</v>
      </c>
      <c r="B53" s="40" t="s">
        <v>120</v>
      </c>
      <c r="C53" s="41" t="s">
        <v>225</v>
      </c>
      <c r="D53" s="42" t="s">
        <v>166</v>
      </c>
      <c r="E53" s="42" t="s">
        <v>180</v>
      </c>
      <c r="F53" s="43" t="s">
        <v>151</v>
      </c>
    </row>
    <row r="54" spans="1:6" ht="20.25">
      <c r="A54" s="44">
        <v>50</v>
      </c>
      <c r="B54" s="40" t="s">
        <v>122</v>
      </c>
      <c r="C54" s="41" t="s">
        <v>226</v>
      </c>
      <c r="D54" s="42" t="s">
        <v>163</v>
      </c>
      <c r="E54" s="42" t="s">
        <v>227</v>
      </c>
      <c r="F54" s="47">
        <v>0.1</v>
      </c>
    </row>
    <row r="55" spans="1:6" ht="20.25">
      <c r="A55" s="39">
        <v>51</v>
      </c>
      <c r="B55" s="40" t="s">
        <v>124</v>
      </c>
      <c r="C55" s="41" t="s">
        <v>228</v>
      </c>
      <c r="D55" s="42" t="s">
        <v>166</v>
      </c>
      <c r="E55" s="42" t="s">
        <v>180</v>
      </c>
      <c r="F55" s="43" t="s">
        <v>151</v>
      </c>
    </row>
    <row r="56" spans="1:6" ht="20.25">
      <c r="A56" s="44">
        <v>52</v>
      </c>
      <c r="B56" s="40" t="s">
        <v>126</v>
      </c>
      <c r="C56" s="41" t="s">
        <v>229</v>
      </c>
      <c r="D56" s="42" t="s">
        <v>230</v>
      </c>
      <c r="E56" s="42" t="s">
        <v>231</v>
      </c>
      <c r="F56" s="43" t="s">
        <v>151</v>
      </c>
    </row>
    <row r="57" spans="1:6" ht="20.25">
      <c r="A57" s="39">
        <v>53</v>
      </c>
      <c r="B57" s="40" t="s">
        <v>128</v>
      </c>
      <c r="C57" s="41" t="s">
        <v>232</v>
      </c>
      <c r="D57" s="45"/>
      <c r="E57" s="45"/>
      <c r="F57" s="46"/>
    </row>
    <row r="58" spans="1:6" ht="20.25">
      <c r="A58" s="44">
        <v>54</v>
      </c>
      <c r="B58" s="40" t="s">
        <v>130</v>
      </c>
      <c r="C58" s="41" t="s">
        <v>233</v>
      </c>
      <c r="D58" s="42" t="s">
        <v>234</v>
      </c>
      <c r="E58" s="42" t="s">
        <v>235</v>
      </c>
      <c r="F58" s="43" t="s">
        <v>154</v>
      </c>
    </row>
    <row r="59" spans="1:6" ht="20.25">
      <c r="A59" s="39">
        <v>55</v>
      </c>
      <c r="B59" s="40" t="s">
        <v>132</v>
      </c>
      <c r="C59" s="41" t="s">
        <v>236</v>
      </c>
      <c r="D59" s="42" t="s">
        <v>175</v>
      </c>
      <c r="E59" s="42" t="s">
        <v>237</v>
      </c>
      <c r="F59" s="49" t="s">
        <v>147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985"/>
  <sheetViews>
    <sheetView workbookViewId="0">
      <pane ySplit="9" topLeftCell="A10" activePane="bottomLeft" state="frozen"/>
      <selection pane="bottomLeft" activeCell="B11" sqref="B11"/>
    </sheetView>
  </sheetViews>
  <sheetFormatPr defaultColWidth="12.5703125" defaultRowHeight="15.75" customHeight="1"/>
  <cols>
    <col min="1" max="1" width="5.28515625" customWidth="1"/>
    <col min="2" max="2" width="13.42578125" customWidth="1"/>
    <col min="3" max="3" width="28.85546875" customWidth="1"/>
    <col min="4" max="4" width="10" customWidth="1"/>
    <col min="5" max="5" width="13.28515625" customWidth="1"/>
    <col min="6" max="6" width="9.28515625" customWidth="1"/>
    <col min="7" max="7" width="9.7109375" customWidth="1"/>
    <col min="8" max="8" width="9.28515625" customWidth="1"/>
    <col min="9" max="9" width="9.42578125" customWidth="1"/>
    <col min="10" max="11" width="12.28515625" customWidth="1"/>
    <col min="13" max="14" width="12.5703125" hidden="1"/>
  </cols>
  <sheetData>
    <row r="1" spans="1:14" ht="15.75" customHeight="1">
      <c r="B1" s="52"/>
      <c r="C1" s="3"/>
      <c r="D1" s="8"/>
      <c r="E1" s="8"/>
      <c r="F1" s="8"/>
      <c r="G1" s="8"/>
      <c r="H1" s="53" t="s">
        <v>0</v>
      </c>
      <c r="J1" s="2"/>
      <c r="K1" s="2"/>
      <c r="M1" s="54"/>
      <c r="N1" s="54"/>
    </row>
    <row r="2" spans="1:14" ht="15.75" customHeight="1">
      <c r="A2" s="120" t="s">
        <v>1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M2" s="54"/>
      <c r="N2" s="54"/>
    </row>
    <row r="3" spans="1:14" ht="15.75" customHeight="1">
      <c r="A3" s="120" t="s">
        <v>2</v>
      </c>
      <c r="B3" s="106"/>
      <c r="C3" s="106"/>
      <c r="D3" s="106"/>
      <c r="E3" s="106"/>
      <c r="F3" s="106"/>
      <c r="G3" s="106"/>
      <c r="H3" s="106"/>
      <c r="I3" s="106"/>
      <c r="J3" s="106"/>
      <c r="K3" s="106"/>
      <c r="M3" s="54"/>
      <c r="N3" s="54"/>
    </row>
    <row r="4" spans="1:14" ht="15.75" customHeight="1">
      <c r="A4" s="120" t="s">
        <v>238</v>
      </c>
      <c r="B4" s="106"/>
      <c r="C4" s="106"/>
      <c r="D4" s="106"/>
      <c r="E4" s="106"/>
      <c r="F4" s="106"/>
      <c r="G4" s="106"/>
      <c r="H4" s="106"/>
      <c r="I4" s="106"/>
      <c r="J4" s="106"/>
      <c r="K4" s="106"/>
      <c r="M4" s="54"/>
      <c r="N4" s="54"/>
    </row>
    <row r="5" spans="1:14" ht="15.75" customHeight="1">
      <c r="A5" s="2"/>
      <c r="B5" s="3"/>
      <c r="C5" s="4" t="s">
        <v>4</v>
      </c>
      <c r="D5" s="2"/>
      <c r="E5" s="5" t="s">
        <v>239</v>
      </c>
      <c r="F5" s="2"/>
      <c r="G5" s="2"/>
      <c r="H5" s="7"/>
      <c r="I5" s="2"/>
      <c r="J5" s="2"/>
      <c r="K5" s="2"/>
      <c r="M5" s="54"/>
      <c r="N5" s="54"/>
    </row>
    <row r="6" spans="1:14" ht="15.75" customHeight="1">
      <c r="A6" s="55"/>
      <c r="B6" s="56"/>
      <c r="C6" s="57" t="s">
        <v>9</v>
      </c>
      <c r="D6" s="58" t="s">
        <v>10</v>
      </c>
      <c r="E6" s="58" t="s">
        <v>11</v>
      </c>
      <c r="F6" s="58" t="s">
        <v>12</v>
      </c>
      <c r="G6" s="58" t="s">
        <v>14</v>
      </c>
      <c r="H6" s="59" t="s">
        <v>15</v>
      </c>
      <c r="I6" s="58" t="s">
        <v>16</v>
      </c>
      <c r="J6" s="58" t="s">
        <v>240</v>
      </c>
      <c r="K6" s="60"/>
      <c r="M6" s="54"/>
      <c r="N6" s="54"/>
    </row>
    <row r="7" spans="1:14" ht="15.75" customHeight="1">
      <c r="A7" s="142" t="s">
        <v>22</v>
      </c>
      <c r="B7" s="143" t="s">
        <v>23</v>
      </c>
      <c r="C7" s="61" t="s">
        <v>241</v>
      </c>
      <c r="D7" s="62" t="s">
        <v>242</v>
      </c>
      <c r="E7" s="63" t="s">
        <v>243</v>
      </c>
      <c r="F7" s="62" t="s">
        <v>244</v>
      </c>
      <c r="G7" s="62" t="s">
        <v>245</v>
      </c>
      <c r="H7" s="62" t="s">
        <v>246</v>
      </c>
      <c r="I7" s="62" t="s">
        <v>247</v>
      </c>
      <c r="J7" s="64" t="s">
        <v>248</v>
      </c>
      <c r="K7" s="144" t="s">
        <v>249</v>
      </c>
      <c r="M7" s="54"/>
      <c r="N7" s="54"/>
    </row>
    <row r="8" spans="1:14">
      <c r="A8" s="130"/>
      <c r="B8" s="130"/>
      <c r="C8" s="145" t="s">
        <v>19</v>
      </c>
      <c r="D8" s="131" t="s">
        <v>250</v>
      </c>
      <c r="E8" s="131" t="s">
        <v>250</v>
      </c>
      <c r="F8" s="131" t="s">
        <v>250</v>
      </c>
      <c r="G8" s="131" t="s">
        <v>250</v>
      </c>
      <c r="H8" s="131" t="s">
        <v>250</v>
      </c>
      <c r="I8" s="131" t="s">
        <v>250</v>
      </c>
      <c r="J8" s="131" t="s">
        <v>250</v>
      </c>
      <c r="K8" s="126"/>
      <c r="M8" s="54"/>
      <c r="N8" s="54"/>
    </row>
    <row r="9" spans="1:14">
      <c r="A9" s="104"/>
      <c r="B9" s="104"/>
      <c r="C9" s="107"/>
      <c r="D9" s="104"/>
      <c r="E9" s="104"/>
      <c r="F9" s="104"/>
      <c r="G9" s="104"/>
      <c r="H9" s="104"/>
      <c r="I9" s="104"/>
      <c r="J9" s="104"/>
      <c r="K9" s="127"/>
      <c r="M9" s="54"/>
      <c r="N9" s="54"/>
    </row>
    <row r="10" spans="1:14" ht="15.75" customHeight="1">
      <c r="A10" s="65">
        <v>1</v>
      </c>
      <c r="B10" s="50" t="s">
        <v>24</v>
      </c>
      <c r="C10" s="50" t="s">
        <v>25</v>
      </c>
      <c r="D10" s="20"/>
      <c r="E10" s="66"/>
      <c r="F10" s="20"/>
      <c r="G10" s="20"/>
      <c r="H10" s="20"/>
      <c r="I10" s="20"/>
      <c r="J10" s="67"/>
      <c r="K10" s="67"/>
      <c r="M10" s="54">
        <f t="shared" ref="M10:M64" si="0">SUM(COUNTIF(D10:I10,"AB"),COUNTIF(D10:I10,"&lt;24"))</f>
        <v>0</v>
      </c>
      <c r="N10" s="54" t="e">
        <f t="shared" ref="N10:N64" si="1">SUM(COUNTIF(#REF!,"AB"),COUNTIF(#REF!,"&lt;12"))</f>
        <v>#REF!</v>
      </c>
    </row>
    <row r="11" spans="1:14" ht="15.75" customHeight="1">
      <c r="A11" s="68">
        <v>2</v>
      </c>
      <c r="B11" s="50" t="s">
        <v>26</v>
      </c>
      <c r="C11" s="50" t="s">
        <v>27</v>
      </c>
      <c r="D11" s="20"/>
      <c r="E11" s="66"/>
      <c r="F11" s="65"/>
      <c r="G11" s="20"/>
      <c r="H11" s="20"/>
      <c r="I11" s="20"/>
      <c r="J11" s="67"/>
      <c r="K11" s="67"/>
      <c r="M11" s="54">
        <f t="shared" si="0"/>
        <v>0</v>
      </c>
      <c r="N11" s="54" t="e">
        <f t="shared" si="1"/>
        <v>#REF!</v>
      </c>
    </row>
    <row r="12" spans="1:14" ht="15.75" customHeight="1">
      <c r="A12" s="68">
        <v>3</v>
      </c>
      <c r="B12" s="50" t="s">
        <v>28</v>
      </c>
      <c r="C12" s="50" t="s">
        <v>29</v>
      </c>
      <c r="D12" s="20"/>
      <c r="E12" s="66"/>
      <c r="F12" s="65"/>
      <c r="G12" s="20"/>
      <c r="H12" s="20"/>
      <c r="I12" s="20"/>
      <c r="J12" s="67"/>
      <c r="K12" s="67"/>
      <c r="M12" s="54">
        <f t="shared" si="0"/>
        <v>0</v>
      </c>
      <c r="N12" s="54" t="e">
        <f t="shared" si="1"/>
        <v>#REF!</v>
      </c>
    </row>
    <row r="13" spans="1:14" ht="15.75" customHeight="1">
      <c r="A13" s="68">
        <v>4</v>
      </c>
      <c r="B13" s="50" t="s">
        <v>30</v>
      </c>
      <c r="C13" s="50" t="s">
        <v>31</v>
      </c>
      <c r="D13" s="20"/>
      <c r="E13" s="66"/>
      <c r="F13" s="65"/>
      <c r="G13" s="20"/>
      <c r="H13" s="20"/>
      <c r="I13" s="20"/>
      <c r="J13" s="67"/>
      <c r="K13" s="67"/>
      <c r="M13" s="54">
        <f t="shared" si="0"/>
        <v>0</v>
      </c>
      <c r="N13" s="54" t="e">
        <f t="shared" si="1"/>
        <v>#REF!</v>
      </c>
    </row>
    <row r="14" spans="1:14" ht="15.75" customHeight="1">
      <c r="A14" s="68">
        <v>5</v>
      </c>
      <c r="B14" s="50" t="s">
        <v>32</v>
      </c>
      <c r="C14" s="50" t="s">
        <v>33</v>
      </c>
      <c r="D14" s="20"/>
      <c r="E14" s="66"/>
      <c r="F14" s="65"/>
      <c r="G14" s="20"/>
      <c r="H14" s="20"/>
      <c r="I14" s="20"/>
      <c r="J14" s="67"/>
      <c r="K14" s="67"/>
      <c r="M14" s="54">
        <f t="shared" si="0"/>
        <v>0</v>
      </c>
      <c r="N14" s="54" t="e">
        <f t="shared" si="1"/>
        <v>#REF!</v>
      </c>
    </row>
    <row r="15" spans="1:14" ht="15.75" customHeight="1">
      <c r="A15" s="68">
        <v>6</v>
      </c>
      <c r="B15" s="50" t="s">
        <v>34</v>
      </c>
      <c r="C15" s="50" t="s">
        <v>35</v>
      </c>
      <c r="D15" s="20"/>
      <c r="E15" s="66"/>
      <c r="F15" s="20"/>
      <c r="G15" s="20"/>
      <c r="H15" s="20"/>
      <c r="I15" s="20"/>
      <c r="J15" s="67"/>
      <c r="K15" s="67"/>
      <c r="M15" s="54">
        <f t="shared" si="0"/>
        <v>0</v>
      </c>
      <c r="N15" s="54" t="e">
        <f t="shared" si="1"/>
        <v>#REF!</v>
      </c>
    </row>
    <row r="16" spans="1:14" ht="15.75" customHeight="1">
      <c r="A16" s="68">
        <v>7</v>
      </c>
      <c r="B16" s="50" t="s">
        <v>36</v>
      </c>
      <c r="C16" s="50" t="s">
        <v>37</v>
      </c>
      <c r="D16" s="20"/>
      <c r="E16" s="66"/>
      <c r="F16" s="65"/>
      <c r="G16" s="20"/>
      <c r="H16" s="20"/>
      <c r="I16" s="20"/>
      <c r="J16" s="67"/>
      <c r="K16" s="67"/>
      <c r="M16" s="54">
        <f t="shared" si="0"/>
        <v>0</v>
      </c>
      <c r="N16" s="54" t="e">
        <f t="shared" si="1"/>
        <v>#REF!</v>
      </c>
    </row>
    <row r="17" spans="1:14" ht="15.75" customHeight="1">
      <c r="A17" s="68">
        <v>8</v>
      </c>
      <c r="B17" s="50" t="s">
        <v>38</v>
      </c>
      <c r="C17" s="50" t="s">
        <v>39</v>
      </c>
      <c r="D17" s="20"/>
      <c r="E17" s="66"/>
      <c r="F17" s="65"/>
      <c r="G17" s="20"/>
      <c r="H17" s="20"/>
      <c r="I17" s="20"/>
      <c r="J17" s="67"/>
      <c r="K17" s="67"/>
      <c r="M17" s="54">
        <f t="shared" si="0"/>
        <v>0</v>
      </c>
      <c r="N17" s="54" t="e">
        <f t="shared" si="1"/>
        <v>#REF!</v>
      </c>
    </row>
    <row r="18" spans="1:14" ht="15.75" customHeight="1">
      <c r="A18" s="68">
        <v>9</v>
      </c>
      <c r="B18" s="50" t="s">
        <v>40</v>
      </c>
      <c r="C18" s="50" t="s">
        <v>41</v>
      </c>
      <c r="D18" s="20"/>
      <c r="E18" s="66"/>
      <c r="F18" s="65"/>
      <c r="G18" s="20"/>
      <c r="H18" s="20"/>
      <c r="I18" s="20"/>
      <c r="J18" s="67"/>
      <c r="K18" s="67"/>
      <c r="M18" s="54">
        <f t="shared" si="0"/>
        <v>0</v>
      </c>
      <c r="N18" s="54" t="e">
        <f t="shared" si="1"/>
        <v>#REF!</v>
      </c>
    </row>
    <row r="19" spans="1:14" ht="15.75" customHeight="1">
      <c r="A19" s="68">
        <v>10</v>
      </c>
      <c r="B19" s="50" t="s">
        <v>42</v>
      </c>
      <c r="C19" s="50" t="s">
        <v>43</v>
      </c>
      <c r="D19" s="20"/>
      <c r="E19" s="66"/>
      <c r="F19" s="65"/>
      <c r="G19" s="20"/>
      <c r="H19" s="20"/>
      <c r="I19" s="20"/>
      <c r="J19" s="67"/>
      <c r="K19" s="67"/>
      <c r="M19" s="54">
        <f t="shared" si="0"/>
        <v>0</v>
      </c>
      <c r="N19" s="54" t="e">
        <f t="shared" si="1"/>
        <v>#REF!</v>
      </c>
    </row>
    <row r="20" spans="1:14" ht="15.75" customHeight="1">
      <c r="A20" s="68">
        <v>11</v>
      </c>
      <c r="B20" s="50" t="s">
        <v>44</v>
      </c>
      <c r="C20" s="50" t="s">
        <v>45</v>
      </c>
      <c r="D20" s="20"/>
      <c r="E20" s="66"/>
      <c r="F20" s="65"/>
      <c r="G20" s="20"/>
      <c r="H20" s="20"/>
      <c r="I20" s="20"/>
      <c r="J20" s="67"/>
      <c r="K20" s="67"/>
      <c r="M20" s="54">
        <f t="shared" si="0"/>
        <v>0</v>
      </c>
      <c r="N20" s="54" t="e">
        <f t="shared" si="1"/>
        <v>#REF!</v>
      </c>
    </row>
    <row r="21" spans="1:14" ht="15.75" customHeight="1">
      <c r="A21" s="68">
        <v>12</v>
      </c>
      <c r="B21" s="50" t="s">
        <v>46</v>
      </c>
      <c r="C21" s="50" t="s">
        <v>47</v>
      </c>
      <c r="D21" s="20"/>
      <c r="E21" s="66"/>
      <c r="F21" s="65"/>
      <c r="G21" s="20"/>
      <c r="H21" s="20"/>
      <c r="I21" s="20"/>
      <c r="J21" s="67"/>
      <c r="K21" s="67"/>
      <c r="M21" s="54">
        <f t="shared" si="0"/>
        <v>0</v>
      </c>
      <c r="N21" s="54" t="e">
        <f t="shared" si="1"/>
        <v>#REF!</v>
      </c>
    </row>
    <row r="22" spans="1:14" ht="15.75" customHeight="1">
      <c r="A22" s="68">
        <v>13</v>
      </c>
      <c r="B22" s="50" t="s">
        <v>48</v>
      </c>
      <c r="C22" s="50" t="s">
        <v>49</v>
      </c>
      <c r="D22" s="20"/>
      <c r="E22" s="66"/>
      <c r="F22" s="65"/>
      <c r="G22" s="20"/>
      <c r="H22" s="20"/>
      <c r="I22" s="20"/>
      <c r="J22" s="67"/>
      <c r="K22" s="67"/>
      <c r="M22" s="54">
        <f t="shared" si="0"/>
        <v>0</v>
      </c>
      <c r="N22" s="54" t="e">
        <f t="shared" si="1"/>
        <v>#REF!</v>
      </c>
    </row>
    <row r="23" spans="1:14" ht="15.75" customHeight="1">
      <c r="A23" s="68">
        <v>14</v>
      </c>
      <c r="B23" s="50" t="s">
        <v>50</v>
      </c>
      <c r="C23" s="50" t="s">
        <v>51</v>
      </c>
      <c r="D23" s="20"/>
      <c r="E23" s="66"/>
      <c r="F23" s="20"/>
      <c r="G23" s="20"/>
      <c r="H23" s="20"/>
      <c r="I23" s="20"/>
      <c r="J23" s="67"/>
      <c r="K23" s="67"/>
      <c r="M23" s="54">
        <f t="shared" si="0"/>
        <v>0</v>
      </c>
      <c r="N23" s="54" t="e">
        <f t="shared" si="1"/>
        <v>#REF!</v>
      </c>
    </row>
    <row r="24" spans="1:14" ht="15.75" customHeight="1">
      <c r="A24" s="68">
        <v>15</v>
      </c>
      <c r="B24" s="50" t="s">
        <v>52</v>
      </c>
      <c r="C24" s="50" t="s">
        <v>53</v>
      </c>
      <c r="D24" s="20"/>
      <c r="E24" s="66"/>
      <c r="F24" s="20"/>
      <c r="G24" s="20"/>
      <c r="H24" s="20"/>
      <c r="I24" s="20"/>
      <c r="J24" s="67"/>
      <c r="K24" s="67"/>
      <c r="M24" s="54">
        <f t="shared" si="0"/>
        <v>0</v>
      </c>
      <c r="N24" s="54" t="e">
        <f t="shared" si="1"/>
        <v>#REF!</v>
      </c>
    </row>
    <row r="25" spans="1:14" ht="15.75" customHeight="1">
      <c r="A25" s="68">
        <v>16</v>
      </c>
      <c r="B25" s="50" t="s">
        <v>54</v>
      </c>
      <c r="C25" s="50" t="s">
        <v>55</v>
      </c>
      <c r="D25" s="20"/>
      <c r="E25" s="66"/>
      <c r="F25" s="20"/>
      <c r="G25" s="20"/>
      <c r="H25" s="20"/>
      <c r="I25" s="20"/>
      <c r="J25" s="67"/>
      <c r="K25" s="67"/>
      <c r="M25" s="54">
        <f t="shared" si="0"/>
        <v>0</v>
      </c>
      <c r="N25" s="54" t="e">
        <f t="shared" si="1"/>
        <v>#REF!</v>
      </c>
    </row>
    <row r="26" spans="1:14" ht="15.75" customHeight="1">
      <c r="A26" s="68">
        <v>17</v>
      </c>
      <c r="B26" s="50" t="s">
        <v>56</v>
      </c>
      <c r="C26" s="50" t="s">
        <v>57</v>
      </c>
      <c r="D26" s="20"/>
      <c r="E26" s="66"/>
      <c r="F26" s="20"/>
      <c r="G26" s="20"/>
      <c r="H26" s="20"/>
      <c r="I26" s="20"/>
      <c r="J26" s="67"/>
      <c r="K26" s="67"/>
      <c r="M26" s="54">
        <f t="shared" si="0"/>
        <v>0</v>
      </c>
      <c r="N26" s="54" t="e">
        <f t="shared" si="1"/>
        <v>#REF!</v>
      </c>
    </row>
    <row r="27" spans="1:14" ht="15.75" customHeight="1">
      <c r="A27" s="68">
        <v>18</v>
      </c>
      <c r="B27" s="50" t="s">
        <v>58</v>
      </c>
      <c r="C27" s="50" t="s">
        <v>59</v>
      </c>
      <c r="D27" s="20"/>
      <c r="E27" s="66"/>
      <c r="F27" s="65"/>
      <c r="G27" s="20"/>
      <c r="H27" s="20"/>
      <c r="I27" s="20"/>
      <c r="J27" s="67"/>
      <c r="K27" s="67"/>
      <c r="M27" s="54">
        <f t="shared" si="0"/>
        <v>0</v>
      </c>
      <c r="N27" s="54" t="e">
        <f t="shared" si="1"/>
        <v>#REF!</v>
      </c>
    </row>
    <row r="28" spans="1:14" ht="15.75" customHeight="1">
      <c r="A28" s="68">
        <v>19</v>
      </c>
      <c r="B28" s="50" t="s">
        <v>60</v>
      </c>
      <c r="C28" s="50" t="s">
        <v>61</v>
      </c>
      <c r="D28" s="20"/>
      <c r="E28" s="66"/>
      <c r="F28" s="65"/>
      <c r="G28" s="20"/>
      <c r="H28" s="20"/>
      <c r="I28" s="20"/>
      <c r="J28" s="67"/>
      <c r="K28" s="67"/>
      <c r="M28" s="54">
        <f t="shared" si="0"/>
        <v>0</v>
      </c>
      <c r="N28" s="54" t="e">
        <f t="shared" si="1"/>
        <v>#REF!</v>
      </c>
    </row>
    <row r="29" spans="1:14" ht="15.75" customHeight="1">
      <c r="A29" s="68">
        <v>20</v>
      </c>
      <c r="B29" s="50" t="s">
        <v>62</v>
      </c>
      <c r="C29" s="50" t="s">
        <v>63</v>
      </c>
      <c r="D29" s="20"/>
      <c r="E29" s="66"/>
      <c r="F29" s="20"/>
      <c r="G29" s="20"/>
      <c r="H29" s="20"/>
      <c r="I29" s="20"/>
      <c r="J29" s="67"/>
      <c r="K29" s="67"/>
      <c r="M29" s="54">
        <f t="shared" si="0"/>
        <v>0</v>
      </c>
      <c r="N29" s="54" t="e">
        <f t="shared" si="1"/>
        <v>#REF!</v>
      </c>
    </row>
    <row r="30" spans="1:14" ht="15.75" customHeight="1">
      <c r="A30" s="68">
        <v>21</v>
      </c>
      <c r="B30" s="50" t="s">
        <v>64</v>
      </c>
      <c r="C30" s="50" t="s">
        <v>65</v>
      </c>
      <c r="D30" s="20"/>
      <c r="E30" s="66"/>
      <c r="F30" s="65"/>
      <c r="G30" s="20"/>
      <c r="H30" s="20"/>
      <c r="I30" s="20"/>
      <c r="J30" s="67"/>
      <c r="K30" s="67"/>
      <c r="M30" s="54">
        <f t="shared" si="0"/>
        <v>0</v>
      </c>
      <c r="N30" s="54" t="e">
        <f t="shared" si="1"/>
        <v>#REF!</v>
      </c>
    </row>
    <row r="31" spans="1:14" ht="15.75" customHeight="1">
      <c r="A31" s="68">
        <v>22</v>
      </c>
      <c r="B31" s="50" t="s">
        <v>66</v>
      </c>
      <c r="C31" s="50" t="s">
        <v>67</v>
      </c>
      <c r="D31" s="20"/>
      <c r="E31" s="66"/>
      <c r="F31" s="65"/>
      <c r="G31" s="20"/>
      <c r="H31" s="20"/>
      <c r="I31" s="20"/>
      <c r="J31" s="67"/>
      <c r="K31" s="67"/>
      <c r="M31" s="54">
        <f t="shared" si="0"/>
        <v>0</v>
      </c>
      <c r="N31" s="54" t="e">
        <f t="shared" si="1"/>
        <v>#REF!</v>
      </c>
    </row>
    <row r="32" spans="1:14" ht="15.75" customHeight="1">
      <c r="A32" s="68">
        <v>23</v>
      </c>
      <c r="B32" s="50" t="s">
        <v>68</v>
      </c>
      <c r="C32" s="50" t="s">
        <v>69</v>
      </c>
      <c r="D32" s="20"/>
      <c r="E32" s="66"/>
      <c r="F32" s="65"/>
      <c r="G32" s="20"/>
      <c r="H32" s="20"/>
      <c r="I32" s="20"/>
      <c r="J32" s="67"/>
      <c r="K32" s="67"/>
      <c r="M32" s="54">
        <f t="shared" si="0"/>
        <v>0</v>
      </c>
      <c r="N32" s="54" t="e">
        <f t="shared" si="1"/>
        <v>#REF!</v>
      </c>
    </row>
    <row r="33" spans="1:14">
      <c r="A33" s="68">
        <v>24</v>
      </c>
      <c r="B33" s="50" t="s">
        <v>70</v>
      </c>
      <c r="C33" s="50" t="s">
        <v>71</v>
      </c>
      <c r="D33" s="20"/>
      <c r="E33" s="66"/>
      <c r="F33" s="65"/>
      <c r="G33" s="20"/>
      <c r="H33" s="20"/>
      <c r="I33" s="20"/>
      <c r="J33" s="67"/>
      <c r="K33" s="67"/>
      <c r="M33" s="54">
        <f t="shared" si="0"/>
        <v>0</v>
      </c>
      <c r="N33" s="54" t="e">
        <f t="shared" si="1"/>
        <v>#REF!</v>
      </c>
    </row>
    <row r="34" spans="1:14">
      <c r="A34" s="68">
        <v>25</v>
      </c>
      <c r="B34" s="50" t="s">
        <v>72</v>
      </c>
      <c r="C34" s="50" t="s">
        <v>73</v>
      </c>
      <c r="D34" s="20"/>
      <c r="E34" s="66"/>
      <c r="F34" s="65"/>
      <c r="G34" s="20"/>
      <c r="H34" s="20"/>
      <c r="I34" s="20"/>
      <c r="J34" s="67"/>
      <c r="K34" s="67"/>
      <c r="M34" s="54">
        <f t="shared" si="0"/>
        <v>0</v>
      </c>
      <c r="N34" s="54" t="e">
        <f t="shared" si="1"/>
        <v>#REF!</v>
      </c>
    </row>
    <row r="35" spans="1:14">
      <c r="A35" s="68">
        <v>26</v>
      </c>
      <c r="B35" s="50" t="s">
        <v>74</v>
      </c>
      <c r="C35" s="50" t="s">
        <v>75</v>
      </c>
      <c r="D35" s="20"/>
      <c r="E35" s="66"/>
      <c r="F35" s="65"/>
      <c r="G35" s="20"/>
      <c r="H35" s="20"/>
      <c r="I35" s="20"/>
      <c r="J35" s="67"/>
      <c r="K35" s="67"/>
      <c r="M35" s="54">
        <f t="shared" si="0"/>
        <v>0</v>
      </c>
      <c r="N35" s="54" t="e">
        <f t="shared" si="1"/>
        <v>#REF!</v>
      </c>
    </row>
    <row r="36" spans="1:14">
      <c r="A36" s="68">
        <v>27</v>
      </c>
      <c r="B36" s="50" t="s">
        <v>76</v>
      </c>
      <c r="C36" s="50" t="s">
        <v>77</v>
      </c>
      <c r="D36" s="20"/>
      <c r="E36" s="66"/>
      <c r="F36" s="65"/>
      <c r="G36" s="20"/>
      <c r="H36" s="20"/>
      <c r="I36" s="20"/>
      <c r="J36" s="67"/>
      <c r="K36" s="67"/>
      <c r="M36" s="54">
        <f t="shared" si="0"/>
        <v>0</v>
      </c>
      <c r="N36" s="54" t="e">
        <f t="shared" si="1"/>
        <v>#REF!</v>
      </c>
    </row>
    <row r="37" spans="1:14">
      <c r="A37" s="68">
        <v>28</v>
      </c>
      <c r="B37" s="50" t="s">
        <v>78</v>
      </c>
      <c r="C37" s="50" t="s">
        <v>79</v>
      </c>
      <c r="D37" s="20"/>
      <c r="E37" s="66"/>
      <c r="F37" s="20"/>
      <c r="G37" s="20"/>
      <c r="H37" s="20"/>
      <c r="I37" s="20"/>
      <c r="J37" s="67"/>
      <c r="K37" s="67"/>
      <c r="M37" s="54">
        <f t="shared" si="0"/>
        <v>0</v>
      </c>
      <c r="N37" s="54" t="e">
        <f t="shared" si="1"/>
        <v>#REF!</v>
      </c>
    </row>
    <row r="38" spans="1:14">
      <c r="A38" s="68">
        <v>29</v>
      </c>
      <c r="B38" s="50" t="s">
        <v>80</v>
      </c>
      <c r="C38" s="50" t="s">
        <v>81</v>
      </c>
      <c r="D38" s="20"/>
      <c r="E38" s="66"/>
      <c r="F38" s="65"/>
      <c r="G38" s="20"/>
      <c r="H38" s="20"/>
      <c r="I38" s="20"/>
      <c r="J38" s="67"/>
      <c r="K38" s="67"/>
      <c r="M38" s="54">
        <f t="shared" si="0"/>
        <v>0</v>
      </c>
      <c r="N38" s="54" t="e">
        <f t="shared" si="1"/>
        <v>#REF!</v>
      </c>
    </row>
    <row r="39" spans="1:14">
      <c r="A39" s="68">
        <v>30</v>
      </c>
      <c r="B39" s="50" t="s">
        <v>82</v>
      </c>
      <c r="C39" s="50" t="s">
        <v>83</v>
      </c>
      <c r="D39" s="20"/>
      <c r="E39" s="66"/>
      <c r="F39" s="65"/>
      <c r="G39" s="20"/>
      <c r="H39" s="20"/>
      <c r="I39" s="20"/>
      <c r="J39" s="67"/>
      <c r="K39" s="67"/>
      <c r="M39" s="54">
        <f t="shared" si="0"/>
        <v>0</v>
      </c>
      <c r="N39" s="54" t="e">
        <f t="shared" si="1"/>
        <v>#REF!</v>
      </c>
    </row>
    <row r="40" spans="1:14">
      <c r="A40" s="68">
        <v>31</v>
      </c>
      <c r="B40" s="50" t="s">
        <v>84</v>
      </c>
      <c r="C40" s="50" t="s">
        <v>85</v>
      </c>
      <c r="D40" s="20"/>
      <c r="E40" s="66"/>
      <c r="F40" s="65"/>
      <c r="G40" s="20"/>
      <c r="H40" s="20"/>
      <c r="I40" s="20"/>
      <c r="J40" s="67"/>
      <c r="K40" s="67"/>
      <c r="M40" s="54">
        <f t="shared" si="0"/>
        <v>0</v>
      </c>
      <c r="N40" s="54" t="e">
        <f t="shared" si="1"/>
        <v>#REF!</v>
      </c>
    </row>
    <row r="41" spans="1:14">
      <c r="A41" s="68">
        <v>32</v>
      </c>
      <c r="B41" s="50" t="s">
        <v>86</v>
      </c>
      <c r="C41" s="50" t="s">
        <v>87</v>
      </c>
      <c r="D41" s="20"/>
      <c r="E41" s="66"/>
      <c r="F41" s="65"/>
      <c r="G41" s="20"/>
      <c r="H41" s="20"/>
      <c r="I41" s="20"/>
      <c r="J41" s="67"/>
      <c r="K41" s="67"/>
      <c r="M41" s="54">
        <f t="shared" si="0"/>
        <v>0</v>
      </c>
      <c r="N41" s="54" t="e">
        <f t="shared" si="1"/>
        <v>#REF!</v>
      </c>
    </row>
    <row r="42" spans="1:14">
      <c r="A42" s="68">
        <v>33</v>
      </c>
      <c r="B42" s="50" t="s">
        <v>88</v>
      </c>
      <c r="C42" s="50" t="s">
        <v>89</v>
      </c>
      <c r="D42" s="20"/>
      <c r="E42" s="66"/>
      <c r="F42" s="65"/>
      <c r="G42" s="20"/>
      <c r="H42" s="20"/>
      <c r="I42" s="20"/>
      <c r="J42" s="67"/>
      <c r="K42" s="67"/>
      <c r="M42" s="54">
        <f t="shared" si="0"/>
        <v>0</v>
      </c>
      <c r="N42" s="54" t="e">
        <f t="shared" si="1"/>
        <v>#REF!</v>
      </c>
    </row>
    <row r="43" spans="1:14">
      <c r="A43" s="68">
        <v>34</v>
      </c>
      <c r="B43" s="50" t="s">
        <v>90</v>
      </c>
      <c r="C43" s="50" t="s">
        <v>91</v>
      </c>
      <c r="D43" s="20"/>
      <c r="E43" s="66"/>
      <c r="F43" s="65"/>
      <c r="G43" s="20"/>
      <c r="H43" s="20"/>
      <c r="I43" s="20"/>
      <c r="J43" s="67"/>
      <c r="K43" s="67"/>
      <c r="M43" s="54">
        <f t="shared" si="0"/>
        <v>0</v>
      </c>
      <c r="N43" s="54" t="e">
        <f t="shared" si="1"/>
        <v>#REF!</v>
      </c>
    </row>
    <row r="44" spans="1:14">
      <c r="A44" s="68">
        <v>35</v>
      </c>
      <c r="B44" s="50" t="s">
        <v>92</v>
      </c>
      <c r="C44" s="50" t="s">
        <v>93</v>
      </c>
      <c r="D44" s="20"/>
      <c r="E44" s="66"/>
      <c r="F44" s="20"/>
      <c r="G44" s="20"/>
      <c r="H44" s="20"/>
      <c r="I44" s="20"/>
      <c r="J44" s="67"/>
      <c r="K44" s="67"/>
      <c r="M44" s="54">
        <f t="shared" si="0"/>
        <v>0</v>
      </c>
      <c r="N44" s="54" t="e">
        <f t="shared" si="1"/>
        <v>#REF!</v>
      </c>
    </row>
    <row r="45" spans="1:14">
      <c r="A45" s="68">
        <v>36</v>
      </c>
      <c r="B45" s="50" t="s">
        <v>94</v>
      </c>
      <c r="C45" s="50" t="s">
        <v>95</v>
      </c>
      <c r="D45" s="20"/>
      <c r="E45" s="66"/>
      <c r="F45" s="20"/>
      <c r="G45" s="20"/>
      <c r="H45" s="20"/>
      <c r="I45" s="20"/>
      <c r="J45" s="67"/>
      <c r="K45" s="67"/>
      <c r="M45" s="54">
        <f t="shared" si="0"/>
        <v>0</v>
      </c>
      <c r="N45" s="54" t="e">
        <f t="shared" si="1"/>
        <v>#REF!</v>
      </c>
    </row>
    <row r="46" spans="1:14">
      <c r="A46" s="68">
        <v>37</v>
      </c>
      <c r="B46" s="50" t="s">
        <v>96</v>
      </c>
      <c r="C46" s="50" t="s">
        <v>97</v>
      </c>
      <c r="D46" s="20"/>
      <c r="E46" s="66"/>
      <c r="F46" s="20"/>
      <c r="G46" s="20"/>
      <c r="H46" s="20"/>
      <c r="I46" s="20"/>
      <c r="J46" s="67"/>
      <c r="K46" s="67"/>
      <c r="M46" s="54">
        <f t="shared" si="0"/>
        <v>0</v>
      </c>
      <c r="N46" s="54" t="e">
        <f t="shared" si="1"/>
        <v>#REF!</v>
      </c>
    </row>
    <row r="47" spans="1:14">
      <c r="A47" s="68">
        <v>38</v>
      </c>
      <c r="B47" s="50" t="s">
        <v>98</v>
      </c>
      <c r="C47" s="50" t="s">
        <v>99</v>
      </c>
      <c r="D47" s="20"/>
      <c r="E47" s="66"/>
      <c r="F47" s="20"/>
      <c r="G47" s="20"/>
      <c r="H47" s="20"/>
      <c r="I47" s="20"/>
      <c r="J47" s="67"/>
      <c r="K47" s="67"/>
      <c r="M47" s="54">
        <f t="shared" si="0"/>
        <v>0</v>
      </c>
      <c r="N47" s="54" t="e">
        <f t="shared" si="1"/>
        <v>#REF!</v>
      </c>
    </row>
    <row r="48" spans="1:14">
      <c r="A48" s="68">
        <v>39</v>
      </c>
      <c r="B48" s="50" t="s">
        <v>100</v>
      </c>
      <c r="C48" s="50" t="s">
        <v>101</v>
      </c>
      <c r="D48" s="20"/>
      <c r="E48" s="66"/>
      <c r="F48" s="20"/>
      <c r="G48" s="20"/>
      <c r="H48" s="20"/>
      <c r="I48" s="20"/>
      <c r="J48" s="67"/>
      <c r="K48" s="67"/>
      <c r="M48" s="54">
        <f t="shared" si="0"/>
        <v>0</v>
      </c>
      <c r="N48" s="54" t="e">
        <f t="shared" si="1"/>
        <v>#REF!</v>
      </c>
    </row>
    <row r="49" spans="1:14">
      <c r="A49" s="68">
        <v>40</v>
      </c>
      <c r="B49" s="50" t="s">
        <v>102</v>
      </c>
      <c r="C49" s="50" t="s">
        <v>103</v>
      </c>
      <c r="D49" s="20"/>
      <c r="E49" s="66"/>
      <c r="F49" s="65"/>
      <c r="G49" s="20"/>
      <c r="H49" s="20"/>
      <c r="I49" s="20"/>
      <c r="J49" s="67"/>
      <c r="K49" s="67"/>
      <c r="M49" s="54">
        <f t="shared" si="0"/>
        <v>0</v>
      </c>
      <c r="N49" s="54" t="e">
        <f t="shared" si="1"/>
        <v>#REF!</v>
      </c>
    </row>
    <row r="50" spans="1:14">
      <c r="A50" s="68">
        <v>41</v>
      </c>
      <c r="B50" s="50" t="s">
        <v>104</v>
      </c>
      <c r="C50" s="50" t="s">
        <v>105</v>
      </c>
      <c r="D50" s="20"/>
      <c r="E50" s="66"/>
      <c r="F50" s="20"/>
      <c r="G50" s="20"/>
      <c r="H50" s="20"/>
      <c r="I50" s="20"/>
      <c r="J50" s="67"/>
      <c r="K50" s="67"/>
      <c r="M50" s="54">
        <f t="shared" si="0"/>
        <v>0</v>
      </c>
      <c r="N50" s="54" t="e">
        <f t="shared" si="1"/>
        <v>#REF!</v>
      </c>
    </row>
    <row r="51" spans="1:14">
      <c r="A51" s="68">
        <v>42</v>
      </c>
      <c r="B51" s="50" t="s">
        <v>106</v>
      </c>
      <c r="C51" s="50" t="s">
        <v>107</v>
      </c>
      <c r="D51" s="20"/>
      <c r="E51" s="66"/>
      <c r="F51" s="65"/>
      <c r="G51" s="20"/>
      <c r="H51" s="20"/>
      <c r="I51" s="20"/>
      <c r="J51" s="67"/>
      <c r="K51" s="67"/>
      <c r="M51" s="54">
        <f t="shared" si="0"/>
        <v>0</v>
      </c>
      <c r="N51" s="54" t="e">
        <f t="shared" si="1"/>
        <v>#REF!</v>
      </c>
    </row>
    <row r="52" spans="1:14">
      <c r="A52" s="68">
        <v>43</v>
      </c>
      <c r="B52" s="50" t="s">
        <v>108</v>
      </c>
      <c r="C52" s="50" t="s">
        <v>109</v>
      </c>
      <c r="D52" s="20"/>
      <c r="E52" s="66"/>
      <c r="F52" s="65"/>
      <c r="G52" s="20"/>
      <c r="H52" s="20"/>
      <c r="I52" s="20"/>
      <c r="J52" s="67"/>
      <c r="K52" s="67"/>
      <c r="M52" s="54">
        <f t="shared" si="0"/>
        <v>0</v>
      </c>
      <c r="N52" s="54" t="e">
        <f t="shared" si="1"/>
        <v>#REF!</v>
      </c>
    </row>
    <row r="53" spans="1:14">
      <c r="A53" s="68">
        <v>44</v>
      </c>
      <c r="B53" s="50" t="s">
        <v>110</v>
      </c>
      <c r="C53" s="50" t="s">
        <v>111</v>
      </c>
      <c r="D53" s="20"/>
      <c r="E53" s="66"/>
      <c r="F53" s="65"/>
      <c r="G53" s="20"/>
      <c r="H53" s="20"/>
      <c r="I53" s="20"/>
      <c r="J53" s="67"/>
      <c r="K53" s="67"/>
      <c r="M53" s="54">
        <f t="shared" si="0"/>
        <v>0</v>
      </c>
      <c r="N53" s="54" t="e">
        <f t="shared" si="1"/>
        <v>#REF!</v>
      </c>
    </row>
    <row r="54" spans="1:14">
      <c r="A54" s="68">
        <v>45</v>
      </c>
      <c r="B54" s="50" t="s">
        <v>112</v>
      </c>
      <c r="C54" s="50" t="s">
        <v>113</v>
      </c>
      <c r="D54" s="20"/>
      <c r="E54" s="66"/>
      <c r="F54" s="65"/>
      <c r="G54" s="20"/>
      <c r="H54" s="20"/>
      <c r="I54" s="20"/>
      <c r="J54" s="67"/>
      <c r="K54" s="67"/>
      <c r="M54" s="54">
        <f t="shared" si="0"/>
        <v>0</v>
      </c>
      <c r="N54" s="54" t="e">
        <f t="shared" si="1"/>
        <v>#REF!</v>
      </c>
    </row>
    <row r="55" spans="1:14">
      <c r="A55" s="68">
        <v>46</v>
      </c>
      <c r="B55" s="50" t="s">
        <v>114</v>
      </c>
      <c r="C55" s="50" t="s">
        <v>115</v>
      </c>
      <c r="D55" s="20"/>
      <c r="E55" s="66"/>
      <c r="F55" s="20"/>
      <c r="G55" s="20"/>
      <c r="H55" s="20"/>
      <c r="I55" s="20"/>
      <c r="J55" s="67"/>
      <c r="K55" s="67"/>
      <c r="M55" s="54">
        <f t="shared" si="0"/>
        <v>0</v>
      </c>
      <c r="N55" s="54" t="e">
        <f t="shared" si="1"/>
        <v>#REF!</v>
      </c>
    </row>
    <row r="56" spans="1:14">
      <c r="A56" s="68">
        <v>47</v>
      </c>
      <c r="B56" s="50" t="s">
        <v>116</v>
      </c>
      <c r="C56" s="50" t="s">
        <v>117</v>
      </c>
      <c r="D56" s="20"/>
      <c r="E56" s="66"/>
      <c r="F56" s="20"/>
      <c r="G56" s="20"/>
      <c r="H56" s="20"/>
      <c r="I56" s="20"/>
      <c r="J56" s="67"/>
      <c r="K56" s="67"/>
      <c r="M56" s="54">
        <f t="shared" si="0"/>
        <v>0</v>
      </c>
      <c r="N56" s="54" t="e">
        <f t="shared" si="1"/>
        <v>#REF!</v>
      </c>
    </row>
    <row r="57" spans="1:14">
      <c r="A57" s="68">
        <v>48</v>
      </c>
      <c r="B57" s="50" t="s">
        <v>118</v>
      </c>
      <c r="C57" s="50" t="s">
        <v>119</v>
      </c>
      <c r="D57" s="20"/>
      <c r="E57" s="66"/>
      <c r="F57" s="65"/>
      <c r="G57" s="20"/>
      <c r="H57" s="20"/>
      <c r="I57" s="20"/>
      <c r="J57" s="67"/>
      <c r="K57" s="67"/>
      <c r="M57" s="54">
        <f t="shared" si="0"/>
        <v>0</v>
      </c>
      <c r="N57" s="54" t="e">
        <f t="shared" si="1"/>
        <v>#REF!</v>
      </c>
    </row>
    <row r="58" spans="1:14">
      <c r="A58" s="68">
        <v>49</v>
      </c>
      <c r="B58" s="50" t="s">
        <v>120</v>
      </c>
      <c r="C58" s="50" t="s">
        <v>121</v>
      </c>
      <c r="D58" s="20"/>
      <c r="E58" s="66"/>
      <c r="F58" s="65"/>
      <c r="G58" s="20"/>
      <c r="H58" s="20"/>
      <c r="I58" s="20"/>
      <c r="J58" s="67"/>
      <c r="K58" s="67"/>
      <c r="M58" s="54">
        <f t="shared" si="0"/>
        <v>0</v>
      </c>
      <c r="N58" s="54" t="e">
        <f t="shared" si="1"/>
        <v>#REF!</v>
      </c>
    </row>
    <row r="59" spans="1:14">
      <c r="A59" s="68">
        <v>50</v>
      </c>
      <c r="B59" s="50" t="s">
        <v>122</v>
      </c>
      <c r="C59" s="50" t="s">
        <v>123</v>
      </c>
      <c r="D59" s="20"/>
      <c r="E59" s="66"/>
      <c r="F59" s="65"/>
      <c r="G59" s="20"/>
      <c r="H59" s="20"/>
      <c r="I59" s="20"/>
      <c r="J59" s="67"/>
      <c r="K59" s="67"/>
      <c r="M59" s="54">
        <f t="shared" si="0"/>
        <v>0</v>
      </c>
      <c r="N59" s="54" t="e">
        <f t="shared" si="1"/>
        <v>#REF!</v>
      </c>
    </row>
    <row r="60" spans="1:14">
      <c r="A60" s="68">
        <v>51</v>
      </c>
      <c r="B60" s="50" t="s">
        <v>124</v>
      </c>
      <c r="C60" s="50" t="s">
        <v>125</v>
      </c>
      <c r="D60" s="20"/>
      <c r="E60" s="66"/>
      <c r="F60" s="65"/>
      <c r="G60" s="20"/>
      <c r="H60" s="20"/>
      <c r="I60" s="20"/>
      <c r="J60" s="67"/>
      <c r="K60" s="67"/>
      <c r="M60" s="54">
        <f t="shared" si="0"/>
        <v>0</v>
      </c>
      <c r="N60" s="54" t="e">
        <f t="shared" si="1"/>
        <v>#REF!</v>
      </c>
    </row>
    <row r="61" spans="1:14">
      <c r="A61" s="68">
        <v>52</v>
      </c>
      <c r="B61" s="50" t="s">
        <v>126</v>
      </c>
      <c r="C61" s="50" t="s">
        <v>127</v>
      </c>
      <c r="D61" s="20"/>
      <c r="E61" s="66"/>
      <c r="F61" s="65"/>
      <c r="G61" s="20"/>
      <c r="H61" s="20"/>
      <c r="I61" s="20"/>
      <c r="J61" s="67"/>
      <c r="K61" s="67"/>
      <c r="M61" s="54">
        <f t="shared" si="0"/>
        <v>0</v>
      </c>
      <c r="N61" s="54" t="e">
        <f t="shared" si="1"/>
        <v>#REF!</v>
      </c>
    </row>
    <row r="62" spans="1:14">
      <c r="A62" s="68">
        <v>53</v>
      </c>
      <c r="B62" s="51" t="s">
        <v>128</v>
      </c>
      <c r="C62" s="51" t="s">
        <v>129</v>
      </c>
      <c r="D62" s="20"/>
      <c r="E62" s="66"/>
      <c r="F62" s="65"/>
      <c r="G62" s="20"/>
      <c r="H62" s="20"/>
      <c r="I62" s="20"/>
      <c r="J62" s="67"/>
      <c r="K62" s="67"/>
      <c r="M62" s="54">
        <f t="shared" si="0"/>
        <v>0</v>
      </c>
      <c r="N62" s="54" t="e">
        <f t="shared" si="1"/>
        <v>#REF!</v>
      </c>
    </row>
    <row r="63" spans="1:14">
      <c r="A63" s="68">
        <v>54</v>
      </c>
      <c r="B63" s="50" t="s">
        <v>130</v>
      </c>
      <c r="C63" s="50" t="s">
        <v>131</v>
      </c>
      <c r="D63" s="20"/>
      <c r="E63" s="66"/>
      <c r="F63" s="65"/>
      <c r="G63" s="20"/>
      <c r="H63" s="20"/>
      <c r="I63" s="20"/>
      <c r="J63" s="67"/>
      <c r="K63" s="67"/>
      <c r="M63" s="54">
        <f t="shared" si="0"/>
        <v>0</v>
      </c>
      <c r="N63" s="54" t="e">
        <f t="shared" si="1"/>
        <v>#REF!</v>
      </c>
    </row>
    <row r="64" spans="1:14">
      <c r="A64" s="68">
        <v>55</v>
      </c>
      <c r="B64" s="50" t="s">
        <v>132</v>
      </c>
      <c r="C64" s="50" t="s">
        <v>133</v>
      </c>
      <c r="D64" s="20"/>
      <c r="E64" s="66"/>
      <c r="F64" s="65"/>
      <c r="G64" s="20"/>
      <c r="H64" s="20"/>
      <c r="I64" s="20"/>
      <c r="J64" s="67"/>
      <c r="K64" s="67"/>
      <c r="M64" s="54">
        <f t="shared" si="0"/>
        <v>0</v>
      </c>
      <c r="N64" s="54" t="e">
        <f t="shared" si="1"/>
        <v>#REF!</v>
      </c>
    </row>
    <row r="65" spans="1:14" ht="12.75">
      <c r="B65" s="10"/>
      <c r="C65" s="10"/>
      <c r="M65" s="54"/>
      <c r="N65" s="54"/>
    </row>
    <row r="66" spans="1:14" ht="12.75">
      <c r="B66" s="10"/>
      <c r="C66" s="10"/>
      <c r="M66" s="54"/>
      <c r="N66" s="54"/>
    </row>
    <row r="67" spans="1:14">
      <c r="A67" s="132"/>
      <c r="B67" s="135" t="s">
        <v>251</v>
      </c>
      <c r="C67" s="136"/>
      <c r="D67" s="69"/>
      <c r="E67" s="69"/>
      <c r="F67" s="69"/>
      <c r="G67" s="69"/>
      <c r="H67" s="70"/>
      <c r="I67" s="71"/>
      <c r="J67" s="71"/>
      <c r="M67" s="54"/>
      <c r="N67" s="54"/>
    </row>
    <row r="68" spans="1:14">
      <c r="A68" s="133"/>
      <c r="B68" s="137" t="s">
        <v>252</v>
      </c>
      <c r="C68" s="138"/>
      <c r="D68" s="72"/>
      <c r="E68" s="72"/>
      <c r="F68" s="72"/>
      <c r="G68" s="72"/>
      <c r="H68" s="73"/>
      <c r="I68" s="71"/>
      <c r="J68" s="71"/>
      <c r="M68" s="54"/>
      <c r="N68" s="54"/>
    </row>
    <row r="69" spans="1:14">
      <c r="A69" s="134"/>
      <c r="B69" s="139" t="s">
        <v>253</v>
      </c>
      <c r="C69" s="140"/>
      <c r="D69" s="74"/>
      <c r="E69" s="74"/>
      <c r="F69" s="74"/>
      <c r="G69" s="74"/>
      <c r="H69" s="75"/>
      <c r="I69" s="71"/>
      <c r="J69" s="71"/>
      <c r="M69" s="54"/>
      <c r="N69" s="54"/>
    </row>
    <row r="70" spans="1:14" ht="47.25">
      <c r="A70" s="141" t="s">
        <v>254</v>
      </c>
      <c r="B70" s="117"/>
      <c r="C70" s="111"/>
      <c r="D70" s="76" t="s">
        <v>255</v>
      </c>
      <c r="E70" s="77" t="s">
        <v>256</v>
      </c>
      <c r="F70" s="78" t="s">
        <v>257</v>
      </c>
      <c r="G70" s="78" t="s">
        <v>258</v>
      </c>
      <c r="H70" s="78" t="s">
        <v>259</v>
      </c>
      <c r="I70" s="78" t="s">
        <v>260</v>
      </c>
      <c r="J70" s="79" t="s">
        <v>261</v>
      </c>
      <c r="M70" s="54"/>
      <c r="N70" s="54"/>
    </row>
    <row r="71" spans="1:14">
      <c r="A71" s="141" t="s">
        <v>262</v>
      </c>
      <c r="B71" s="117"/>
      <c r="C71" s="111"/>
      <c r="D71" s="27" t="s">
        <v>263</v>
      </c>
      <c r="E71" s="67" t="s">
        <v>136</v>
      </c>
      <c r="F71" s="27" t="s">
        <v>137</v>
      </c>
      <c r="G71" s="27" t="s">
        <v>138</v>
      </c>
      <c r="H71" s="76" t="s">
        <v>264</v>
      </c>
      <c r="I71" s="80" t="s">
        <v>140</v>
      </c>
      <c r="J71" s="81" t="s">
        <v>265</v>
      </c>
      <c r="M71" s="54"/>
      <c r="N71" s="54"/>
    </row>
    <row r="72" spans="1:14" ht="12.75">
      <c r="B72" s="10"/>
      <c r="C72" s="10"/>
      <c r="M72" s="54"/>
      <c r="N72" s="54"/>
    </row>
    <row r="73" spans="1:14" ht="12.75">
      <c r="B73" s="10"/>
      <c r="C73" s="10"/>
      <c r="M73" s="54"/>
      <c r="N73" s="54"/>
    </row>
    <row r="74" spans="1:14">
      <c r="B74" s="10"/>
      <c r="C74" s="82" t="s">
        <v>141</v>
      </c>
      <c r="D74" s="8"/>
      <c r="E74" s="83" t="s">
        <v>142</v>
      </c>
      <c r="F74" s="2"/>
      <c r="G74" s="2"/>
      <c r="H74" s="83" t="s">
        <v>143</v>
      </c>
      <c r="M74" s="54"/>
      <c r="N74" s="54"/>
    </row>
    <row r="75" spans="1:14" ht="12.75">
      <c r="B75" s="10"/>
      <c r="C75" s="10"/>
      <c r="M75" s="54"/>
      <c r="N75" s="54"/>
    </row>
    <row r="76" spans="1:14" ht="12.75">
      <c r="B76" s="10"/>
      <c r="C76" s="10"/>
      <c r="M76" s="54"/>
      <c r="N76" s="54"/>
    </row>
    <row r="77" spans="1:14" ht="12.75">
      <c r="B77" s="10"/>
      <c r="C77" s="10"/>
      <c r="M77" s="54"/>
      <c r="N77" s="54"/>
    </row>
    <row r="78" spans="1:14" ht="12.75">
      <c r="B78" s="10"/>
      <c r="C78" s="10"/>
      <c r="M78" s="54"/>
      <c r="N78" s="54"/>
    </row>
    <row r="79" spans="1:14" ht="12.75">
      <c r="B79" s="10"/>
      <c r="C79" s="10"/>
      <c r="M79" s="54"/>
      <c r="N79" s="54"/>
    </row>
    <row r="80" spans="1:14" ht="12.75">
      <c r="B80" s="10"/>
      <c r="C80" s="10"/>
      <c r="M80" s="54"/>
      <c r="N80" s="54"/>
    </row>
    <row r="81" spans="2:14" ht="12.75">
      <c r="B81" s="10"/>
      <c r="C81" s="10"/>
      <c r="M81" s="54"/>
      <c r="N81" s="54"/>
    </row>
    <row r="82" spans="2:14" ht="12.75">
      <c r="B82" s="10"/>
      <c r="C82" s="10"/>
      <c r="M82" s="54"/>
      <c r="N82" s="54"/>
    </row>
    <row r="83" spans="2:14" ht="12.75">
      <c r="B83" s="10"/>
      <c r="C83" s="10"/>
      <c r="M83" s="54"/>
      <c r="N83" s="54"/>
    </row>
    <row r="84" spans="2:14" ht="12.75">
      <c r="B84" s="10"/>
      <c r="C84" s="10"/>
      <c r="M84" s="54"/>
      <c r="N84" s="54"/>
    </row>
    <row r="85" spans="2:14" ht="12.75">
      <c r="B85" s="10"/>
      <c r="C85" s="10"/>
      <c r="M85" s="54"/>
      <c r="N85" s="54"/>
    </row>
    <row r="86" spans="2:14" ht="12.75">
      <c r="B86" s="10"/>
      <c r="C86" s="10"/>
      <c r="M86" s="54"/>
      <c r="N86" s="54"/>
    </row>
    <row r="87" spans="2:14" ht="12.75">
      <c r="B87" s="10"/>
      <c r="C87" s="10"/>
      <c r="M87" s="54"/>
      <c r="N87" s="54"/>
    </row>
    <row r="88" spans="2:14" ht="12.75">
      <c r="B88" s="10"/>
      <c r="C88" s="10"/>
      <c r="M88" s="54"/>
      <c r="N88" s="54"/>
    </row>
    <row r="89" spans="2:14" ht="12.75">
      <c r="B89" s="10"/>
      <c r="C89" s="10"/>
      <c r="M89" s="54"/>
      <c r="N89" s="54"/>
    </row>
    <row r="90" spans="2:14" ht="12.75">
      <c r="B90" s="10"/>
      <c r="C90" s="10"/>
      <c r="M90" s="54"/>
      <c r="N90" s="54"/>
    </row>
    <row r="91" spans="2:14" ht="12.75">
      <c r="B91" s="10"/>
      <c r="C91" s="10"/>
      <c r="M91" s="54"/>
      <c r="N91" s="54"/>
    </row>
    <row r="92" spans="2:14" ht="12.75">
      <c r="B92" s="10"/>
      <c r="C92" s="10"/>
      <c r="M92" s="54"/>
      <c r="N92" s="54"/>
    </row>
    <row r="93" spans="2:14" ht="12.75">
      <c r="B93" s="10"/>
      <c r="C93" s="10"/>
      <c r="M93" s="54"/>
      <c r="N93" s="54"/>
    </row>
    <row r="94" spans="2:14" ht="12.75">
      <c r="B94" s="10"/>
      <c r="C94" s="10"/>
      <c r="M94" s="54"/>
      <c r="N94" s="54"/>
    </row>
    <row r="95" spans="2:14" ht="12.75">
      <c r="B95" s="10"/>
      <c r="C95" s="10"/>
      <c r="M95" s="54"/>
      <c r="N95" s="54"/>
    </row>
    <row r="96" spans="2:14" ht="12.75">
      <c r="B96" s="10"/>
      <c r="C96" s="10"/>
      <c r="M96" s="54"/>
      <c r="N96" s="54"/>
    </row>
    <row r="97" spans="2:14" ht="12.75">
      <c r="B97" s="10"/>
      <c r="C97" s="10"/>
      <c r="M97" s="54"/>
      <c r="N97" s="54"/>
    </row>
    <row r="98" spans="2:14" ht="12.75">
      <c r="B98" s="10"/>
      <c r="C98" s="10"/>
      <c r="M98" s="54"/>
      <c r="N98" s="54"/>
    </row>
    <row r="99" spans="2:14" ht="12.75">
      <c r="B99" s="10"/>
      <c r="C99" s="10"/>
      <c r="M99" s="54"/>
      <c r="N99" s="54"/>
    </row>
    <row r="100" spans="2:14" ht="12.75">
      <c r="B100" s="10"/>
      <c r="C100" s="10"/>
      <c r="M100" s="54"/>
      <c r="N100" s="54"/>
    </row>
    <row r="101" spans="2:14" ht="12.75">
      <c r="B101" s="10"/>
      <c r="C101" s="10"/>
      <c r="M101" s="54"/>
      <c r="N101" s="54"/>
    </row>
    <row r="102" spans="2:14" ht="12.75">
      <c r="B102" s="10"/>
      <c r="C102" s="10"/>
      <c r="M102" s="54"/>
      <c r="N102" s="54"/>
    </row>
    <row r="103" spans="2:14" ht="12.75">
      <c r="B103" s="10"/>
      <c r="C103" s="10"/>
      <c r="M103" s="54"/>
      <c r="N103" s="54"/>
    </row>
    <row r="104" spans="2:14" ht="12.75">
      <c r="B104" s="10"/>
      <c r="C104" s="10"/>
      <c r="M104" s="54"/>
      <c r="N104" s="54"/>
    </row>
    <row r="105" spans="2:14" ht="12.75">
      <c r="B105" s="10"/>
      <c r="C105" s="10"/>
      <c r="M105" s="54"/>
      <c r="N105" s="54"/>
    </row>
    <row r="106" spans="2:14" ht="12.75">
      <c r="B106" s="10"/>
      <c r="C106" s="10"/>
      <c r="M106" s="54"/>
      <c r="N106" s="54"/>
    </row>
    <row r="107" spans="2:14" ht="12.75">
      <c r="B107" s="10"/>
      <c r="C107" s="10"/>
      <c r="M107" s="54"/>
      <c r="N107" s="54"/>
    </row>
    <row r="108" spans="2:14" ht="12.75">
      <c r="B108" s="10"/>
      <c r="C108" s="10"/>
      <c r="M108" s="54"/>
      <c r="N108" s="54"/>
    </row>
    <row r="109" spans="2:14" ht="12.75">
      <c r="B109" s="10"/>
      <c r="C109" s="10"/>
      <c r="M109" s="54"/>
      <c r="N109" s="54"/>
    </row>
    <row r="110" spans="2:14" ht="12.75">
      <c r="B110" s="10"/>
      <c r="C110" s="10"/>
      <c r="M110" s="54"/>
      <c r="N110" s="54"/>
    </row>
    <row r="111" spans="2:14" ht="12.75">
      <c r="B111" s="10"/>
      <c r="C111" s="10"/>
      <c r="M111" s="54"/>
      <c r="N111" s="54"/>
    </row>
    <row r="112" spans="2:14" ht="12.75">
      <c r="B112" s="10"/>
      <c r="C112" s="10"/>
      <c r="M112" s="54"/>
      <c r="N112" s="54"/>
    </row>
    <row r="113" spans="2:14" ht="12.75">
      <c r="B113" s="10"/>
      <c r="C113" s="10"/>
      <c r="M113" s="54"/>
      <c r="N113" s="54"/>
    </row>
    <row r="114" spans="2:14" ht="12.75">
      <c r="B114" s="10"/>
      <c r="C114" s="10"/>
      <c r="M114" s="54"/>
      <c r="N114" s="54"/>
    </row>
    <row r="115" spans="2:14" ht="12.75">
      <c r="B115" s="10"/>
      <c r="C115" s="10"/>
      <c r="M115" s="54"/>
      <c r="N115" s="54"/>
    </row>
    <row r="116" spans="2:14" ht="12.75">
      <c r="B116" s="10"/>
      <c r="C116" s="10"/>
      <c r="M116" s="54"/>
      <c r="N116" s="54"/>
    </row>
    <row r="117" spans="2:14" ht="12.75">
      <c r="B117" s="10"/>
      <c r="C117" s="10"/>
      <c r="M117" s="54"/>
      <c r="N117" s="54"/>
    </row>
    <row r="118" spans="2:14" ht="12.75">
      <c r="B118" s="10"/>
      <c r="C118" s="10"/>
      <c r="M118" s="54"/>
      <c r="N118" s="54"/>
    </row>
    <row r="119" spans="2:14" ht="12.75">
      <c r="B119" s="10"/>
      <c r="C119" s="10"/>
      <c r="M119" s="54"/>
      <c r="N119" s="54"/>
    </row>
    <row r="120" spans="2:14" ht="12.75">
      <c r="B120" s="10"/>
      <c r="C120" s="10"/>
      <c r="M120" s="54"/>
      <c r="N120" s="54"/>
    </row>
    <row r="121" spans="2:14" ht="12.75">
      <c r="B121" s="10"/>
      <c r="C121" s="10"/>
      <c r="M121" s="54"/>
      <c r="N121" s="54"/>
    </row>
    <row r="122" spans="2:14" ht="12.75">
      <c r="B122" s="10"/>
      <c r="C122" s="10"/>
      <c r="M122" s="54"/>
      <c r="N122" s="54"/>
    </row>
    <row r="123" spans="2:14" ht="12.75">
      <c r="B123" s="10"/>
      <c r="C123" s="10"/>
      <c r="M123" s="54"/>
      <c r="N123" s="54"/>
    </row>
    <row r="124" spans="2:14" ht="12.75">
      <c r="B124" s="10"/>
      <c r="C124" s="10"/>
      <c r="M124" s="54"/>
      <c r="N124" s="54"/>
    </row>
    <row r="125" spans="2:14" ht="12.75">
      <c r="B125" s="10"/>
      <c r="C125" s="10"/>
      <c r="M125" s="54"/>
      <c r="N125" s="54"/>
    </row>
    <row r="126" spans="2:14" ht="12.75">
      <c r="B126" s="10"/>
      <c r="C126" s="10"/>
      <c r="M126" s="54"/>
      <c r="N126" s="54"/>
    </row>
    <row r="127" spans="2:14" ht="12.75">
      <c r="B127" s="10"/>
      <c r="C127" s="10"/>
      <c r="M127" s="54"/>
      <c r="N127" s="54"/>
    </row>
    <row r="128" spans="2:14" ht="12.75">
      <c r="B128" s="10"/>
      <c r="C128" s="10"/>
      <c r="M128" s="54"/>
      <c r="N128" s="54"/>
    </row>
    <row r="129" spans="2:14" ht="12.75">
      <c r="B129" s="10"/>
      <c r="C129" s="10"/>
      <c r="M129" s="54"/>
      <c r="N129" s="54"/>
    </row>
    <row r="130" spans="2:14" ht="12.75">
      <c r="B130" s="10"/>
      <c r="C130" s="10"/>
      <c r="M130" s="54"/>
      <c r="N130" s="54"/>
    </row>
    <row r="131" spans="2:14" ht="12.75">
      <c r="B131" s="10"/>
      <c r="C131" s="10"/>
      <c r="M131" s="54"/>
      <c r="N131" s="54"/>
    </row>
    <row r="132" spans="2:14" ht="12.75">
      <c r="B132" s="10"/>
      <c r="C132" s="10"/>
      <c r="M132" s="54"/>
      <c r="N132" s="54"/>
    </row>
    <row r="133" spans="2:14" ht="12.75">
      <c r="B133" s="10"/>
      <c r="C133" s="10"/>
      <c r="M133" s="54"/>
      <c r="N133" s="54"/>
    </row>
    <row r="134" spans="2:14" ht="12.75">
      <c r="B134" s="10"/>
      <c r="C134" s="10"/>
      <c r="M134" s="54"/>
      <c r="N134" s="54"/>
    </row>
    <row r="135" spans="2:14" ht="12.75">
      <c r="B135" s="10"/>
      <c r="C135" s="10"/>
      <c r="M135" s="54"/>
      <c r="N135" s="54"/>
    </row>
    <row r="136" spans="2:14" ht="12.75">
      <c r="B136" s="10"/>
      <c r="C136" s="10"/>
      <c r="M136" s="54"/>
      <c r="N136" s="54"/>
    </row>
    <row r="137" spans="2:14" ht="12.75">
      <c r="B137" s="10"/>
      <c r="C137" s="10"/>
      <c r="M137" s="54"/>
      <c r="N137" s="54"/>
    </row>
    <row r="138" spans="2:14" ht="12.75">
      <c r="B138" s="10"/>
      <c r="C138" s="10"/>
      <c r="M138" s="54"/>
      <c r="N138" s="54"/>
    </row>
    <row r="139" spans="2:14" ht="12.75">
      <c r="B139" s="10"/>
      <c r="C139" s="10"/>
      <c r="M139" s="54"/>
      <c r="N139" s="54"/>
    </row>
    <row r="140" spans="2:14" ht="12.75">
      <c r="B140" s="10"/>
      <c r="C140" s="10"/>
      <c r="M140" s="54"/>
      <c r="N140" s="54"/>
    </row>
    <row r="141" spans="2:14" ht="12.75">
      <c r="B141" s="10"/>
      <c r="C141" s="10"/>
      <c r="M141" s="54"/>
      <c r="N141" s="54"/>
    </row>
    <row r="142" spans="2:14" ht="12.75">
      <c r="B142" s="10"/>
      <c r="C142" s="10"/>
      <c r="M142" s="54"/>
      <c r="N142" s="54"/>
    </row>
    <row r="143" spans="2:14" ht="12.75">
      <c r="B143" s="10"/>
      <c r="C143" s="10"/>
      <c r="M143" s="54"/>
      <c r="N143" s="54"/>
    </row>
    <row r="144" spans="2:14" ht="12.75">
      <c r="B144" s="10"/>
      <c r="C144" s="10"/>
      <c r="M144" s="54"/>
      <c r="N144" s="54"/>
    </row>
    <row r="145" spans="2:14" ht="12.75">
      <c r="B145" s="10"/>
      <c r="C145" s="10"/>
      <c r="M145" s="54"/>
      <c r="N145" s="54"/>
    </row>
    <row r="146" spans="2:14" ht="12.75">
      <c r="B146" s="10"/>
      <c r="C146" s="10"/>
      <c r="M146" s="54"/>
      <c r="N146" s="54"/>
    </row>
    <row r="147" spans="2:14" ht="12.75">
      <c r="B147" s="10"/>
      <c r="C147" s="10"/>
      <c r="M147" s="54"/>
      <c r="N147" s="54"/>
    </row>
    <row r="148" spans="2:14" ht="12.75">
      <c r="B148" s="10"/>
      <c r="C148" s="10"/>
      <c r="M148" s="54"/>
      <c r="N148" s="54"/>
    </row>
    <row r="149" spans="2:14" ht="12.75">
      <c r="B149" s="10"/>
      <c r="C149" s="10"/>
      <c r="M149" s="54"/>
      <c r="N149" s="54"/>
    </row>
    <row r="150" spans="2:14" ht="12.75">
      <c r="B150" s="10"/>
      <c r="C150" s="10"/>
      <c r="M150" s="54"/>
      <c r="N150" s="54"/>
    </row>
    <row r="151" spans="2:14" ht="12.75">
      <c r="B151" s="10"/>
      <c r="C151" s="10"/>
      <c r="M151" s="54"/>
      <c r="N151" s="54"/>
    </row>
    <row r="152" spans="2:14" ht="12.75">
      <c r="B152" s="10"/>
      <c r="C152" s="10"/>
      <c r="M152" s="54"/>
      <c r="N152" s="54"/>
    </row>
    <row r="153" spans="2:14" ht="12.75">
      <c r="B153" s="10"/>
      <c r="C153" s="10"/>
      <c r="M153" s="54"/>
      <c r="N153" s="54"/>
    </row>
    <row r="154" spans="2:14" ht="12.75">
      <c r="B154" s="10"/>
      <c r="C154" s="10"/>
      <c r="M154" s="54"/>
      <c r="N154" s="54"/>
    </row>
    <row r="155" spans="2:14" ht="12.75">
      <c r="B155" s="10"/>
      <c r="C155" s="10"/>
      <c r="M155" s="54"/>
      <c r="N155" s="54"/>
    </row>
    <row r="156" spans="2:14" ht="12.75">
      <c r="B156" s="10"/>
      <c r="C156" s="10"/>
      <c r="M156" s="54"/>
      <c r="N156" s="54"/>
    </row>
    <row r="157" spans="2:14" ht="12.75">
      <c r="B157" s="10"/>
      <c r="C157" s="10"/>
      <c r="M157" s="54"/>
      <c r="N157" s="54"/>
    </row>
    <row r="158" spans="2:14" ht="12.75">
      <c r="B158" s="10"/>
      <c r="C158" s="10"/>
      <c r="M158" s="54"/>
      <c r="N158" s="54"/>
    </row>
    <row r="159" spans="2:14" ht="12.75">
      <c r="B159" s="10"/>
      <c r="C159" s="10"/>
      <c r="M159" s="54"/>
      <c r="N159" s="54"/>
    </row>
    <row r="160" spans="2:14" ht="12.75">
      <c r="B160" s="10"/>
      <c r="C160" s="10"/>
      <c r="M160" s="54"/>
      <c r="N160" s="54"/>
    </row>
    <row r="161" spans="2:14" ht="12.75">
      <c r="B161" s="10"/>
      <c r="C161" s="10"/>
      <c r="M161" s="54"/>
      <c r="N161" s="54"/>
    </row>
    <row r="162" spans="2:14" ht="12.75">
      <c r="B162" s="10"/>
      <c r="C162" s="10"/>
      <c r="M162" s="54"/>
      <c r="N162" s="54"/>
    </row>
    <row r="163" spans="2:14" ht="12.75">
      <c r="B163" s="10"/>
      <c r="C163" s="10"/>
      <c r="M163" s="54"/>
      <c r="N163" s="54"/>
    </row>
    <row r="164" spans="2:14" ht="12.75">
      <c r="B164" s="10"/>
      <c r="C164" s="10"/>
      <c r="M164" s="54"/>
      <c r="N164" s="54"/>
    </row>
    <row r="165" spans="2:14" ht="12.75">
      <c r="B165" s="10"/>
      <c r="C165" s="10"/>
      <c r="M165" s="54"/>
      <c r="N165" s="54"/>
    </row>
    <row r="166" spans="2:14" ht="12.75">
      <c r="B166" s="10"/>
      <c r="C166" s="10"/>
      <c r="M166" s="54"/>
      <c r="N166" s="54"/>
    </row>
    <row r="167" spans="2:14" ht="12.75">
      <c r="B167" s="10"/>
      <c r="C167" s="10"/>
      <c r="M167" s="54"/>
      <c r="N167" s="54"/>
    </row>
    <row r="168" spans="2:14" ht="12.75">
      <c r="B168" s="10"/>
      <c r="C168" s="10"/>
      <c r="M168" s="54"/>
      <c r="N168" s="54"/>
    </row>
    <row r="169" spans="2:14" ht="12.75">
      <c r="B169" s="10"/>
      <c r="C169" s="10"/>
      <c r="M169" s="54"/>
      <c r="N169" s="54"/>
    </row>
    <row r="170" spans="2:14" ht="12.75">
      <c r="B170" s="10"/>
      <c r="C170" s="10"/>
      <c r="M170" s="54"/>
      <c r="N170" s="54"/>
    </row>
    <row r="171" spans="2:14" ht="12.75">
      <c r="B171" s="10"/>
      <c r="C171" s="10"/>
      <c r="M171" s="54"/>
      <c r="N171" s="54"/>
    </row>
    <row r="172" spans="2:14" ht="12.75">
      <c r="B172" s="10"/>
      <c r="C172" s="10"/>
      <c r="M172" s="54"/>
      <c r="N172" s="54"/>
    </row>
    <row r="173" spans="2:14" ht="12.75">
      <c r="B173" s="10"/>
      <c r="C173" s="10"/>
      <c r="M173" s="54"/>
      <c r="N173" s="54"/>
    </row>
    <row r="174" spans="2:14" ht="12.75">
      <c r="B174" s="10"/>
      <c r="C174" s="10"/>
      <c r="M174" s="54"/>
      <c r="N174" s="54"/>
    </row>
    <row r="175" spans="2:14" ht="12.75">
      <c r="B175" s="10"/>
      <c r="C175" s="10"/>
      <c r="M175" s="54"/>
      <c r="N175" s="54"/>
    </row>
    <row r="176" spans="2:14" ht="12.75">
      <c r="B176" s="10"/>
      <c r="C176" s="10"/>
      <c r="M176" s="54"/>
      <c r="N176" s="54"/>
    </row>
    <row r="177" spans="2:14" ht="12.75">
      <c r="B177" s="10"/>
      <c r="C177" s="10"/>
      <c r="M177" s="54"/>
      <c r="N177" s="54"/>
    </row>
    <row r="178" spans="2:14" ht="12.75">
      <c r="B178" s="10"/>
      <c r="C178" s="10"/>
      <c r="M178" s="54"/>
      <c r="N178" s="54"/>
    </row>
    <row r="179" spans="2:14" ht="12.75">
      <c r="B179" s="10"/>
      <c r="C179" s="10"/>
      <c r="M179" s="54"/>
      <c r="N179" s="54"/>
    </row>
    <row r="180" spans="2:14" ht="12.75">
      <c r="B180" s="10"/>
      <c r="C180" s="10"/>
      <c r="M180" s="54"/>
      <c r="N180" s="54"/>
    </row>
    <row r="181" spans="2:14" ht="12.75">
      <c r="B181" s="10"/>
      <c r="C181" s="10"/>
      <c r="M181" s="54"/>
      <c r="N181" s="54"/>
    </row>
    <row r="182" spans="2:14" ht="12.75">
      <c r="B182" s="10"/>
      <c r="C182" s="10"/>
      <c r="M182" s="54"/>
      <c r="N182" s="54"/>
    </row>
    <row r="183" spans="2:14" ht="12.75">
      <c r="B183" s="10"/>
      <c r="C183" s="10"/>
      <c r="M183" s="54"/>
      <c r="N183" s="54"/>
    </row>
    <row r="184" spans="2:14" ht="12.75">
      <c r="B184" s="10"/>
      <c r="C184" s="10"/>
      <c r="M184" s="54"/>
      <c r="N184" s="54"/>
    </row>
    <row r="185" spans="2:14" ht="12.75">
      <c r="B185" s="10"/>
      <c r="C185" s="10"/>
      <c r="M185" s="54"/>
      <c r="N185" s="54"/>
    </row>
    <row r="186" spans="2:14" ht="12.75">
      <c r="B186" s="10"/>
      <c r="C186" s="10"/>
      <c r="M186" s="54"/>
      <c r="N186" s="54"/>
    </row>
    <row r="187" spans="2:14" ht="12.75">
      <c r="B187" s="10"/>
      <c r="C187" s="10"/>
      <c r="M187" s="54"/>
      <c r="N187" s="54"/>
    </row>
    <row r="188" spans="2:14" ht="12.75">
      <c r="B188" s="10"/>
      <c r="C188" s="10"/>
      <c r="M188" s="54"/>
      <c r="N188" s="54"/>
    </row>
    <row r="189" spans="2:14" ht="12.75">
      <c r="B189" s="10"/>
      <c r="C189" s="10"/>
      <c r="M189" s="54"/>
      <c r="N189" s="54"/>
    </row>
    <row r="190" spans="2:14" ht="12.75">
      <c r="B190" s="10"/>
      <c r="C190" s="10"/>
      <c r="M190" s="54"/>
      <c r="N190" s="54"/>
    </row>
    <row r="191" spans="2:14" ht="12.75">
      <c r="B191" s="10"/>
      <c r="C191" s="10"/>
      <c r="M191" s="54"/>
      <c r="N191" s="54"/>
    </row>
    <row r="192" spans="2:14" ht="12.75">
      <c r="B192" s="10"/>
      <c r="C192" s="10"/>
      <c r="M192" s="54"/>
      <c r="N192" s="54"/>
    </row>
    <row r="193" spans="2:14" ht="12.75">
      <c r="B193" s="10"/>
      <c r="C193" s="10"/>
      <c r="M193" s="54"/>
      <c r="N193" s="54"/>
    </row>
    <row r="194" spans="2:14" ht="12.75">
      <c r="B194" s="10"/>
      <c r="C194" s="10"/>
      <c r="M194" s="54"/>
      <c r="N194" s="54"/>
    </row>
    <row r="195" spans="2:14" ht="12.75">
      <c r="B195" s="10"/>
      <c r="C195" s="10"/>
      <c r="M195" s="54"/>
      <c r="N195" s="54"/>
    </row>
    <row r="196" spans="2:14" ht="12.75">
      <c r="B196" s="10"/>
      <c r="C196" s="10"/>
      <c r="M196" s="54"/>
      <c r="N196" s="54"/>
    </row>
    <row r="197" spans="2:14" ht="12.75">
      <c r="B197" s="10"/>
      <c r="C197" s="10"/>
      <c r="M197" s="54"/>
      <c r="N197" s="54"/>
    </row>
    <row r="198" spans="2:14" ht="12.75">
      <c r="B198" s="10"/>
      <c r="C198" s="10"/>
      <c r="M198" s="54"/>
      <c r="N198" s="54"/>
    </row>
    <row r="199" spans="2:14" ht="12.75">
      <c r="B199" s="10"/>
      <c r="C199" s="10"/>
      <c r="M199" s="54"/>
      <c r="N199" s="54"/>
    </row>
    <row r="200" spans="2:14" ht="12.75">
      <c r="B200" s="10"/>
      <c r="C200" s="10"/>
      <c r="M200" s="54"/>
      <c r="N200" s="54"/>
    </row>
    <row r="201" spans="2:14" ht="12.75">
      <c r="B201" s="10"/>
      <c r="C201" s="10"/>
      <c r="M201" s="54"/>
      <c r="N201" s="54"/>
    </row>
    <row r="202" spans="2:14" ht="12.75">
      <c r="B202" s="10"/>
      <c r="C202" s="10"/>
      <c r="M202" s="54"/>
      <c r="N202" s="54"/>
    </row>
    <row r="203" spans="2:14" ht="12.75">
      <c r="B203" s="10"/>
      <c r="C203" s="10"/>
      <c r="M203" s="54"/>
      <c r="N203" s="54"/>
    </row>
    <row r="204" spans="2:14" ht="12.75">
      <c r="B204" s="10"/>
      <c r="C204" s="10"/>
      <c r="M204" s="54"/>
      <c r="N204" s="54"/>
    </row>
    <row r="205" spans="2:14" ht="12.75">
      <c r="B205" s="10"/>
      <c r="C205" s="10"/>
      <c r="M205" s="54"/>
      <c r="N205" s="54"/>
    </row>
    <row r="206" spans="2:14" ht="12.75">
      <c r="B206" s="10"/>
      <c r="C206" s="10"/>
      <c r="M206" s="54"/>
      <c r="N206" s="54"/>
    </row>
    <row r="207" spans="2:14" ht="12.75">
      <c r="B207" s="10"/>
      <c r="C207" s="10"/>
      <c r="M207" s="54"/>
      <c r="N207" s="54"/>
    </row>
    <row r="208" spans="2:14" ht="12.75">
      <c r="B208" s="10"/>
      <c r="C208" s="10"/>
      <c r="M208" s="54"/>
      <c r="N208" s="54"/>
    </row>
    <row r="209" spans="2:14" ht="12.75">
      <c r="B209" s="10"/>
      <c r="C209" s="10"/>
      <c r="M209" s="54"/>
      <c r="N209" s="54"/>
    </row>
    <row r="210" spans="2:14" ht="12.75">
      <c r="B210" s="10"/>
      <c r="C210" s="10"/>
      <c r="M210" s="54"/>
      <c r="N210" s="54"/>
    </row>
    <row r="211" spans="2:14" ht="12.75">
      <c r="B211" s="10"/>
      <c r="C211" s="10"/>
      <c r="M211" s="54"/>
      <c r="N211" s="54"/>
    </row>
    <row r="212" spans="2:14" ht="12.75">
      <c r="B212" s="10"/>
      <c r="C212" s="10"/>
      <c r="M212" s="54"/>
      <c r="N212" s="54"/>
    </row>
    <row r="213" spans="2:14" ht="12.75">
      <c r="B213" s="10"/>
      <c r="C213" s="10"/>
      <c r="M213" s="54"/>
      <c r="N213" s="54"/>
    </row>
    <row r="214" spans="2:14" ht="12.75">
      <c r="B214" s="10"/>
      <c r="C214" s="10"/>
      <c r="M214" s="54"/>
      <c r="N214" s="54"/>
    </row>
    <row r="215" spans="2:14" ht="12.75">
      <c r="B215" s="10"/>
      <c r="C215" s="10"/>
      <c r="M215" s="54"/>
      <c r="N215" s="54"/>
    </row>
    <row r="216" spans="2:14" ht="12.75">
      <c r="B216" s="10"/>
      <c r="C216" s="10"/>
      <c r="M216" s="54"/>
      <c r="N216" s="54"/>
    </row>
    <row r="217" spans="2:14" ht="12.75">
      <c r="B217" s="10"/>
      <c r="C217" s="10"/>
      <c r="M217" s="54"/>
      <c r="N217" s="54"/>
    </row>
    <row r="218" spans="2:14" ht="12.75">
      <c r="B218" s="10"/>
      <c r="C218" s="10"/>
      <c r="M218" s="54"/>
      <c r="N218" s="54"/>
    </row>
    <row r="219" spans="2:14" ht="12.75">
      <c r="B219" s="10"/>
      <c r="C219" s="10"/>
      <c r="M219" s="54"/>
      <c r="N219" s="54"/>
    </row>
    <row r="220" spans="2:14" ht="12.75">
      <c r="B220" s="10"/>
      <c r="C220" s="10"/>
      <c r="M220" s="54"/>
      <c r="N220" s="54"/>
    </row>
    <row r="221" spans="2:14" ht="12.75">
      <c r="B221" s="10"/>
      <c r="C221" s="10"/>
      <c r="M221" s="54"/>
      <c r="N221" s="54"/>
    </row>
    <row r="222" spans="2:14" ht="12.75">
      <c r="B222" s="10"/>
      <c r="C222" s="10"/>
      <c r="M222" s="54"/>
      <c r="N222" s="54"/>
    </row>
    <row r="223" spans="2:14" ht="12.75">
      <c r="B223" s="10"/>
      <c r="C223" s="10"/>
      <c r="M223" s="54"/>
      <c r="N223" s="54"/>
    </row>
    <row r="224" spans="2:14" ht="12.75">
      <c r="B224" s="10"/>
      <c r="C224" s="10"/>
      <c r="M224" s="54"/>
      <c r="N224" s="54"/>
    </row>
    <row r="225" spans="2:14" ht="12.75">
      <c r="B225" s="10"/>
      <c r="C225" s="10"/>
      <c r="M225" s="54"/>
      <c r="N225" s="54"/>
    </row>
    <row r="226" spans="2:14" ht="12.75">
      <c r="B226" s="10"/>
      <c r="C226" s="10"/>
      <c r="M226" s="54"/>
      <c r="N226" s="54"/>
    </row>
    <row r="227" spans="2:14" ht="12.75">
      <c r="B227" s="10"/>
      <c r="C227" s="10"/>
      <c r="M227" s="54"/>
      <c r="N227" s="54"/>
    </row>
    <row r="228" spans="2:14" ht="12.75">
      <c r="B228" s="10"/>
      <c r="C228" s="10"/>
      <c r="M228" s="54"/>
      <c r="N228" s="54"/>
    </row>
    <row r="229" spans="2:14" ht="12.75">
      <c r="B229" s="10"/>
      <c r="C229" s="10"/>
      <c r="M229" s="54"/>
      <c r="N229" s="54"/>
    </row>
    <row r="230" spans="2:14" ht="12.75">
      <c r="B230" s="10"/>
      <c r="C230" s="10"/>
      <c r="M230" s="54"/>
      <c r="N230" s="54"/>
    </row>
    <row r="231" spans="2:14" ht="12.75">
      <c r="B231" s="10"/>
      <c r="C231" s="10"/>
      <c r="M231" s="54"/>
      <c r="N231" s="54"/>
    </row>
    <row r="232" spans="2:14" ht="12.75">
      <c r="B232" s="10"/>
      <c r="C232" s="10"/>
      <c r="M232" s="54"/>
      <c r="N232" s="54"/>
    </row>
    <row r="233" spans="2:14" ht="12.75">
      <c r="B233" s="10"/>
      <c r="C233" s="10"/>
      <c r="M233" s="54"/>
      <c r="N233" s="54"/>
    </row>
    <row r="234" spans="2:14" ht="12.75">
      <c r="B234" s="10"/>
      <c r="C234" s="10"/>
      <c r="M234" s="54"/>
      <c r="N234" s="54"/>
    </row>
    <row r="235" spans="2:14" ht="12.75">
      <c r="B235" s="10"/>
      <c r="C235" s="10"/>
      <c r="M235" s="54"/>
      <c r="N235" s="54"/>
    </row>
    <row r="236" spans="2:14" ht="12.75">
      <c r="B236" s="10"/>
      <c r="C236" s="10"/>
      <c r="M236" s="54"/>
      <c r="N236" s="54"/>
    </row>
    <row r="237" spans="2:14" ht="12.75">
      <c r="B237" s="10"/>
      <c r="C237" s="10"/>
      <c r="M237" s="54"/>
      <c r="N237" s="54"/>
    </row>
    <row r="238" spans="2:14" ht="12.75">
      <c r="B238" s="10"/>
      <c r="C238" s="10"/>
      <c r="M238" s="54"/>
      <c r="N238" s="54"/>
    </row>
    <row r="239" spans="2:14" ht="12.75">
      <c r="B239" s="10"/>
      <c r="C239" s="10"/>
      <c r="M239" s="54"/>
      <c r="N239" s="54"/>
    </row>
    <row r="240" spans="2:14" ht="12.75">
      <c r="B240" s="10"/>
      <c r="C240" s="10"/>
      <c r="M240" s="54"/>
      <c r="N240" s="54"/>
    </row>
    <row r="241" spans="2:14" ht="12.75">
      <c r="B241" s="10"/>
      <c r="C241" s="10"/>
      <c r="M241" s="54"/>
      <c r="N241" s="54"/>
    </row>
    <row r="242" spans="2:14" ht="12.75">
      <c r="B242" s="10"/>
      <c r="C242" s="10"/>
      <c r="M242" s="54"/>
      <c r="N242" s="54"/>
    </row>
    <row r="243" spans="2:14" ht="12.75">
      <c r="B243" s="10"/>
      <c r="C243" s="10"/>
      <c r="M243" s="54"/>
      <c r="N243" s="54"/>
    </row>
    <row r="244" spans="2:14" ht="12.75">
      <c r="B244" s="10"/>
      <c r="C244" s="10"/>
      <c r="M244" s="54"/>
      <c r="N244" s="54"/>
    </row>
    <row r="245" spans="2:14" ht="12.75">
      <c r="B245" s="10"/>
      <c r="C245" s="10"/>
      <c r="M245" s="54"/>
      <c r="N245" s="54"/>
    </row>
    <row r="246" spans="2:14" ht="12.75">
      <c r="B246" s="10"/>
      <c r="C246" s="10"/>
      <c r="M246" s="54"/>
      <c r="N246" s="54"/>
    </row>
    <row r="247" spans="2:14" ht="12.75">
      <c r="B247" s="10"/>
      <c r="C247" s="10"/>
      <c r="M247" s="54"/>
      <c r="N247" s="54"/>
    </row>
    <row r="248" spans="2:14" ht="12.75">
      <c r="B248" s="10"/>
      <c r="C248" s="10"/>
      <c r="M248" s="54"/>
      <c r="N248" s="54"/>
    </row>
    <row r="249" spans="2:14" ht="12.75">
      <c r="B249" s="10"/>
      <c r="C249" s="10"/>
      <c r="M249" s="54"/>
      <c r="N249" s="54"/>
    </row>
    <row r="250" spans="2:14" ht="12.75">
      <c r="B250" s="10"/>
      <c r="C250" s="10"/>
      <c r="M250" s="54"/>
      <c r="N250" s="54"/>
    </row>
    <row r="251" spans="2:14" ht="12.75">
      <c r="B251" s="10"/>
      <c r="C251" s="10"/>
      <c r="M251" s="54"/>
      <c r="N251" s="54"/>
    </row>
    <row r="252" spans="2:14" ht="12.75">
      <c r="B252" s="10"/>
      <c r="C252" s="10"/>
      <c r="M252" s="54"/>
      <c r="N252" s="54"/>
    </row>
    <row r="253" spans="2:14" ht="12.75">
      <c r="B253" s="10"/>
      <c r="C253" s="10"/>
      <c r="M253" s="54"/>
      <c r="N253" s="54"/>
    </row>
    <row r="254" spans="2:14" ht="12.75">
      <c r="B254" s="10"/>
      <c r="C254" s="10"/>
      <c r="M254" s="54"/>
      <c r="N254" s="54"/>
    </row>
    <row r="255" spans="2:14" ht="12.75">
      <c r="B255" s="10"/>
      <c r="C255" s="10"/>
      <c r="M255" s="54"/>
      <c r="N255" s="54"/>
    </row>
    <row r="256" spans="2:14" ht="12.75">
      <c r="B256" s="10"/>
      <c r="C256" s="10"/>
      <c r="M256" s="54"/>
      <c r="N256" s="54"/>
    </row>
    <row r="257" spans="2:14" ht="12.75">
      <c r="B257" s="10"/>
      <c r="C257" s="10"/>
      <c r="M257" s="54"/>
      <c r="N257" s="54"/>
    </row>
    <row r="258" spans="2:14" ht="12.75">
      <c r="B258" s="10"/>
      <c r="C258" s="10"/>
      <c r="M258" s="54"/>
      <c r="N258" s="54"/>
    </row>
    <row r="259" spans="2:14" ht="12.75">
      <c r="B259" s="10"/>
      <c r="C259" s="10"/>
      <c r="M259" s="54"/>
      <c r="N259" s="54"/>
    </row>
    <row r="260" spans="2:14" ht="12.75">
      <c r="B260" s="10"/>
      <c r="C260" s="10"/>
      <c r="M260" s="54"/>
      <c r="N260" s="54"/>
    </row>
    <row r="261" spans="2:14" ht="12.75">
      <c r="B261" s="10"/>
      <c r="C261" s="10"/>
      <c r="M261" s="54"/>
      <c r="N261" s="54"/>
    </row>
    <row r="262" spans="2:14" ht="12.75">
      <c r="B262" s="10"/>
      <c r="C262" s="10"/>
      <c r="M262" s="54"/>
      <c r="N262" s="54"/>
    </row>
    <row r="263" spans="2:14" ht="12.75">
      <c r="B263" s="10"/>
      <c r="C263" s="10"/>
      <c r="M263" s="54"/>
      <c r="N263" s="54"/>
    </row>
    <row r="264" spans="2:14" ht="12.75">
      <c r="B264" s="10"/>
      <c r="C264" s="10"/>
      <c r="M264" s="54"/>
      <c r="N264" s="54"/>
    </row>
    <row r="265" spans="2:14" ht="12.75">
      <c r="B265" s="10"/>
      <c r="C265" s="10"/>
      <c r="M265" s="54"/>
      <c r="N265" s="54"/>
    </row>
    <row r="266" spans="2:14" ht="12.75">
      <c r="B266" s="10"/>
      <c r="C266" s="10"/>
      <c r="M266" s="54"/>
      <c r="N266" s="54"/>
    </row>
    <row r="267" spans="2:14" ht="12.75">
      <c r="B267" s="10"/>
      <c r="C267" s="10"/>
      <c r="M267" s="54"/>
      <c r="N267" s="54"/>
    </row>
    <row r="268" spans="2:14" ht="12.75">
      <c r="B268" s="10"/>
      <c r="C268" s="10"/>
      <c r="M268" s="54"/>
      <c r="N268" s="54"/>
    </row>
    <row r="269" spans="2:14" ht="12.75">
      <c r="B269" s="10"/>
      <c r="C269" s="10"/>
      <c r="M269" s="54"/>
      <c r="N269" s="54"/>
    </row>
    <row r="270" spans="2:14" ht="12.75">
      <c r="B270" s="10"/>
      <c r="C270" s="10"/>
      <c r="M270" s="54"/>
      <c r="N270" s="54"/>
    </row>
    <row r="271" spans="2:14" ht="12.75">
      <c r="B271" s="10"/>
      <c r="C271" s="10"/>
      <c r="M271" s="54"/>
      <c r="N271" s="54"/>
    </row>
    <row r="272" spans="2:14" ht="12.75">
      <c r="B272" s="10"/>
      <c r="C272" s="10"/>
      <c r="M272" s="54"/>
      <c r="N272" s="54"/>
    </row>
    <row r="273" spans="2:14" ht="12.75">
      <c r="B273" s="10"/>
      <c r="C273" s="10"/>
      <c r="M273" s="54"/>
      <c r="N273" s="54"/>
    </row>
    <row r="274" spans="2:14" ht="12.75">
      <c r="B274" s="10"/>
      <c r="C274" s="10"/>
      <c r="M274" s="54"/>
      <c r="N274" s="54"/>
    </row>
    <row r="275" spans="2:14" ht="12.75">
      <c r="B275" s="10"/>
      <c r="C275" s="10"/>
      <c r="M275" s="54"/>
      <c r="N275" s="54"/>
    </row>
    <row r="276" spans="2:14" ht="12.75">
      <c r="B276" s="10"/>
      <c r="C276" s="10"/>
      <c r="M276" s="54"/>
      <c r="N276" s="54"/>
    </row>
    <row r="277" spans="2:14" ht="12.75">
      <c r="B277" s="10"/>
      <c r="C277" s="10"/>
      <c r="M277" s="54"/>
      <c r="N277" s="54"/>
    </row>
    <row r="278" spans="2:14" ht="12.75">
      <c r="B278" s="10"/>
      <c r="C278" s="10"/>
      <c r="M278" s="54"/>
      <c r="N278" s="54"/>
    </row>
    <row r="279" spans="2:14" ht="12.75">
      <c r="B279" s="10"/>
      <c r="C279" s="10"/>
      <c r="M279" s="54"/>
      <c r="N279" s="54"/>
    </row>
    <row r="280" spans="2:14" ht="12.75">
      <c r="B280" s="10"/>
      <c r="C280" s="10"/>
      <c r="M280" s="54"/>
      <c r="N280" s="54"/>
    </row>
    <row r="281" spans="2:14" ht="12.75">
      <c r="B281" s="10"/>
      <c r="C281" s="10"/>
      <c r="M281" s="54"/>
      <c r="N281" s="54"/>
    </row>
    <row r="282" spans="2:14" ht="12.75">
      <c r="B282" s="10"/>
      <c r="C282" s="10"/>
      <c r="M282" s="54"/>
      <c r="N282" s="54"/>
    </row>
    <row r="283" spans="2:14" ht="12.75">
      <c r="B283" s="10"/>
      <c r="C283" s="10"/>
      <c r="M283" s="54"/>
      <c r="N283" s="54"/>
    </row>
    <row r="284" spans="2:14" ht="12.75">
      <c r="B284" s="10"/>
      <c r="C284" s="10"/>
      <c r="M284" s="54"/>
      <c r="N284" s="54"/>
    </row>
    <row r="285" spans="2:14" ht="12.75">
      <c r="B285" s="10"/>
      <c r="C285" s="10"/>
      <c r="M285" s="54"/>
      <c r="N285" s="54"/>
    </row>
    <row r="286" spans="2:14" ht="12.75">
      <c r="B286" s="10"/>
      <c r="C286" s="10"/>
      <c r="M286" s="54"/>
      <c r="N286" s="54"/>
    </row>
    <row r="287" spans="2:14" ht="12.75">
      <c r="B287" s="10"/>
      <c r="C287" s="10"/>
      <c r="M287" s="54"/>
      <c r="N287" s="54"/>
    </row>
    <row r="288" spans="2:14" ht="12.75">
      <c r="B288" s="10"/>
      <c r="C288" s="10"/>
      <c r="M288" s="54"/>
      <c r="N288" s="54"/>
    </row>
    <row r="289" spans="2:14" ht="12.75">
      <c r="B289" s="10"/>
      <c r="C289" s="10"/>
      <c r="M289" s="54"/>
      <c r="N289" s="54"/>
    </row>
    <row r="290" spans="2:14" ht="12.75">
      <c r="B290" s="10"/>
      <c r="C290" s="10"/>
      <c r="M290" s="54"/>
      <c r="N290" s="54"/>
    </row>
    <row r="291" spans="2:14" ht="12.75">
      <c r="B291" s="10"/>
      <c r="C291" s="10"/>
      <c r="M291" s="54"/>
      <c r="N291" s="54"/>
    </row>
    <row r="292" spans="2:14" ht="12.75">
      <c r="B292" s="10"/>
      <c r="C292" s="10"/>
      <c r="M292" s="54"/>
      <c r="N292" s="54"/>
    </row>
    <row r="293" spans="2:14" ht="12.75">
      <c r="B293" s="10"/>
      <c r="C293" s="10"/>
      <c r="M293" s="54"/>
      <c r="N293" s="54"/>
    </row>
    <row r="294" spans="2:14" ht="12.75">
      <c r="B294" s="10"/>
      <c r="C294" s="10"/>
      <c r="M294" s="54"/>
      <c r="N294" s="54"/>
    </row>
    <row r="295" spans="2:14" ht="12.75">
      <c r="B295" s="10"/>
      <c r="C295" s="10"/>
      <c r="M295" s="54"/>
      <c r="N295" s="54"/>
    </row>
    <row r="296" spans="2:14" ht="12.75">
      <c r="B296" s="10"/>
      <c r="C296" s="10"/>
      <c r="M296" s="54"/>
      <c r="N296" s="54"/>
    </row>
    <row r="297" spans="2:14" ht="12.75">
      <c r="B297" s="10"/>
      <c r="C297" s="10"/>
      <c r="M297" s="54"/>
      <c r="N297" s="54"/>
    </row>
    <row r="298" spans="2:14" ht="12.75">
      <c r="B298" s="10"/>
      <c r="C298" s="10"/>
      <c r="M298" s="54"/>
      <c r="N298" s="54"/>
    </row>
    <row r="299" spans="2:14" ht="12.75">
      <c r="B299" s="10"/>
      <c r="C299" s="10"/>
      <c r="M299" s="54"/>
      <c r="N299" s="54"/>
    </row>
    <row r="300" spans="2:14" ht="12.75">
      <c r="B300" s="10"/>
      <c r="C300" s="10"/>
      <c r="M300" s="54"/>
      <c r="N300" s="54"/>
    </row>
    <row r="301" spans="2:14" ht="12.75">
      <c r="B301" s="10"/>
      <c r="C301" s="10"/>
      <c r="M301" s="54"/>
      <c r="N301" s="54"/>
    </row>
    <row r="302" spans="2:14" ht="12.75">
      <c r="B302" s="10"/>
      <c r="C302" s="10"/>
      <c r="M302" s="54"/>
      <c r="N302" s="54"/>
    </row>
    <row r="303" spans="2:14" ht="12.75">
      <c r="B303" s="10"/>
      <c r="C303" s="10"/>
      <c r="M303" s="54"/>
      <c r="N303" s="54"/>
    </row>
    <row r="304" spans="2:14" ht="12.75">
      <c r="B304" s="10"/>
      <c r="C304" s="10"/>
      <c r="M304" s="54"/>
      <c r="N304" s="54"/>
    </row>
    <row r="305" spans="2:14" ht="12.75">
      <c r="B305" s="10"/>
      <c r="C305" s="10"/>
      <c r="M305" s="54"/>
      <c r="N305" s="54"/>
    </row>
    <row r="306" spans="2:14" ht="12.75">
      <c r="B306" s="10"/>
      <c r="C306" s="10"/>
      <c r="M306" s="54"/>
      <c r="N306" s="54"/>
    </row>
    <row r="307" spans="2:14" ht="12.75">
      <c r="B307" s="10"/>
      <c r="C307" s="10"/>
      <c r="M307" s="54"/>
      <c r="N307" s="54"/>
    </row>
    <row r="308" spans="2:14" ht="12.75">
      <c r="B308" s="10"/>
      <c r="C308" s="10"/>
      <c r="M308" s="54"/>
      <c r="N308" s="54"/>
    </row>
    <row r="309" spans="2:14" ht="12.75">
      <c r="B309" s="10"/>
      <c r="C309" s="10"/>
      <c r="M309" s="54"/>
      <c r="N309" s="54"/>
    </row>
    <row r="310" spans="2:14" ht="12.75">
      <c r="B310" s="10"/>
      <c r="C310" s="10"/>
      <c r="M310" s="54"/>
      <c r="N310" s="54"/>
    </row>
    <row r="311" spans="2:14" ht="12.75">
      <c r="B311" s="10"/>
      <c r="C311" s="10"/>
      <c r="M311" s="54"/>
      <c r="N311" s="54"/>
    </row>
    <row r="312" spans="2:14" ht="12.75">
      <c r="B312" s="10"/>
      <c r="C312" s="10"/>
      <c r="M312" s="54"/>
      <c r="N312" s="54"/>
    </row>
    <row r="313" spans="2:14" ht="12.75">
      <c r="B313" s="10"/>
      <c r="C313" s="10"/>
      <c r="M313" s="54"/>
      <c r="N313" s="54"/>
    </row>
    <row r="314" spans="2:14" ht="12.75">
      <c r="B314" s="10"/>
      <c r="C314" s="10"/>
      <c r="M314" s="54"/>
      <c r="N314" s="54"/>
    </row>
    <row r="315" spans="2:14" ht="12.75">
      <c r="B315" s="10"/>
      <c r="C315" s="10"/>
      <c r="M315" s="54"/>
      <c r="N315" s="54"/>
    </row>
    <row r="316" spans="2:14" ht="12.75">
      <c r="B316" s="10"/>
      <c r="C316" s="10"/>
      <c r="M316" s="54"/>
      <c r="N316" s="54"/>
    </row>
    <row r="317" spans="2:14" ht="12.75">
      <c r="B317" s="10"/>
      <c r="C317" s="10"/>
      <c r="M317" s="54"/>
      <c r="N317" s="54"/>
    </row>
    <row r="318" spans="2:14" ht="12.75">
      <c r="B318" s="10"/>
      <c r="C318" s="10"/>
      <c r="M318" s="54"/>
      <c r="N318" s="54"/>
    </row>
    <row r="319" spans="2:14" ht="12.75">
      <c r="B319" s="10"/>
      <c r="C319" s="10"/>
      <c r="M319" s="54"/>
      <c r="N319" s="54"/>
    </row>
    <row r="320" spans="2:14" ht="12.75">
      <c r="B320" s="10"/>
      <c r="C320" s="10"/>
      <c r="M320" s="54"/>
      <c r="N320" s="54"/>
    </row>
    <row r="321" spans="2:14" ht="12.75">
      <c r="B321" s="10"/>
      <c r="C321" s="10"/>
      <c r="M321" s="54"/>
      <c r="N321" s="54"/>
    </row>
    <row r="322" spans="2:14" ht="12.75">
      <c r="B322" s="10"/>
      <c r="C322" s="10"/>
      <c r="M322" s="54"/>
      <c r="N322" s="54"/>
    </row>
    <row r="323" spans="2:14" ht="12.75">
      <c r="B323" s="10"/>
      <c r="C323" s="10"/>
      <c r="M323" s="54"/>
      <c r="N323" s="54"/>
    </row>
    <row r="324" spans="2:14" ht="12.75">
      <c r="B324" s="10"/>
      <c r="C324" s="10"/>
      <c r="M324" s="54"/>
      <c r="N324" s="54"/>
    </row>
    <row r="325" spans="2:14" ht="12.75">
      <c r="B325" s="10"/>
      <c r="C325" s="10"/>
      <c r="M325" s="54"/>
      <c r="N325" s="54"/>
    </row>
    <row r="326" spans="2:14" ht="12.75">
      <c r="B326" s="10"/>
      <c r="C326" s="10"/>
      <c r="M326" s="54"/>
      <c r="N326" s="54"/>
    </row>
    <row r="327" spans="2:14" ht="12.75">
      <c r="B327" s="10"/>
      <c r="C327" s="10"/>
      <c r="M327" s="54"/>
      <c r="N327" s="54"/>
    </row>
    <row r="328" spans="2:14" ht="12.75">
      <c r="B328" s="10"/>
      <c r="C328" s="10"/>
      <c r="M328" s="54"/>
      <c r="N328" s="54"/>
    </row>
    <row r="329" spans="2:14" ht="12.75">
      <c r="B329" s="10"/>
      <c r="C329" s="10"/>
      <c r="M329" s="54"/>
      <c r="N329" s="54"/>
    </row>
    <row r="330" spans="2:14" ht="12.75">
      <c r="B330" s="10"/>
      <c r="C330" s="10"/>
      <c r="M330" s="54"/>
      <c r="N330" s="54"/>
    </row>
    <row r="331" spans="2:14" ht="12.75">
      <c r="B331" s="10"/>
      <c r="C331" s="10"/>
      <c r="M331" s="54"/>
      <c r="N331" s="54"/>
    </row>
    <row r="332" spans="2:14" ht="12.75">
      <c r="B332" s="10"/>
      <c r="C332" s="10"/>
      <c r="M332" s="54"/>
      <c r="N332" s="54"/>
    </row>
    <row r="333" spans="2:14" ht="12.75">
      <c r="B333" s="10"/>
      <c r="C333" s="10"/>
      <c r="M333" s="54"/>
      <c r="N333" s="54"/>
    </row>
    <row r="334" spans="2:14" ht="12.75">
      <c r="B334" s="10"/>
      <c r="C334" s="10"/>
      <c r="M334" s="54"/>
      <c r="N334" s="54"/>
    </row>
    <row r="335" spans="2:14" ht="12.75">
      <c r="B335" s="10"/>
      <c r="C335" s="10"/>
      <c r="M335" s="54"/>
      <c r="N335" s="54"/>
    </row>
    <row r="336" spans="2:14" ht="12.75">
      <c r="B336" s="10"/>
      <c r="C336" s="10"/>
      <c r="M336" s="54"/>
      <c r="N336" s="54"/>
    </row>
    <row r="337" spans="2:14" ht="12.75">
      <c r="B337" s="10"/>
      <c r="C337" s="10"/>
      <c r="M337" s="54"/>
      <c r="N337" s="54"/>
    </row>
    <row r="338" spans="2:14" ht="12.75">
      <c r="B338" s="10"/>
      <c r="C338" s="10"/>
      <c r="M338" s="54"/>
      <c r="N338" s="54"/>
    </row>
    <row r="339" spans="2:14" ht="12.75">
      <c r="B339" s="10"/>
      <c r="C339" s="10"/>
      <c r="M339" s="54"/>
      <c r="N339" s="54"/>
    </row>
    <row r="340" spans="2:14" ht="12.75">
      <c r="B340" s="10"/>
      <c r="C340" s="10"/>
      <c r="M340" s="54"/>
      <c r="N340" s="54"/>
    </row>
    <row r="341" spans="2:14" ht="12.75">
      <c r="B341" s="10"/>
      <c r="C341" s="10"/>
      <c r="M341" s="54"/>
      <c r="N341" s="54"/>
    </row>
    <row r="342" spans="2:14" ht="12.75">
      <c r="B342" s="10"/>
      <c r="C342" s="10"/>
      <c r="M342" s="54"/>
      <c r="N342" s="54"/>
    </row>
    <row r="343" spans="2:14" ht="12.75">
      <c r="B343" s="10"/>
      <c r="C343" s="10"/>
      <c r="M343" s="54"/>
      <c r="N343" s="54"/>
    </row>
    <row r="344" spans="2:14" ht="12.75">
      <c r="B344" s="10"/>
      <c r="C344" s="10"/>
      <c r="M344" s="54"/>
      <c r="N344" s="54"/>
    </row>
    <row r="345" spans="2:14" ht="12.75">
      <c r="B345" s="10"/>
      <c r="C345" s="10"/>
      <c r="M345" s="54"/>
      <c r="N345" s="54"/>
    </row>
    <row r="346" spans="2:14" ht="12.75">
      <c r="B346" s="10"/>
      <c r="C346" s="10"/>
      <c r="M346" s="54"/>
      <c r="N346" s="54"/>
    </row>
    <row r="347" spans="2:14" ht="12.75">
      <c r="B347" s="10"/>
      <c r="C347" s="10"/>
      <c r="M347" s="54"/>
      <c r="N347" s="54"/>
    </row>
    <row r="348" spans="2:14" ht="12.75">
      <c r="B348" s="10"/>
      <c r="C348" s="10"/>
      <c r="M348" s="54"/>
      <c r="N348" s="54"/>
    </row>
    <row r="349" spans="2:14" ht="12.75">
      <c r="B349" s="10"/>
      <c r="C349" s="10"/>
      <c r="M349" s="54"/>
      <c r="N349" s="54"/>
    </row>
    <row r="350" spans="2:14" ht="12.75">
      <c r="B350" s="10"/>
      <c r="C350" s="10"/>
      <c r="M350" s="54"/>
      <c r="N350" s="54"/>
    </row>
    <row r="351" spans="2:14" ht="12.75">
      <c r="B351" s="10"/>
      <c r="C351" s="10"/>
      <c r="M351" s="54"/>
      <c r="N351" s="54"/>
    </row>
    <row r="352" spans="2:14" ht="12.75">
      <c r="B352" s="10"/>
      <c r="C352" s="10"/>
      <c r="M352" s="54"/>
      <c r="N352" s="54"/>
    </row>
    <row r="353" spans="2:14" ht="12.75">
      <c r="B353" s="10"/>
      <c r="C353" s="10"/>
      <c r="M353" s="54"/>
      <c r="N353" s="54"/>
    </row>
    <row r="354" spans="2:14" ht="12.75">
      <c r="B354" s="10"/>
      <c r="C354" s="10"/>
      <c r="M354" s="54"/>
      <c r="N354" s="54"/>
    </row>
    <row r="355" spans="2:14" ht="12.75">
      <c r="B355" s="10"/>
      <c r="C355" s="10"/>
      <c r="M355" s="54"/>
      <c r="N355" s="54"/>
    </row>
    <row r="356" spans="2:14" ht="12.75">
      <c r="B356" s="10"/>
      <c r="C356" s="10"/>
      <c r="M356" s="54"/>
      <c r="N356" s="54"/>
    </row>
    <row r="357" spans="2:14" ht="12.75">
      <c r="B357" s="10"/>
      <c r="C357" s="10"/>
      <c r="M357" s="54"/>
      <c r="N357" s="54"/>
    </row>
    <row r="358" spans="2:14" ht="12.75">
      <c r="B358" s="10"/>
      <c r="C358" s="10"/>
      <c r="M358" s="54"/>
      <c r="N358" s="54"/>
    </row>
    <row r="359" spans="2:14" ht="12.75">
      <c r="B359" s="10"/>
      <c r="C359" s="10"/>
      <c r="M359" s="54"/>
      <c r="N359" s="54"/>
    </row>
    <row r="360" spans="2:14" ht="12.75">
      <c r="B360" s="10"/>
      <c r="C360" s="10"/>
      <c r="M360" s="54"/>
      <c r="N360" s="54"/>
    </row>
    <row r="361" spans="2:14" ht="12.75">
      <c r="B361" s="10"/>
      <c r="C361" s="10"/>
      <c r="M361" s="54"/>
      <c r="N361" s="54"/>
    </row>
    <row r="362" spans="2:14" ht="12.75">
      <c r="B362" s="10"/>
      <c r="C362" s="10"/>
      <c r="M362" s="54"/>
      <c r="N362" s="54"/>
    </row>
    <row r="363" spans="2:14" ht="12.75">
      <c r="B363" s="10"/>
      <c r="C363" s="10"/>
      <c r="M363" s="54"/>
      <c r="N363" s="54"/>
    </row>
    <row r="364" spans="2:14" ht="12.75">
      <c r="B364" s="10"/>
      <c r="C364" s="10"/>
      <c r="M364" s="54"/>
      <c r="N364" s="54"/>
    </row>
    <row r="365" spans="2:14" ht="12.75">
      <c r="B365" s="10"/>
      <c r="C365" s="10"/>
      <c r="M365" s="54"/>
      <c r="N365" s="54"/>
    </row>
    <row r="366" spans="2:14" ht="12.75">
      <c r="B366" s="10"/>
      <c r="C366" s="10"/>
      <c r="M366" s="54"/>
      <c r="N366" s="54"/>
    </row>
    <row r="367" spans="2:14" ht="12.75">
      <c r="B367" s="10"/>
      <c r="C367" s="10"/>
      <c r="M367" s="54"/>
      <c r="N367" s="54"/>
    </row>
    <row r="368" spans="2:14" ht="12.75">
      <c r="B368" s="10"/>
      <c r="C368" s="10"/>
      <c r="M368" s="54"/>
      <c r="N368" s="54"/>
    </row>
    <row r="369" spans="2:14" ht="12.75">
      <c r="B369" s="10"/>
      <c r="C369" s="10"/>
      <c r="M369" s="54"/>
      <c r="N369" s="54"/>
    </row>
    <row r="370" spans="2:14" ht="12.75">
      <c r="B370" s="10"/>
      <c r="C370" s="10"/>
      <c r="M370" s="54"/>
      <c r="N370" s="54"/>
    </row>
    <row r="371" spans="2:14" ht="12.75">
      <c r="B371" s="10"/>
      <c r="C371" s="10"/>
      <c r="M371" s="54"/>
      <c r="N371" s="54"/>
    </row>
    <row r="372" spans="2:14" ht="12.75">
      <c r="B372" s="10"/>
      <c r="C372" s="10"/>
      <c r="M372" s="54"/>
      <c r="N372" s="54"/>
    </row>
    <row r="373" spans="2:14" ht="12.75">
      <c r="B373" s="10"/>
      <c r="C373" s="10"/>
      <c r="M373" s="54"/>
      <c r="N373" s="54"/>
    </row>
    <row r="374" spans="2:14" ht="12.75">
      <c r="B374" s="10"/>
      <c r="C374" s="10"/>
      <c r="M374" s="54"/>
      <c r="N374" s="54"/>
    </row>
    <row r="375" spans="2:14" ht="12.75">
      <c r="B375" s="10"/>
      <c r="C375" s="10"/>
      <c r="M375" s="54"/>
      <c r="N375" s="54"/>
    </row>
    <row r="376" spans="2:14" ht="12.75">
      <c r="B376" s="10"/>
      <c r="C376" s="10"/>
      <c r="M376" s="54"/>
      <c r="N376" s="54"/>
    </row>
    <row r="377" spans="2:14" ht="12.75">
      <c r="B377" s="10"/>
      <c r="C377" s="10"/>
      <c r="M377" s="54"/>
      <c r="N377" s="54"/>
    </row>
    <row r="378" spans="2:14" ht="12.75">
      <c r="B378" s="10"/>
      <c r="C378" s="10"/>
      <c r="M378" s="54"/>
      <c r="N378" s="54"/>
    </row>
    <row r="379" spans="2:14" ht="12.75">
      <c r="B379" s="10"/>
      <c r="C379" s="10"/>
      <c r="M379" s="54"/>
      <c r="N379" s="54"/>
    </row>
    <row r="380" spans="2:14" ht="12.75">
      <c r="B380" s="10"/>
      <c r="C380" s="10"/>
      <c r="M380" s="54"/>
      <c r="N380" s="54"/>
    </row>
    <row r="381" spans="2:14" ht="12.75">
      <c r="B381" s="10"/>
      <c r="C381" s="10"/>
      <c r="M381" s="54"/>
      <c r="N381" s="54"/>
    </row>
    <row r="382" spans="2:14" ht="12.75">
      <c r="B382" s="10"/>
      <c r="C382" s="10"/>
      <c r="M382" s="54"/>
      <c r="N382" s="54"/>
    </row>
    <row r="383" spans="2:14" ht="12.75">
      <c r="B383" s="10"/>
      <c r="C383" s="10"/>
      <c r="M383" s="54"/>
      <c r="N383" s="54"/>
    </row>
    <row r="384" spans="2:14" ht="12.75">
      <c r="B384" s="10"/>
      <c r="C384" s="10"/>
      <c r="M384" s="54"/>
      <c r="N384" s="54"/>
    </row>
    <row r="385" spans="2:14" ht="12.75">
      <c r="B385" s="10"/>
      <c r="C385" s="10"/>
      <c r="M385" s="54"/>
      <c r="N385" s="54"/>
    </row>
    <row r="386" spans="2:14" ht="12.75">
      <c r="B386" s="10"/>
      <c r="C386" s="10"/>
      <c r="M386" s="54"/>
      <c r="N386" s="54"/>
    </row>
    <row r="387" spans="2:14" ht="12.75">
      <c r="B387" s="10"/>
      <c r="C387" s="10"/>
      <c r="M387" s="54"/>
      <c r="N387" s="54"/>
    </row>
    <row r="388" spans="2:14" ht="12.75">
      <c r="B388" s="10"/>
      <c r="C388" s="10"/>
      <c r="M388" s="54"/>
      <c r="N388" s="54"/>
    </row>
    <row r="389" spans="2:14" ht="12.75">
      <c r="B389" s="10"/>
      <c r="C389" s="10"/>
      <c r="M389" s="54"/>
      <c r="N389" s="54"/>
    </row>
    <row r="390" spans="2:14" ht="12.75">
      <c r="B390" s="10"/>
      <c r="C390" s="10"/>
      <c r="M390" s="54"/>
      <c r="N390" s="54"/>
    </row>
    <row r="391" spans="2:14" ht="12.75">
      <c r="B391" s="10"/>
      <c r="C391" s="10"/>
      <c r="M391" s="54"/>
      <c r="N391" s="54"/>
    </row>
    <row r="392" spans="2:14" ht="12.75">
      <c r="B392" s="10"/>
      <c r="C392" s="10"/>
      <c r="M392" s="54"/>
      <c r="N392" s="54"/>
    </row>
    <row r="393" spans="2:14" ht="12.75">
      <c r="B393" s="10"/>
      <c r="C393" s="10"/>
      <c r="M393" s="54"/>
      <c r="N393" s="54"/>
    </row>
    <row r="394" spans="2:14" ht="12.75">
      <c r="B394" s="10"/>
      <c r="C394" s="10"/>
      <c r="M394" s="54"/>
      <c r="N394" s="54"/>
    </row>
    <row r="395" spans="2:14" ht="12.75">
      <c r="B395" s="10"/>
      <c r="C395" s="10"/>
      <c r="M395" s="54"/>
      <c r="N395" s="54"/>
    </row>
    <row r="396" spans="2:14" ht="12.75">
      <c r="B396" s="10"/>
      <c r="C396" s="10"/>
      <c r="M396" s="54"/>
      <c r="N396" s="54"/>
    </row>
    <row r="397" spans="2:14" ht="12.75">
      <c r="B397" s="10"/>
      <c r="C397" s="10"/>
      <c r="M397" s="54"/>
      <c r="N397" s="54"/>
    </row>
    <row r="398" spans="2:14" ht="12.75">
      <c r="B398" s="10"/>
      <c r="C398" s="10"/>
      <c r="M398" s="54"/>
      <c r="N398" s="54"/>
    </row>
    <row r="399" spans="2:14" ht="12.75">
      <c r="B399" s="10"/>
      <c r="C399" s="10"/>
      <c r="M399" s="54"/>
      <c r="N399" s="54"/>
    </row>
    <row r="400" spans="2:14" ht="12.75">
      <c r="B400" s="10"/>
      <c r="C400" s="10"/>
      <c r="M400" s="54"/>
      <c r="N400" s="54"/>
    </row>
    <row r="401" spans="2:14" ht="12.75">
      <c r="B401" s="10"/>
      <c r="C401" s="10"/>
      <c r="M401" s="54"/>
      <c r="N401" s="54"/>
    </row>
    <row r="402" spans="2:14" ht="12.75">
      <c r="B402" s="10"/>
      <c r="C402" s="10"/>
      <c r="M402" s="54"/>
      <c r="N402" s="54"/>
    </row>
    <row r="403" spans="2:14" ht="12.75">
      <c r="B403" s="10"/>
      <c r="C403" s="10"/>
      <c r="M403" s="54"/>
      <c r="N403" s="54"/>
    </row>
    <row r="404" spans="2:14" ht="12.75">
      <c r="B404" s="10"/>
      <c r="C404" s="10"/>
      <c r="M404" s="54"/>
      <c r="N404" s="54"/>
    </row>
    <row r="405" spans="2:14" ht="12.75">
      <c r="B405" s="10"/>
      <c r="C405" s="10"/>
      <c r="M405" s="54"/>
      <c r="N405" s="54"/>
    </row>
    <row r="406" spans="2:14" ht="12.75">
      <c r="B406" s="10"/>
      <c r="C406" s="10"/>
      <c r="M406" s="54"/>
      <c r="N406" s="54"/>
    </row>
    <row r="407" spans="2:14" ht="12.75">
      <c r="B407" s="10"/>
      <c r="C407" s="10"/>
      <c r="M407" s="54"/>
      <c r="N407" s="54"/>
    </row>
    <row r="408" spans="2:14" ht="12.75">
      <c r="B408" s="10"/>
      <c r="C408" s="10"/>
      <c r="M408" s="54"/>
      <c r="N408" s="54"/>
    </row>
    <row r="409" spans="2:14" ht="12.75">
      <c r="B409" s="10"/>
      <c r="C409" s="10"/>
      <c r="M409" s="54"/>
      <c r="N409" s="54"/>
    </row>
    <row r="410" spans="2:14" ht="12.75">
      <c r="B410" s="10"/>
      <c r="C410" s="10"/>
      <c r="M410" s="54"/>
      <c r="N410" s="54"/>
    </row>
    <row r="411" spans="2:14" ht="12.75">
      <c r="B411" s="10"/>
      <c r="C411" s="10"/>
      <c r="M411" s="54"/>
      <c r="N411" s="54"/>
    </row>
    <row r="412" spans="2:14" ht="12.75">
      <c r="B412" s="10"/>
      <c r="C412" s="10"/>
      <c r="M412" s="54"/>
      <c r="N412" s="54"/>
    </row>
    <row r="413" spans="2:14" ht="12.75">
      <c r="B413" s="10"/>
      <c r="C413" s="10"/>
      <c r="M413" s="54"/>
      <c r="N413" s="54"/>
    </row>
    <row r="414" spans="2:14" ht="12.75">
      <c r="B414" s="10"/>
      <c r="C414" s="10"/>
      <c r="M414" s="54"/>
      <c r="N414" s="54"/>
    </row>
    <row r="415" spans="2:14" ht="12.75">
      <c r="B415" s="10"/>
      <c r="C415" s="10"/>
      <c r="M415" s="54"/>
      <c r="N415" s="54"/>
    </row>
    <row r="416" spans="2:14" ht="12.75">
      <c r="B416" s="10"/>
      <c r="C416" s="10"/>
      <c r="M416" s="54"/>
      <c r="N416" s="54"/>
    </row>
    <row r="417" spans="2:14" ht="12.75">
      <c r="B417" s="10"/>
      <c r="C417" s="10"/>
      <c r="M417" s="54"/>
      <c r="N417" s="54"/>
    </row>
    <row r="418" spans="2:14" ht="12.75">
      <c r="B418" s="10"/>
      <c r="C418" s="10"/>
      <c r="M418" s="54"/>
      <c r="N418" s="54"/>
    </row>
    <row r="419" spans="2:14" ht="12.75">
      <c r="B419" s="10"/>
      <c r="C419" s="10"/>
      <c r="M419" s="54"/>
      <c r="N419" s="54"/>
    </row>
    <row r="420" spans="2:14" ht="12.75">
      <c r="B420" s="10"/>
      <c r="C420" s="10"/>
      <c r="M420" s="54"/>
      <c r="N420" s="54"/>
    </row>
    <row r="421" spans="2:14" ht="12.75">
      <c r="B421" s="10"/>
      <c r="C421" s="10"/>
      <c r="M421" s="54"/>
      <c r="N421" s="54"/>
    </row>
    <row r="422" spans="2:14" ht="12.75">
      <c r="B422" s="10"/>
      <c r="C422" s="10"/>
      <c r="M422" s="54"/>
      <c r="N422" s="54"/>
    </row>
    <row r="423" spans="2:14" ht="12.75">
      <c r="B423" s="10"/>
      <c r="C423" s="10"/>
      <c r="M423" s="54"/>
      <c r="N423" s="54"/>
    </row>
    <row r="424" spans="2:14" ht="12.75">
      <c r="B424" s="10"/>
      <c r="C424" s="10"/>
      <c r="M424" s="54"/>
      <c r="N424" s="54"/>
    </row>
    <row r="425" spans="2:14" ht="12.75">
      <c r="B425" s="10"/>
      <c r="C425" s="10"/>
      <c r="M425" s="54"/>
      <c r="N425" s="54"/>
    </row>
    <row r="426" spans="2:14" ht="12.75">
      <c r="B426" s="10"/>
      <c r="C426" s="10"/>
      <c r="M426" s="54"/>
      <c r="N426" s="54"/>
    </row>
    <row r="427" spans="2:14" ht="12.75">
      <c r="B427" s="10"/>
      <c r="C427" s="10"/>
      <c r="M427" s="54"/>
      <c r="N427" s="54"/>
    </row>
    <row r="428" spans="2:14" ht="12.75">
      <c r="B428" s="10"/>
      <c r="C428" s="10"/>
      <c r="M428" s="54"/>
      <c r="N428" s="54"/>
    </row>
    <row r="429" spans="2:14" ht="12.75">
      <c r="B429" s="10"/>
      <c r="C429" s="10"/>
      <c r="M429" s="54"/>
      <c r="N429" s="54"/>
    </row>
    <row r="430" spans="2:14" ht="12.75">
      <c r="B430" s="10"/>
      <c r="C430" s="10"/>
      <c r="M430" s="54"/>
      <c r="N430" s="54"/>
    </row>
    <row r="431" spans="2:14" ht="12.75">
      <c r="B431" s="10"/>
      <c r="C431" s="10"/>
      <c r="M431" s="54"/>
      <c r="N431" s="54"/>
    </row>
    <row r="432" spans="2:14" ht="12.75">
      <c r="B432" s="10"/>
      <c r="C432" s="10"/>
      <c r="M432" s="54"/>
      <c r="N432" s="54"/>
    </row>
    <row r="433" spans="2:14" ht="12.75">
      <c r="B433" s="10"/>
      <c r="C433" s="10"/>
      <c r="M433" s="54"/>
      <c r="N433" s="54"/>
    </row>
    <row r="434" spans="2:14" ht="12.75">
      <c r="B434" s="10"/>
      <c r="C434" s="10"/>
      <c r="M434" s="54"/>
      <c r="N434" s="54"/>
    </row>
    <row r="435" spans="2:14" ht="12.75">
      <c r="B435" s="10"/>
      <c r="C435" s="10"/>
      <c r="M435" s="54"/>
      <c r="N435" s="54"/>
    </row>
    <row r="436" spans="2:14" ht="12.75">
      <c r="B436" s="10"/>
      <c r="C436" s="10"/>
      <c r="M436" s="54"/>
      <c r="N436" s="54"/>
    </row>
    <row r="437" spans="2:14" ht="12.75">
      <c r="B437" s="10"/>
      <c r="C437" s="10"/>
      <c r="M437" s="54"/>
      <c r="N437" s="54"/>
    </row>
    <row r="438" spans="2:14" ht="12.75">
      <c r="B438" s="10"/>
      <c r="C438" s="10"/>
      <c r="M438" s="54"/>
      <c r="N438" s="54"/>
    </row>
    <row r="439" spans="2:14" ht="12.75">
      <c r="B439" s="10"/>
      <c r="C439" s="10"/>
      <c r="M439" s="54"/>
      <c r="N439" s="54"/>
    </row>
    <row r="440" spans="2:14" ht="12.75">
      <c r="B440" s="10"/>
      <c r="C440" s="10"/>
      <c r="M440" s="54"/>
      <c r="N440" s="54"/>
    </row>
    <row r="441" spans="2:14" ht="12.75">
      <c r="B441" s="10"/>
      <c r="C441" s="10"/>
      <c r="M441" s="54"/>
      <c r="N441" s="54"/>
    </row>
    <row r="442" spans="2:14" ht="12.75">
      <c r="B442" s="10"/>
      <c r="C442" s="10"/>
      <c r="M442" s="54"/>
      <c r="N442" s="54"/>
    </row>
    <row r="443" spans="2:14" ht="12.75">
      <c r="B443" s="10"/>
      <c r="C443" s="10"/>
      <c r="M443" s="54"/>
      <c r="N443" s="54"/>
    </row>
    <row r="444" spans="2:14" ht="12.75">
      <c r="B444" s="10"/>
      <c r="C444" s="10"/>
      <c r="M444" s="54"/>
      <c r="N444" s="54"/>
    </row>
    <row r="445" spans="2:14" ht="12.75">
      <c r="B445" s="10"/>
      <c r="C445" s="10"/>
      <c r="M445" s="54"/>
      <c r="N445" s="54"/>
    </row>
    <row r="446" spans="2:14" ht="12.75">
      <c r="B446" s="10"/>
      <c r="C446" s="10"/>
      <c r="M446" s="54"/>
      <c r="N446" s="54"/>
    </row>
    <row r="447" spans="2:14" ht="12.75">
      <c r="B447" s="10"/>
      <c r="C447" s="10"/>
      <c r="M447" s="54"/>
      <c r="N447" s="54"/>
    </row>
    <row r="448" spans="2:14" ht="12.75">
      <c r="B448" s="10"/>
      <c r="C448" s="10"/>
      <c r="M448" s="54"/>
      <c r="N448" s="54"/>
    </row>
    <row r="449" spans="2:14" ht="12.75">
      <c r="B449" s="10"/>
      <c r="C449" s="10"/>
      <c r="M449" s="54"/>
      <c r="N449" s="54"/>
    </row>
    <row r="450" spans="2:14" ht="12.75">
      <c r="B450" s="10"/>
      <c r="C450" s="10"/>
      <c r="M450" s="54"/>
      <c r="N450" s="54"/>
    </row>
    <row r="451" spans="2:14" ht="12.75">
      <c r="B451" s="10"/>
      <c r="C451" s="10"/>
      <c r="M451" s="54"/>
      <c r="N451" s="54"/>
    </row>
    <row r="452" spans="2:14" ht="12.75">
      <c r="B452" s="10"/>
      <c r="C452" s="10"/>
      <c r="M452" s="54"/>
      <c r="N452" s="54"/>
    </row>
    <row r="453" spans="2:14" ht="12.75">
      <c r="B453" s="10"/>
      <c r="C453" s="10"/>
      <c r="M453" s="54"/>
      <c r="N453" s="54"/>
    </row>
    <row r="454" spans="2:14" ht="12.75">
      <c r="B454" s="10"/>
      <c r="C454" s="10"/>
      <c r="M454" s="54"/>
      <c r="N454" s="54"/>
    </row>
    <row r="455" spans="2:14" ht="12.75">
      <c r="B455" s="10"/>
      <c r="C455" s="10"/>
      <c r="M455" s="54"/>
      <c r="N455" s="54"/>
    </row>
    <row r="456" spans="2:14" ht="12.75">
      <c r="B456" s="10"/>
      <c r="C456" s="10"/>
      <c r="M456" s="54"/>
      <c r="N456" s="54"/>
    </row>
    <row r="457" spans="2:14" ht="12.75">
      <c r="B457" s="10"/>
      <c r="C457" s="10"/>
      <c r="M457" s="54"/>
      <c r="N457" s="54"/>
    </row>
    <row r="458" spans="2:14" ht="12.75">
      <c r="B458" s="10"/>
      <c r="C458" s="10"/>
      <c r="M458" s="54"/>
      <c r="N458" s="54"/>
    </row>
    <row r="459" spans="2:14" ht="12.75">
      <c r="B459" s="10"/>
      <c r="C459" s="10"/>
      <c r="M459" s="54"/>
      <c r="N459" s="54"/>
    </row>
    <row r="460" spans="2:14" ht="12.75">
      <c r="B460" s="10"/>
      <c r="C460" s="10"/>
      <c r="M460" s="54"/>
      <c r="N460" s="54"/>
    </row>
    <row r="461" spans="2:14" ht="12.75">
      <c r="B461" s="10"/>
      <c r="C461" s="10"/>
      <c r="M461" s="54"/>
      <c r="N461" s="54"/>
    </row>
    <row r="462" spans="2:14" ht="12.75">
      <c r="B462" s="10"/>
      <c r="C462" s="10"/>
      <c r="M462" s="54"/>
      <c r="N462" s="54"/>
    </row>
    <row r="463" spans="2:14" ht="12.75">
      <c r="B463" s="10"/>
      <c r="C463" s="10"/>
      <c r="M463" s="54"/>
      <c r="N463" s="54"/>
    </row>
    <row r="464" spans="2:14" ht="12.75">
      <c r="B464" s="10"/>
      <c r="C464" s="10"/>
      <c r="M464" s="54"/>
      <c r="N464" s="54"/>
    </row>
    <row r="465" spans="2:14" ht="12.75">
      <c r="B465" s="10"/>
      <c r="C465" s="10"/>
      <c r="M465" s="54"/>
      <c r="N465" s="54"/>
    </row>
    <row r="466" spans="2:14" ht="12.75">
      <c r="B466" s="10"/>
      <c r="C466" s="10"/>
      <c r="M466" s="54"/>
      <c r="N466" s="54"/>
    </row>
    <row r="467" spans="2:14" ht="12.75">
      <c r="B467" s="10"/>
      <c r="C467" s="10"/>
      <c r="M467" s="54"/>
      <c r="N467" s="54"/>
    </row>
    <row r="468" spans="2:14" ht="12.75">
      <c r="B468" s="10"/>
      <c r="C468" s="10"/>
      <c r="M468" s="54"/>
      <c r="N468" s="54"/>
    </row>
    <row r="469" spans="2:14" ht="12.75">
      <c r="B469" s="10"/>
      <c r="C469" s="10"/>
      <c r="M469" s="54"/>
      <c r="N469" s="54"/>
    </row>
    <row r="470" spans="2:14" ht="12.75">
      <c r="B470" s="10"/>
      <c r="C470" s="10"/>
      <c r="M470" s="54"/>
      <c r="N470" s="54"/>
    </row>
    <row r="471" spans="2:14" ht="12.75">
      <c r="B471" s="10"/>
      <c r="C471" s="10"/>
      <c r="M471" s="54"/>
      <c r="N471" s="54"/>
    </row>
    <row r="472" spans="2:14" ht="12.75">
      <c r="B472" s="10"/>
      <c r="C472" s="10"/>
      <c r="M472" s="54"/>
      <c r="N472" s="54"/>
    </row>
    <row r="473" spans="2:14" ht="12.75">
      <c r="B473" s="10"/>
      <c r="C473" s="10"/>
      <c r="M473" s="54"/>
      <c r="N473" s="54"/>
    </row>
    <row r="474" spans="2:14" ht="12.75">
      <c r="B474" s="10"/>
      <c r="C474" s="10"/>
      <c r="M474" s="54"/>
      <c r="N474" s="54"/>
    </row>
    <row r="475" spans="2:14" ht="12.75">
      <c r="B475" s="10"/>
      <c r="C475" s="10"/>
      <c r="M475" s="54"/>
      <c r="N475" s="54"/>
    </row>
    <row r="476" spans="2:14" ht="12.75">
      <c r="B476" s="10"/>
      <c r="C476" s="10"/>
      <c r="M476" s="54"/>
      <c r="N476" s="54"/>
    </row>
    <row r="477" spans="2:14" ht="12.75">
      <c r="B477" s="10"/>
      <c r="C477" s="10"/>
      <c r="M477" s="54"/>
      <c r="N477" s="54"/>
    </row>
    <row r="478" spans="2:14" ht="12.75">
      <c r="B478" s="10"/>
      <c r="C478" s="10"/>
      <c r="M478" s="54"/>
      <c r="N478" s="54"/>
    </row>
    <row r="479" spans="2:14" ht="12.75">
      <c r="B479" s="10"/>
      <c r="C479" s="10"/>
      <c r="M479" s="54"/>
      <c r="N479" s="54"/>
    </row>
    <row r="480" spans="2:14" ht="12.75">
      <c r="B480" s="10"/>
      <c r="C480" s="10"/>
      <c r="M480" s="54"/>
      <c r="N480" s="54"/>
    </row>
    <row r="481" spans="2:14" ht="12.75">
      <c r="B481" s="10"/>
      <c r="C481" s="10"/>
      <c r="M481" s="54"/>
      <c r="N481" s="54"/>
    </row>
    <row r="482" spans="2:14" ht="12.75">
      <c r="B482" s="10"/>
      <c r="C482" s="10"/>
      <c r="M482" s="54"/>
      <c r="N482" s="54"/>
    </row>
    <row r="483" spans="2:14" ht="12.75">
      <c r="B483" s="10"/>
      <c r="C483" s="10"/>
      <c r="M483" s="54"/>
      <c r="N483" s="54"/>
    </row>
    <row r="484" spans="2:14" ht="12.75">
      <c r="B484" s="10"/>
      <c r="C484" s="10"/>
      <c r="M484" s="54"/>
      <c r="N484" s="54"/>
    </row>
    <row r="485" spans="2:14" ht="12.75">
      <c r="B485" s="10"/>
      <c r="C485" s="10"/>
      <c r="M485" s="54"/>
      <c r="N485" s="54"/>
    </row>
    <row r="486" spans="2:14" ht="12.75">
      <c r="B486" s="10"/>
      <c r="C486" s="10"/>
      <c r="M486" s="54"/>
      <c r="N486" s="54"/>
    </row>
    <row r="487" spans="2:14" ht="12.75">
      <c r="B487" s="10"/>
      <c r="C487" s="10"/>
      <c r="M487" s="54"/>
      <c r="N487" s="54"/>
    </row>
    <row r="488" spans="2:14" ht="12.75">
      <c r="B488" s="10"/>
      <c r="C488" s="10"/>
      <c r="M488" s="54"/>
      <c r="N488" s="54"/>
    </row>
    <row r="489" spans="2:14" ht="12.75">
      <c r="B489" s="10"/>
      <c r="C489" s="10"/>
      <c r="M489" s="54"/>
      <c r="N489" s="54"/>
    </row>
    <row r="490" spans="2:14" ht="12.75">
      <c r="B490" s="10"/>
      <c r="C490" s="10"/>
      <c r="M490" s="54"/>
      <c r="N490" s="54"/>
    </row>
    <row r="491" spans="2:14" ht="12.75">
      <c r="B491" s="10"/>
      <c r="C491" s="10"/>
      <c r="M491" s="54"/>
      <c r="N491" s="54"/>
    </row>
    <row r="492" spans="2:14" ht="12.75">
      <c r="B492" s="10"/>
      <c r="C492" s="10"/>
      <c r="M492" s="54"/>
      <c r="N492" s="54"/>
    </row>
    <row r="493" spans="2:14" ht="12.75">
      <c r="B493" s="10"/>
      <c r="C493" s="10"/>
      <c r="M493" s="54"/>
      <c r="N493" s="54"/>
    </row>
    <row r="494" spans="2:14" ht="12.75">
      <c r="B494" s="10"/>
      <c r="C494" s="10"/>
      <c r="M494" s="54"/>
      <c r="N494" s="54"/>
    </row>
    <row r="495" spans="2:14" ht="12.75">
      <c r="B495" s="10"/>
      <c r="C495" s="10"/>
      <c r="M495" s="54"/>
      <c r="N495" s="54"/>
    </row>
    <row r="496" spans="2:14" ht="12.75">
      <c r="B496" s="10"/>
      <c r="C496" s="10"/>
      <c r="M496" s="54"/>
      <c r="N496" s="54"/>
    </row>
    <row r="497" spans="2:14" ht="12.75">
      <c r="B497" s="10"/>
      <c r="C497" s="10"/>
      <c r="M497" s="54"/>
      <c r="N497" s="54"/>
    </row>
    <row r="498" spans="2:14" ht="12.75">
      <c r="B498" s="10"/>
      <c r="C498" s="10"/>
      <c r="M498" s="54"/>
      <c r="N498" s="54"/>
    </row>
    <row r="499" spans="2:14" ht="12.75">
      <c r="B499" s="10"/>
      <c r="C499" s="10"/>
      <c r="M499" s="54"/>
      <c r="N499" s="54"/>
    </row>
    <row r="500" spans="2:14" ht="12.75">
      <c r="B500" s="10"/>
      <c r="C500" s="10"/>
      <c r="M500" s="54"/>
      <c r="N500" s="54"/>
    </row>
    <row r="501" spans="2:14" ht="12.75">
      <c r="B501" s="10"/>
      <c r="C501" s="10"/>
      <c r="M501" s="54"/>
      <c r="N501" s="54"/>
    </row>
    <row r="502" spans="2:14" ht="12.75">
      <c r="B502" s="10"/>
      <c r="C502" s="10"/>
      <c r="M502" s="54"/>
      <c r="N502" s="54"/>
    </row>
    <row r="503" spans="2:14" ht="12.75">
      <c r="B503" s="10"/>
      <c r="C503" s="10"/>
      <c r="M503" s="54"/>
      <c r="N503" s="54"/>
    </row>
    <row r="504" spans="2:14" ht="12.75">
      <c r="B504" s="10"/>
      <c r="C504" s="10"/>
      <c r="M504" s="54"/>
      <c r="N504" s="54"/>
    </row>
    <row r="505" spans="2:14" ht="12.75">
      <c r="B505" s="10"/>
      <c r="C505" s="10"/>
      <c r="M505" s="54"/>
      <c r="N505" s="54"/>
    </row>
    <row r="506" spans="2:14" ht="12.75">
      <c r="B506" s="10"/>
      <c r="C506" s="10"/>
      <c r="M506" s="54"/>
      <c r="N506" s="54"/>
    </row>
    <row r="507" spans="2:14" ht="12.75">
      <c r="B507" s="10"/>
      <c r="C507" s="10"/>
      <c r="M507" s="54"/>
      <c r="N507" s="54"/>
    </row>
    <row r="508" spans="2:14" ht="12.75">
      <c r="B508" s="10"/>
      <c r="C508" s="10"/>
      <c r="M508" s="54"/>
      <c r="N508" s="54"/>
    </row>
    <row r="509" spans="2:14" ht="12.75">
      <c r="B509" s="10"/>
      <c r="C509" s="10"/>
      <c r="M509" s="54"/>
      <c r="N509" s="54"/>
    </row>
    <row r="510" spans="2:14" ht="12.75">
      <c r="B510" s="10"/>
      <c r="C510" s="10"/>
      <c r="M510" s="54"/>
      <c r="N510" s="54"/>
    </row>
    <row r="511" spans="2:14" ht="12.75">
      <c r="B511" s="10"/>
      <c r="C511" s="10"/>
      <c r="M511" s="54"/>
      <c r="N511" s="54"/>
    </row>
    <row r="512" spans="2:14" ht="12.75">
      <c r="B512" s="10"/>
      <c r="C512" s="10"/>
      <c r="M512" s="54"/>
      <c r="N512" s="54"/>
    </row>
    <row r="513" spans="2:14" ht="12.75">
      <c r="B513" s="10"/>
      <c r="C513" s="10"/>
      <c r="M513" s="54"/>
      <c r="N513" s="54"/>
    </row>
    <row r="514" spans="2:14" ht="12.75">
      <c r="B514" s="10"/>
      <c r="C514" s="10"/>
      <c r="M514" s="54"/>
      <c r="N514" s="54"/>
    </row>
    <row r="515" spans="2:14" ht="12.75">
      <c r="B515" s="10"/>
      <c r="C515" s="10"/>
      <c r="M515" s="54"/>
      <c r="N515" s="54"/>
    </row>
    <row r="516" spans="2:14" ht="12.75">
      <c r="B516" s="10"/>
      <c r="C516" s="10"/>
      <c r="M516" s="54"/>
      <c r="N516" s="54"/>
    </row>
    <row r="517" spans="2:14" ht="12.75">
      <c r="B517" s="10"/>
      <c r="C517" s="10"/>
      <c r="M517" s="54"/>
      <c r="N517" s="54"/>
    </row>
    <row r="518" spans="2:14" ht="12.75">
      <c r="B518" s="10"/>
      <c r="C518" s="10"/>
      <c r="M518" s="54"/>
      <c r="N518" s="54"/>
    </row>
    <row r="519" spans="2:14" ht="12.75">
      <c r="B519" s="10"/>
      <c r="C519" s="10"/>
      <c r="M519" s="54"/>
      <c r="N519" s="54"/>
    </row>
    <row r="520" spans="2:14" ht="12.75">
      <c r="B520" s="10"/>
      <c r="C520" s="10"/>
      <c r="M520" s="54"/>
      <c r="N520" s="54"/>
    </row>
    <row r="521" spans="2:14" ht="12.75">
      <c r="B521" s="10"/>
      <c r="C521" s="10"/>
      <c r="M521" s="54"/>
      <c r="N521" s="54"/>
    </row>
    <row r="522" spans="2:14" ht="12.75">
      <c r="B522" s="10"/>
      <c r="C522" s="10"/>
      <c r="M522" s="54"/>
      <c r="N522" s="54"/>
    </row>
    <row r="523" spans="2:14" ht="12.75">
      <c r="B523" s="10"/>
      <c r="C523" s="10"/>
      <c r="M523" s="54"/>
      <c r="N523" s="54"/>
    </row>
    <row r="524" spans="2:14" ht="12.75">
      <c r="B524" s="10"/>
      <c r="C524" s="10"/>
      <c r="M524" s="54"/>
      <c r="N524" s="54"/>
    </row>
    <row r="525" spans="2:14" ht="12.75">
      <c r="B525" s="10"/>
      <c r="C525" s="10"/>
      <c r="M525" s="54"/>
      <c r="N525" s="54"/>
    </row>
    <row r="526" spans="2:14" ht="12.75">
      <c r="B526" s="10"/>
      <c r="C526" s="10"/>
      <c r="M526" s="54"/>
      <c r="N526" s="54"/>
    </row>
    <row r="527" spans="2:14" ht="12.75">
      <c r="B527" s="10"/>
      <c r="C527" s="10"/>
      <c r="M527" s="54"/>
      <c r="N527" s="54"/>
    </row>
    <row r="528" spans="2:14" ht="12.75">
      <c r="B528" s="10"/>
      <c r="C528" s="10"/>
      <c r="M528" s="54"/>
      <c r="N528" s="54"/>
    </row>
    <row r="529" spans="2:14" ht="12.75">
      <c r="B529" s="10"/>
      <c r="C529" s="10"/>
      <c r="M529" s="54"/>
      <c r="N529" s="54"/>
    </row>
    <row r="530" spans="2:14" ht="12.75">
      <c r="B530" s="10"/>
      <c r="C530" s="10"/>
      <c r="M530" s="54"/>
      <c r="N530" s="54"/>
    </row>
    <row r="531" spans="2:14" ht="12.75">
      <c r="B531" s="10"/>
      <c r="C531" s="10"/>
      <c r="M531" s="54"/>
      <c r="N531" s="54"/>
    </row>
    <row r="532" spans="2:14" ht="12.75">
      <c r="B532" s="10"/>
      <c r="C532" s="10"/>
      <c r="M532" s="54"/>
      <c r="N532" s="54"/>
    </row>
    <row r="533" spans="2:14" ht="12.75">
      <c r="B533" s="10"/>
      <c r="C533" s="10"/>
      <c r="M533" s="54"/>
      <c r="N533" s="54"/>
    </row>
    <row r="534" spans="2:14" ht="12.75">
      <c r="B534" s="10"/>
      <c r="C534" s="10"/>
      <c r="M534" s="54"/>
      <c r="N534" s="54"/>
    </row>
    <row r="535" spans="2:14" ht="12.75">
      <c r="B535" s="10"/>
      <c r="C535" s="10"/>
      <c r="M535" s="54"/>
      <c r="N535" s="54"/>
    </row>
    <row r="536" spans="2:14" ht="12.75">
      <c r="B536" s="10"/>
      <c r="C536" s="10"/>
      <c r="M536" s="54"/>
      <c r="N536" s="54"/>
    </row>
    <row r="537" spans="2:14" ht="12.75">
      <c r="B537" s="10"/>
      <c r="C537" s="10"/>
      <c r="M537" s="54"/>
      <c r="N537" s="54"/>
    </row>
    <row r="538" spans="2:14" ht="12.75">
      <c r="B538" s="10"/>
      <c r="C538" s="10"/>
      <c r="M538" s="54"/>
      <c r="N538" s="54"/>
    </row>
    <row r="539" spans="2:14" ht="12.75">
      <c r="B539" s="10"/>
      <c r="C539" s="10"/>
      <c r="M539" s="54"/>
      <c r="N539" s="54"/>
    </row>
    <row r="540" spans="2:14" ht="12.75">
      <c r="B540" s="10"/>
      <c r="C540" s="10"/>
      <c r="M540" s="54"/>
      <c r="N540" s="54"/>
    </row>
    <row r="541" spans="2:14" ht="12.75">
      <c r="B541" s="10"/>
      <c r="C541" s="10"/>
      <c r="M541" s="54"/>
      <c r="N541" s="54"/>
    </row>
    <row r="542" spans="2:14" ht="12.75">
      <c r="B542" s="10"/>
      <c r="C542" s="10"/>
      <c r="M542" s="54"/>
      <c r="N542" s="54"/>
    </row>
    <row r="543" spans="2:14" ht="12.75">
      <c r="B543" s="10"/>
      <c r="C543" s="10"/>
      <c r="M543" s="54"/>
      <c r="N543" s="54"/>
    </row>
    <row r="544" spans="2:14" ht="12.75">
      <c r="B544" s="10"/>
      <c r="C544" s="10"/>
      <c r="M544" s="54"/>
      <c r="N544" s="54"/>
    </row>
    <row r="545" spans="2:14" ht="12.75">
      <c r="B545" s="10"/>
      <c r="C545" s="10"/>
      <c r="M545" s="54"/>
      <c r="N545" s="54"/>
    </row>
    <row r="546" spans="2:14" ht="12.75">
      <c r="B546" s="10"/>
      <c r="C546" s="10"/>
      <c r="M546" s="54"/>
      <c r="N546" s="54"/>
    </row>
    <row r="547" spans="2:14" ht="12.75">
      <c r="B547" s="10"/>
      <c r="C547" s="10"/>
      <c r="M547" s="54"/>
      <c r="N547" s="54"/>
    </row>
    <row r="548" spans="2:14" ht="12.75">
      <c r="B548" s="10"/>
      <c r="C548" s="10"/>
      <c r="M548" s="54"/>
      <c r="N548" s="54"/>
    </row>
    <row r="549" spans="2:14" ht="12.75">
      <c r="B549" s="10"/>
      <c r="C549" s="10"/>
      <c r="M549" s="54"/>
      <c r="N549" s="54"/>
    </row>
    <row r="550" spans="2:14" ht="12.75">
      <c r="B550" s="10"/>
      <c r="C550" s="10"/>
      <c r="M550" s="54"/>
      <c r="N550" s="54"/>
    </row>
    <row r="551" spans="2:14" ht="12.75">
      <c r="B551" s="10"/>
      <c r="C551" s="10"/>
      <c r="M551" s="54"/>
      <c r="N551" s="54"/>
    </row>
    <row r="552" spans="2:14" ht="12.75">
      <c r="B552" s="10"/>
      <c r="C552" s="10"/>
      <c r="M552" s="54"/>
      <c r="N552" s="54"/>
    </row>
    <row r="553" spans="2:14" ht="12.75">
      <c r="B553" s="10"/>
      <c r="C553" s="10"/>
      <c r="M553" s="54"/>
      <c r="N553" s="54"/>
    </row>
    <row r="554" spans="2:14" ht="12.75">
      <c r="B554" s="10"/>
      <c r="C554" s="10"/>
      <c r="M554" s="54"/>
      <c r="N554" s="54"/>
    </row>
    <row r="555" spans="2:14" ht="12.75">
      <c r="B555" s="10"/>
      <c r="C555" s="10"/>
      <c r="M555" s="54"/>
      <c r="N555" s="54"/>
    </row>
    <row r="556" spans="2:14" ht="12.75">
      <c r="B556" s="10"/>
      <c r="C556" s="10"/>
      <c r="M556" s="54"/>
      <c r="N556" s="54"/>
    </row>
    <row r="557" spans="2:14" ht="12.75">
      <c r="B557" s="10"/>
      <c r="C557" s="10"/>
      <c r="M557" s="54"/>
      <c r="N557" s="54"/>
    </row>
    <row r="558" spans="2:14" ht="12.75">
      <c r="B558" s="10"/>
      <c r="C558" s="10"/>
      <c r="M558" s="54"/>
      <c r="N558" s="54"/>
    </row>
    <row r="559" spans="2:14" ht="12.75">
      <c r="B559" s="10"/>
      <c r="C559" s="10"/>
      <c r="M559" s="54"/>
      <c r="N559" s="54"/>
    </row>
    <row r="560" spans="2:14" ht="12.75">
      <c r="B560" s="10"/>
      <c r="C560" s="10"/>
      <c r="M560" s="54"/>
      <c r="N560" s="54"/>
    </row>
    <row r="561" spans="2:14" ht="12.75">
      <c r="B561" s="10"/>
      <c r="C561" s="10"/>
      <c r="M561" s="54"/>
      <c r="N561" s="54"/>
    </row>
    <row r="562" spans="2:14" ht="12.75">
      <c r="B562" s="10"/>
      <c r="C562" s="10"/>
      <c r="M562" s="54"/>
      <c r="N562" s="54"/>
    </row>
    <row r="563" spans="2:14" ht="12.75">
      <c r="B563" s="10"/>
      <c r="C563" s="10"/>
      <c r="M563" s="54"/>
      <c r="N563" s="54"/>
    </row>
    <row r="564" spans="2:14" ht="12.75">
      <c r="B564" s="10"/>
      <c r="C564" s="10"/>
      <c r="M564" s="54"/>
      <c r="N564" s="54"/>
    </row>
    <row r="565" spans="2:14" ht="12.75">
      <c r="B565" s="10"/>
      <c r="C565" s="10"/>
      <c r="M565" s="54"/>
      <c r="N565" s="54"/>
    </row>
    <row r="566" spans="2:14" ht="12.75">
      <c r="B566" s="10"/>
      <c r="C566" s="10"/>
      <c r="M566" s="54"/>
      <c r="N566" s="54"/>
    </row>
    <row r="567" spans="2:14" ht="12.75">
      <c r="B567" s="10"/>
      <c r="C567" s="10"/>
      <c r="M567" s="54"/>
      <c r="N567" s="54"/>
    </row>
    <row r="568" spans="2:14" ht="12.75">
      <c r="B568" s="10"/>
      <c r="C568" s="10"/>
      <c r="M568" s="54"/>
      <c r="N568" s="54"/>
    </row>
    <row r="569" spans="2:14" ht="12.75">
      <c r="B569" s="10"/>
      <c r="C569" s="10"/>
      <c r="M569" s="54"/>
      <c r="N569" s="54"/>
    </row>
    <row r="570" spans="2:14" ht="12.75">
      <c r="B570" s="10"/>
      <c r="C570" s="10"/>
      <c r="M570" s="54"/>
      <c r="N570" s="54"/>
    </row>
    <row r="571" spans="2:14" ht="12.75">
      <c r="B571" s="10"/>
      <c r="C571" s="10"/>
      <c r="M571" s="54"/>
      <c r="N571" s="54"/>
    </row>
    <row r="572" spans="2:14" ht="12.75">
      <c r="B572" s="10"/>
      <c r="C572" s="10"/>
      <c r="M572" s="54"/>
      <c r="N572" s="54"/>
    </row>
    <row r="573" spans="2:14" ht="12.75">
      <c r="B573" s="10"/>
      <c r="C573" s="10"/>
      <c r="M573" s="54"/>
      <c r="N573" s="54"/>
    </row>
    <row r="574" spans="2:14" ht="12.75">
      <c r="B574" s="10"/>
      <c r="C574" s="10"/>
      <c r="M574" s="54"/>
      <c r="N574" s="54"/>
    </row>
    <row r="575" spans="2:14" ht="12.75">
      <c r="B575" s="10"/>
      <c r="C575" s="10"/>
      <c r="M575" s="54"/>
      <c r="N575" s="54"/>
    </row>
    <row r="576" spans="2:14" ht="12.75">
      <c r="B576" s="10"/>
      <c r="C576" s="10"/>
      <c r="M576" s="54"/>
      <c r="N576" s="54"/>
    </row>
    <row r="577" spans="2:14" ht="12.75">
      <c r="B577" s="10"/>
      <c r="C577" s="10"/>
      <c r="M577" s="54"/>
      <c r="N577" s="54"/>
    </row>
    <row r="578" spans="2:14" ht="12.75">
      <c r="B578" s="10"/>
      <c r="C578" s="10"/>
      <c r="M578" s="54"/>
      <c r="N578" s="54"/>
    </row>
    <row r="579" spans="2:14" ht="12.75">
      <c r="B579" s="10"/>
      <c r="C579" s="10"/>
      <c r="M579" s="54"/>
      <c r="N579" s="54"/>
    </row>
    <row r="580" spans="2:14" ht="12.75">
      <c r="B580" s="10"/>
      <c r="C580" s="10"/>
      <c r="M580" s="54"/>
      <c r="N580" s="54"/>
    </row>
    <row r="581" spans="2:14" ht="12.75">
      <c r="B581" s="10"/>
      <c r="C581" s="10"/>
      <c r="M581" s="54"/>
      <c r="N581" s="54"/>
    </row>
    <row r="582" spans="2:14" ht="12.75">
      <c r="B582" s="10"/>
      <c r="C582" s="10"/>
      <c r="M582" s="54"/>
      <c r="N582" s="54"/>
    </row>
    <row r="583" spans="2:14" ht="12.75">
      <c r="B583" s="10"/>
      <c r="C583" s="10"/>
      <c r="M583" s="54"/>
      <c r="N583" s="54"/>
    </row>
    <row r="584" spans="2:14" ht="12.75">
      <c r="B584" s="10"/>
      <c r="C584" s="10"/>
      <c r="M584" s="54"/>
      <c r="N584" s="54"/>
    </row>
    <row r="585" spans="2:14" ht="12.75">
      <c r="B585" s="10"/>
      <c r="C585" s="10"/>
      <c r="M585" s="54"/>
      <c r="N585" s="54"/>
    </row>
    <row r="586" spans="2:14" ht="12.75">
      <c r="B586" s="10"/>
      <c r="C586" s="10"/>
      <c r="M586" s="54"/>
      <c r="N586" s="54"/>
    </row>
    <row r="587" spans="2:14" ht="12.75">
      <c r="B587" s="10"/>
      <c r="C587" s="10"/>
      <c r="M587" s="54"/>
      <c r="N587" s="54"/>
    </row>
    <row r="588" spans="2:14" ht="12.75">
      <c r="B588" s="10"/>
      <c r="C588" s="10"/>
      <c r="M588" s="54"/>
      <c r="N588" s="54"/>
    </row>
    <row r="589" spans="2:14" ht="12.75">
      <c r="B589" s="10"/>
      <c r="C589" s="10"/>
      <c r="M589" s="54"/>
      <c r="N589" s="54"/>
    </row>
    <row r="590" spans="2:14" ht="12.75">
      <c r="B590" s="10"/>
      <c r="C590" s="10"/>
      <c r="M590" s="54"/>
      <c r="N590" s="54"/>
    </row>
    <row r="591" spans="2:14" ht="12.75">
      <c r="B591" s="10"/>
      <c r="C591" s="10"/>
      <c r="M591" s="54"/>
      <c r="N591" s="54"/>
    </row>
    <row r="592" spans="2:14" ht="12.75">
      <c r="B592" s="10"/>
      <c r="C592" s="10"/>
      <c r="M592" s="54"/>
      <c r="N592" s="54"/>
    </row>
    <row r="593" spans="2:14" ht="12.75">
      <c r="B593" s="10"/>
      <c r="C593" s="10"/>
      <c r="M593" s="54"/>
      <c r="N593" s="54"/>
    </row>
    <row r="594" spans="2:14" ht="12.75">
      <c r="B594" s="10"/>
      <c r="C594" s="10"/>
      <c r="M594" s="54"/>
      <c r="N594" s="54"/>
    </row>
    <row r="595" spans="2:14" ht="12.75">
      <c r="B595" s="10"/>
      <c r="C595" s="10"/>
      <c r="M595" s="54"/>
      <c r="N595" s="54"/>
    </row>
    <row r="596" spans="2:14" ht="12.75">
      <c r="B596" s="10"/>
      <c r="C596" s="10"/>
      <c r="M596" s="54"/>
      <c r="N596" s="54"/>
    </row>
    <row r="597" spans="2:14" ht="12.75">
      <c r="B597" s="10"/>
      <c r="C597" s="10"/>
      <c r="M597" s="54"/>
      <c r="N597" s="54"/>
    </row>
    <row r="598" spans="2:14" ht="12.75">
      <c r="B598" s="10"/>
      <c r="C598" s="10"/>
      <c r="M598" s="54"/>
      <c r="N598" s="54"/>
    </row>
    <row r="599" spans="2:14" ht="12.75">
      <c r="B599" s="10"/>
      <c r="C599" s="10"/>
      <c r="M599" s="54"/>
      <c r="N599" s="54"/>
    </row>
    <row r="600" spans="2:14" ht="12.75">
      <c r="B600" s="10"/>
      <c r="C600" s="10"/>
      <c r="M600" s="54"/>
      <c r="N600" s="54"/>
    </row>
    <row r="601" spans="2:14" ht="12.75">
      <c r="B601" s="10"/>
      <c r="C601" s="10"/>
      <c r="M601" s="54"/>
      <c r="N601" s="54"/>
    </row>
    <row r="602" spans="2:14" ht="12.75">
      <c r="B602" s="10"/>
      <c r="C602" s="10"/>
      <c r="M602" s="54"/>
      <c r="N602" s="54"/>
    </row>
    <row r="603" spans="2:14" ht="12.75">
      <c r="B603" s="10"/>
      <c r="C603" s="10"/>
      <c r="M603" s="54"/>
      <c r="N603" s="54"/>
    </row>
    <row r="604" spans="2:14" ht="12.75">
      <c r="B604" s="10"/>
      <c r="C604" s="10"/>
      <c r="M604" s="54"/>
      <c r="N604" s="54"/>
    </row>
    <row r="605" spans="2:14" ht="12.75">
      <c r="B605" s="10"/>
      <c r="C605" s="10"/>
      <c r="M605" s="54"/>
      <c r="N605" s="54"/>
    </row>
    <row r="606" spans="2:14" ht="12.75">
      <c r="B606" s="10"/>
      <c r="C606" s="10"/>
      <c r="M606" s="54"/>
      <c r="N606" s="54"/>
    </row>
    <row r="607" spans="2:14" ht="12.75">
      <c r="B607" s="10"/>
      <c r="C607" s="10"/>
      <c r="M607" s="54"/>
      <c r="N607" s="54"/>
    </row>
    <row r="608" spans="2:14" ht="12.75">
      <c r="B608" s="10"/>
      <c r="C608" s="10"/>
      <c r="M608" s="54"/>
      <c r="N608" s="54"/>
    </row>
    <row r="609" spans="2:14" ht="12.75">
      <c r="B609" s="10"/>
      <c r="C609" s="10"/>
      <c r="M609" s="54"/>
      <c r="N609" s="54"/>
    </row>
    <row r="610" spans="2:14" ht="12.75">
      <c r="B610" s="10"/>
      <c r="C610" s="10"/>
      <c r="M610" s="54"/>
      <c r="N610" s="54"/>
    </row>
    <row r="611" spans="2:14" ht="12.75">
      <c r="B611" s="10"/>
      <c r="C611" s="10"/>
      <c r="M611" s="54"/>
      <c r="N611" s="54"/>
    </row>
    <row r="612" spans="2:14" ht="12.75">
      <c r="B612" s="10"/>
      <c r="C612" s="10"/>
      <c r="M612" s="54"/>
      <c r="N612" s="54"/>
    </row>
    <row r="613" spans="2:14" ht="12.75">
      <c r="B613" s="10"/>
      <c r="C613" s="10"/>
      <c r="M613" s="54"/>
      <c r="N613" s="54"/>
    </row>
    <row r="614" spans="2:14" ht="12.75">
      <c r="B614" s="10"/>
      <c r="C614" s="10"/>
      <c r="M614" s="54"/>
      <c r="N614" s="54"/>
    </row>
    <row r="615" spans="2:14" ht="12.75">
      <c r="B615" s="10"/>
      <c r="C615" s="10"/>
      <c r="M615" s="54"/>
      <c r="N615" s="54"/>
    </row>
    <row r="616" spans="2:14" ht="12.75">
      <c r="B616" s="10"/>
      <c r="C616" s="10"/>
      <c r="M616" s="54"/>
      <c r="N616" s="54"/>
    </row>
    <row r="617" spans="2:14" ht="12.75">
      <c r="B617" s="10"/>
      <c r="C617" s="10"/>
      <c r="M617" s="54"/>
      <c r="N617" s="54"/>
    </row>
    <row r="618" spans="2:14" ht="12.75">
      <c r="B618" s="10"/>
      <c r="C618" s="10"/>
      <c r="M618" s="54"/>
      <c r="N618" s="54"/>
    </row>
    <row r="619" spans="2:14" ht="12.75">
      <c r="B619" s="10"/>
      <c r="C619" s="10"/>
      <c r="M619" s="54"/>
      <c r="N619" s="54"/>
    </row>
    <row r="620" spans="2:14" ht="12.75">
      <c r="B620" s="10"/>
      <c r="C620" s="10"/>
      <c r="M620" s="54"/>
      <c r="N620" s="54"/>
    </row>
    <row r="621" spans="2:14" ht="12.75">
      <c r="B621" s="10"/>
      <c r="C621" s="10"/>
      <c r="M621" s="54"/>
      <c r="N621" s="54"/>
    </row>
    <row r="622" spans="2:14" ht="12.75">
      <c r="B622" s="10"/>
      <c r="C622" s="10"/>
      <c r="M622" s="54"/>
      <c r="N622" s="54"/>
    </row>
    <row r="623" spans="2:14" ht="12.75">
      <c r="B623" s="10"/>
      <c r="C623" s="10"/>
      <c r="M623" s="54"/>
      <c r="N623" s="54"/>
    </row>
    <row r="624" spans="2:14" ht="12.75">
      <c r="B624" s="10"/>
      <c r="C624" s="10"/>
      <c r="M624" s="54"/>
      <c r="N624" s="54"/>
    </row>
    <row r="625" spans="2:14" ht="12.75">
      <c r="B625" s="10"/>
      <c r="C625" s="10"/>
      <c r="M625" s="54"/>
      <c r="N625" s="54"/>
    </row>
    <row r="626" spans="2:14" ht="12.75">
      <c r="B626" s="10"/>
      <c r="C626" s="10"/>
      <c r="M626" s="54"/>
      <c r="N626" s="54"/>
    </row>
    <row r="627" spans="2:14" ht="12.75">
      <c r="B627" s="10"/>
      <c r="C627" s="10"/>
      <c r="M627" s="54"/>
      <c r="N627" s="54"/>
    </row>
    <row r="628" spans="2:14" ht="12.75">
      <c r="B628" s="10"/>
      <c r="C628" s="10"/>
      <c r="M628" s="54"/>
      <c r="N628" s="54"/>
    </row>
    <row r="629" spans="2:14" ht="12.75">
      <c r="B629" s="10"/>
      <c r="C629" s="10"/>
      <c r="M629" s="54"/>
      <c r="N629" s="54"/>
    </row>
    <row r="630" spans="2:14" ht="12.75">
      <c r="B630" s="10"/>
      <c r="C630" s="10"/>
      <c r="M630" s="54"/>
      <c r="N630" s="54"/>
    </row>
    <row r="631" spans="2:14" ht="12.75">
      <c r="B631" s="10"/>
      <c r="C631" s="10"/>
      <c r="M631" s="54"/>
      <c r="N631" s="54"/>
    </row>
    <row r="632" spans="2:14" ht="12.75">
      <c r="B632" s="10"/>
      <c r="C632" s="10"/>
      <c r="M632" s="54"/>
      <c r="N632" s="54"/>
    </row>
    <row r="633" spans="2:14" ht="12.75">
      <c r="B633" s="10"/>
      <c r="C633" s="10"/>
      <c r="M633" s="54"/>
      <c r="N633" s="54"/>
    </row>
    <row r="634" spans="2:14" ht="12.75">
      <c r="B634" s="10"/>
      <c r="C634" s="10"/>
      <c r="M634" s="54"/>
      <c r="N634" s="54"/>
    </row>
    <row r="635" spans="2:14" ht="12.75">
      <c r="B635" s="10"/>
      <c r="C635" s="10"/>
      <c r="M635" s="54"/>
      <c r="N635" s="54"/>
    </row>
    <row r="636" spans="2:14" ht="12.75">
      <c r="B636" s="10"/>
      <c r="C636" s="10"/>
      <c r="M636" s="54"/>
      <c r="N636" s="54"/>
    </row>
    <row r="637" spans="2:14" ht="12.75">
      <c r="B637" s="10"/>
      <c r="C637" s="10"/>
      <c r="M637" s="54"/>
      <c r="N637" s="54"/>
    </row>
    <row r="638" spans="2:14" ht="12.75">
      <c r="B638" s="10"/>
      <c r="C638" s="10"/>
      <c r="M638" s="54"/>
      <c r="N638" s="54"/>
    </row>
    <row r="639" spans="2:14" ht="12.75">
      <c r="B639" s="10"/>
      <c r="C639" s="10"/>
      <c r="M639" s="54"/>
      <c r="N639" s="54"/>
    </row>
    <row r="640" spans="2:14" ht="12.75">
      <c r="B640" s="10"/>
      <c r="C640" s="10"/>
      <c r="M640" s="54"/>
      <c r="N640" s="54"/>
    </row>
    <row r="641" spans="2:14" ht="12.75">
      <c r="B641" s="10"/>
      <c r="C641" s="10"/>
      <c r="M641" s="54"/>
      <c r="N641" s="54"/>
    </row>
    <row r="642" spans="2:14" ht="12.75">
      <c r="B642" s="10"/>
      <c r="C642" s="10"/>
      <c r="M642" s="54"/>
      <c r="N642" s="54"/>
    </row>
    <row r="643" spans="2:14" ht="12.75">
      <c r="B643" s="10"/>
      <c r="C643" s="10"/>
      <c r="M643" s="54"/>
      <c r="N643" s="54"/>
    </row>
    <row r="644" spans="2:14" ht="12.75">
      <c r="B644" s="10"/>
      <c r="C644" s="10"/>
      <c r="M644" s="54"/>
      <c r="N644" s="54"/>
    </row>
    <row r="645" spans="2:14" ht="12.75">
      <c r="B645" s="10"/>
      <c r="C645" s="10"/>
      <c r="M645" s="54"/>
      <c r="N645" s="54"/>
    </row>
    <row r="646" spans="2:14" ht="12.75">
      <c r="B646" s="10"/>
      <c r="C646" s="10"/>
      <c r="M646" s="54"/>
      <c r="N646" s="54"/>
    </row>
    <row r="647" spans="2:14" ht="12.75">
      <c r="B647" s="10"/>
      <c r="C647" s="10"/>
      <c r="M647" s="54"/>
      <c r="N647" s="54"/>
    </row>
    <row r="648" spans="2:14" ht="12.75">
      <c r="B648" s="10"/>
      <c r="C648" s="10"/>
      <c r="M648" s="54"/>
      <c r="N648" s="54"/>
    </row>
    <row r="649" spans="2:14" ht="12.75">
      <c r="B649" s="10"/>
      <c r="C649" s="10"/>
      <c r="M649" s="54"/>
      <c r="N649" s="54"/>
    </row>
    <row r="650" spans="2:14" ht="12.75">
      <c r="B650" s="10"/>
      <c r="C650" s="10"/>
      <c r="M650" s="54"/>
      <c r="N650" s="54"/>
    </row>
    <row r="651" spans="2:14" ht="12.75">
      <c r="B651" s="10"/>
      <c r="C651" s="10"/>
      <c r="M651" s="54"/>
      <c r="N651" s="54"/>
    </row>
    <row r="652" spans="2:14" ht="12.75">
      <c r="B652" s="10"/>
      <c r="C652" s="10"/>
      <c r="M652" s="54"/>
      <c r="N652" s="54"/>
    </row>
    <row r="653" spans="2:14" ht="12.75">
      <c r="B653" s="10"/>
      <c r="C653" s="10"/>
      <c r="M653" s="54"/>
      <c r="N653" s="54"/>
    </row>
    <row r="654" spans="2:14" ht="12.75">
      <c r="B654" s="10"/>
      <c r="C654" s="10"/>
      <c r="M654" s="54"/>
      <c r="N654" s="54"/>
    </row>
    <row r="655" spans="2:14" ht="12.75">
      <c r="B655" s="10"/>
      <c r="C655" s="10"/>
      <c r="M655" s="54"/>
      <c r="N655" s="54"/>
    </row>
    <row r="656" spans="2:14" ht="12.75">
      <c r="B656" s="10"/>
      <c r="C656" s="10"/>
      <c r="M656" s="54"/>
      <c r="N656" s="54"/>
    </row>
    <row r="657" spans="2:14" ht="12.75">
      <c r="B657" s="10"/>
      <c r="C657" s="10"/>
      <c r="M657" s="54"/>
      <c r="N657" s="54"/>
    </row>
    <row r="658" spans="2:14" ht="12.75">
      <c r="B658" s="10"/>
      <c r="C658" s="10"/>
      <c r="M658" s="54"/>
      <c r="N658" s="54"/>
    </row>
    <row r="659" spans="2:14" ht="12.75">
      <c r="B659" s="10"/>
      <c r="C659" s="10"/>
      <c r="M659" s="54"/>
      <c r="N659" s="54"/>
    </row>
    <row r="660" spans="2:14" ht="12.75">
      <c r="B660" s="10"/>
      <c r="C660" s="10"/>
      <c r="M660" s="54"/>
      <c r="N660" s="54"/>
    </row>
    <row r="661" spans="2:14" ht="12.75">
      <c r="B661" s="10"/>
      <c r="C661" s="10"/>
      <c r="M661" s="54"/>
      <c r="N661" s="54"/>
    </row>
    <row r="662" spans="2:14" ht="12.75">
      <c r="B662" s="10"/>
      <c r="C662" s="10"/>
      <c r="M662" s="54"/>
      <c r="N662" s="54"/>
    </row>
    <row r="663" spans="2:14" ht="12.75">
      <c r="B663" s="10"/>
      <c r="C663" s="10"/>
      <c r="M663" s="54"/>
      <c r="N663" s="54"/>
    </row>
    <row r="664" spans="2:14" ht="12.75">
      <c r="B664" s="10"/>
      <c r="C664" s="10"/>
      <c r="M664" s="54"/>
      <c r="N664" s="54"/>
    </row>
    <row r="665" spans="2:14" ht="12.75">
      <c r="B665" s="10"/>
      <c r="C665" s="10"/>
      <c r="M665" s="54"/>
      <c r="N665" s="54"/>
    </row>
    <row r="666" spans="2:14" ht="12.75">
      <c r="B666" s="10"/>
      <c r="C666" s="10"/>
      <c r="M666" s="54"/>
      <c r="N666" s="54"/>
    </row>
    <row r="667" spans="2:14" ht="12.75">
      <c r="B667" s="10"/>
      <c r="C667" s="10"/>
      <c r="M667" s="54"/>
      <c r="N667" s="54"/>
    </row>
    <row r="668" spans="2:14" ht="12.75">
      <c r="B668" s="10"/>
      <c r="C668" s="10"/>
      <c r="M668" s="54"/>
      <c r="N668" s="54"/>
    </row>
    <row r="669" spans="2:14" ht="12.75">
      <c r="B669" s="10"/>
      <c r="C669" s="10"/>
      <c r="M669" s="54"/>
      <c r="N669" s="54"/>
    </row>
    <row r="670" spans="2:14" ht="12.75">
      <c r="B670" s="10"/>
      <c r="C670" s="10"/>
      <c r="M670" s="54"/>
      <c r="N670" s="54"/>
    </row>
    <row r="671" spans="2:14" ht="12.75">
      <c r="B671" s="10"/>
      <c r="C671" s="10"/>
      <c r="M671" s="54"/>
      <c r="N671" s="54"/>
    </row>
    <row r="672" spans="2:14" ht="12.75">
      <c r="B672" s="10"/>
      <c r="C672" s="10"/>
      <c r="M672" s="54"/>
      <c r="N672" s="54"/>
    </row>
    <row r="673" spans="2:14" ht="12.75">
      <c r="B673" s="10"/>
      <c r="C673" s="10"/>
      <c r="M673" s="54"/>
      <c r="N673" s="54"/>
    </row>
    <row r="674" spans="2:14" ht="12.75">
      <c r="B674" s="10"/>
      <c r="C674" s="10"/>
      <c r="M674" s="54"/>
      <c r="N674" s="54"/>
    </row>
    <row r="675" spans="2:14" ht="12.75">
      <c r="B675" s="10"/>
      <c r="C675" s="10"/>
      <c r="M675" s="54"/>
      <c r="N675" s="54"/>
    </row>
    <row r="676" spans="2:14" ht="12.75">
      <c r="B676" s="10"/>
      <c r="C676" s="10"/>
      <c r="M676" s="54"/>
      <c r="N676" s="54"/>
    </row>
    <row r="677" spans="2:14" ht="12.75">
      <c r="B677" s="10"/>
      <c r="C677" s="10"/>
      <c r="M677" s="54"/>
      <c r="N677" s="54"/>
    </row>
    <row r="678" spans="2:14" ht="12.75">
      <c r="B678" s="10"/>
      <c r="C678" s="10"/>
      <c r="M678" s="54"/>
      <c r="N678" s="54"/>
    </row>
    <row r="679" spans="2:14" ht="12.75">
      <c r="B679" s="10"/>
      <c r="C679" s="10"/>
      <c r="M679" s="54"/>
      <c r="N679" s="54"/>
    </row>
    <row r="680" spans="2:14" ht="12.75">
      <c r="B680" s="10"/>
      <c r="C680" s="10"/>
      <c r="M680" s="54"/>
      <c r="N680" s="54"/>
    </row>
    <row r="681" spans="2:14" ht="12.75">
      <c r="B681" s="10"/>
      <c r="C681" s="10"/>
      <c r="M681" s="54"/>
      <c r="N681" s="54"/>
    </row>
    <row r="682" spans="2:14" ht="12.75">
      <c r="B682" s="10"/>
      <c r="C682" s="10"/>
      <c r="M682" s="54"/>
      <c r="N682" s="54"/>
    </row>
    <row r="683" spans="2:14" ht="12.75">
      <c r="B683" s="10"/>
      <c r="C683" s="10"/>
      <c r="M683" s="54"/>
      <c r="N683" s="54"/>
    </row>
    <row r="684" spans="2:14" ht="12.75">
      <c r="B684" s="10"/>
      <c r="C684" s="10"/>
      <c r="M684" s="54"/>
      <c r="N684" s="54"/>
    </row>
    <row r="685" spans="2:14" ht="12.75">
      <c r="B685" s="10"/>
      <c r="C685" s="10"/>
      <c r="M685" s="54"/>
      <c r="N685" s="54"/>
    </row>
    <row r="686" spans="2:14" ht="12.75">
      <c r="B686" s="10"/>
      <c r="C686" s="10"/>
      <c r="M686" s="54"/>
      <c r="N686" s="54"/>
    </row>
    <row r="687" spans="2:14" ht="12.75">
      <c r="B687" s="10"/>
      <c r="C687" s="10"/>
      <c r="M687" s="54"/>
      <c r="N687" s="54"/>
    </row>
    <row r="688" spans="2:14" ht="12.75">
      <c r="B688" s="10"/>
      <c r="C688" s="10"/>
      <c r="M688" s="54"/>
      <c r="N688" s="54"/>
    </row>
    <row r="689" spans="2:14" ht="12.75">
      <c r="B689" s="10"/>
      <c r="C689" s="10"/>
      <c r="M689" s="54"/>
      <c r="N689" s="54"/>
    </row>
    <row r="690" spans="2:14" ht="12.75">
      <c r="B690" s="10"/>
      <c r="C690" s="10"/>
      <c r="M690" s="54"/>
      <c r="N690" s="54"/>
    </row>
    <row r="691" spans="2:14" ht="12.75">
      <c r="B691" s="10"/>
      <c r="C691" s="10"/>
      <c r="M691" s="54"/>
      <c r="N691" s="54"/>
    </row>
    <row r="692" spans="2:14" ht="12.75">
      <c r="B692" s="10"/>
      <c r="C692" s="10"/>
      <c r="M692" s="54"/>
      <c r="N692" s="54"/>
    </row>
    <row r="693" spans="2:14" ht="12.75">
      <c r="B693" s="10"/>
      <c r="C693" s="10"/>
      <c r="M693" s="54"/>
      <c r="N693" s="54"/>
    </row>
    <row r="694" spans="2:14" ht="12.75">
      <c r="B694" s="10"/>
      <c r="C694" s="10"/>
      <c r="M694" s="54"/>
      <c r="N694" s="54"/>
    </row>
    <row r="695" spans="2:14" ht="12.75">
      <c r="B695" s="10"/>
      <c r="C695" s="10"/>
      <c r="M695" s="54"/>
      <c r="N695" s="54"/>
    </row>
    <row r="696" spans="2:14" ht="12.75">
      <c r="B696" s="10"/>
      <c r="C696" s="10"/>
      <c r="M696" s="54"/>
      <c r="N696" s="54"/>
    </row>
    <row r="697" spans="2:14" ht="12.75">
      <c r="B697" s="10"/>
      <c r="C697" s="10"/>
      <c r="M697" s="54"/>
      <c r="N697" s="54"/>
    </row>
    <row r="698" spans="2:14" ht="12.75">
      <c r="B698" s="10"/>
      <c r="C698" s="10"/>
      <c r="M698" s="54"/>
      <c r="N698" s="54"/>
    </row>
    <row r="699" spans="2:14" ht="12.75">
      <c r="B699" s="10"/>
      <c r="C699" s="10"/>
      <c r="M699" s="54"/>
      <c r="N699" s="54"/>
    </row>
    <row r="700" spans="2:14" ht="12.75">
      <c r="B700" s="10"/>
      <c r="C700" s="10"/>
      <c r="M700" s="54"/>
      <c r="N700" s="54"/>
    </row>
    <row r="701" spans="2:14" ht="12.75">
      <c r="B701" s="10"/>
      <c r="C701" s="10"/>
      <c r="M701" s="54"/>
      <c r="N701" s="54"/>
    </row>
    <row r="702" spans="2:14" ht="12.75">
      <c r="B702" s="10"/>
      <c r="C702" s="10"/>
      <c r="M702" s="54"/>
      <c r="N702" s="54"/>
    </row>
    <row r="703" spans="2:14" ht="12.75">
      <c r="B703" s="10"/>
      <c r="C703" s="10"/>
      <c r="M703" s="54"/>
      <c r="N703" s="54"/>
    </row>
    <row r="704" spans="2:14" ht="12.75">
      <c r="B704" s="10"/>
      <c r="C704" s="10"/>
      <c r="M704" s="54"/>
      <c r="N704" s="54"/>
    </row>
    <row r="705" spans="2:14" ht="12.75">
      <c r="B705" s="10"/>
      <c r="C705" s="10"/>
      <c r="M705" s="54"/>
      <c r="N705" s="54"/>
    </row>
    <row r="706" spans="2:14" ht="12.75">
      <c r="B706" s="10"/>
      <c r="C706" s="10"/>
      <c r="M706" s="54"/>
      <c r="N706" s="54"/>
    </row>
    <row r="707" spans="2:14" ht="12.75">
      <c r="B707" s="10"/>
      <c r="C707" s="10"/>
      <c r="M707" s="54"/>
      <c r="N707" s="54"/>
    </row>
    <row r="708" spans="2:14" ht="12.75">
      <c r="B708" s="10"/>
      <c r="C708" s="10"/>
      <c r="M708" s="54"/>
      <c r="N708" s="54"/>
    </row>
    <row r="709" spans="2:14" ht="12.75">
      <c r="B709" s="10"/>
      <c r="C709" s="10"/>
      <c r="M709" s="54"/>
      <c r="N709" s="54"/>
    </row>
    <row r="710" spans="2:14" ht="12.75">
      <c r="B710" s="10"/>
      <c r="C710" s="10"/>
      <c r="M710" s="54"/>
      <c r="N710" s="54"/>
    </row>
    <row r="711" spans="2:14" ht="12.75">
      <c r="B711" s="10"/>
      <c r="C711" s="10"/>
      <c r="M711" s="54"/>
      <c r="N711" s="54"/>
    </row>
    <row r="712" spans="2:14" ht="12.75">
      <c r="B712" s="10"/>
      <c r="C712" s="10"/>
      <c r="M712" s="54"/>
      <c r="N712" s="54"/>
    </row>
    <row r="713" spans="2:14" ht="12.75">
      <c r="B713" s="10"/>
      <c r="C713" s="10"/>
      <c r="M713" s="54"/>
      <c r="N713" s="54"/>
    </row>
    <row r="714" spans="2:14" ht="12.75">
      <c r="B714" s="10"/>
      <c r="C714" s="10"/>
      <c r="M714" s="54"/>
      <c r="N714" s="54"/>
    </row>
    <row r="715" spans="2:14" ht="12.75">
      <c r="B715" s="10"/>
      <c r="C715" s="10"/>
      <c r="M715" s="54"/>
      <c r="N715" s="54"/>
    </row>
    <row r="716" spans="2:14" ht="12.75">
      <c r="B716" s="10"/>
      <c r="C716" s="10"/>
      <c r="M716" s="54"/>
      <c r="N716" s="54"/>
    </row>
    <row r="717" spans="2:14" ht="12.75">
      <c r="B717" s="10"/>
      <c r="C717" s="10"/>
      <c r="M717" s="54"/>
      <c r="N717" s="54"/>
    </row>
    <row r="718" spans="2:14" ht="12.75">
      <c r="B718" s="10"/>
      <c r="C718" s="10"/>
      <c r="M718" s="54"/>
      <c r="N718" s="54"/>
    </row>
    <row r="719" spans="2:14" ht="12.75">
      <c r="B719" s="10"/>
      <c r="C719" s="10"/>
      <c r="M719" s="54"/>
      <c r="N719" s="54"/>
    </row>
    <row r="720" spans="2:14" ht="12.75">
      <c r="B720" s="10"/>
      <c r="C720" s="10"/>
      <c r="M720" s="54"/>
      <c r="N720" s="54"/>
    </row>
    <row r="721" spans="2:14" ht="12.75">
      <c r="B721" s="10"/>
      <c r="C721" s="10"/>
      <c r="M721" s="54"/>
      <c r="N721" s="54"/>
    </row>
    <row r="722" spans="2:14" ht="12.75">
      <c r="B722" s="10"/>
      <c r="C722" s="10"/>
      <c r="M722" s="54"/>
      <c r="N722" s="54"/>
    </row>
    <row r="723" spans="2:14" ht="12.75">
      <c r="B723" s="10"/>
      <c r="C723" s="10"/>
      <c r="M723" s="54"/>
      <c r="N723" s="54"/>
    </row>
    <row r="724" spans="2:14" ht="12.75">
      <c r="B724" s="10"/>
      <c r="C724" s="10"/>
      <c r="M724" s="54"/>
      <c r="N724" s="54"/>
    </row>
    <row r="725" spans="2:14" ht="12.75">
      <c r="B725" s="10"/>
      <c r="C725" s="10"/>
      <c r="M725" s="54"/>
      <c r="N725" s="54"/>
    </row>
    <row r="726" spans="2:14" ht="12.75">
      <c r="B726" s="10"/>
      <c r="C726" s="10"/>
      <c r="M726" s="54"/>
      <c r="N726" s="54"/>
    </row>
    <row r="727" spans="2:14" ht="12.75">
      <c r="B727" s="10"/>
      <c r="C727" s="10"/>
      <c r="M727" s="54"/>
      <c r="N727" s="54"/>
    </row>
    <row r="728" spans="2:14" ht="12.75">
      <c r="B728" s="10"/>
      <c r="C728" s="10"/>
      <c r="M728" s="54"/>
      <c r="N728" s="54"/>
    </row>
    <row r="729" spans="2:14" ht="12.75">
      <c r="B729" s="10"/>
      <c r="C729" s="10"/>
      <c r="M729" s="54"/>
      <c r="N729" s="54"/>
    </row>
    <row r="730" spans="2:14" ht="12.75">
      <c r="B730" s="10"/>
      <c r="C730" s="10"/>
      <c r="M730" s="54"/>
      <c r="N730" s="54"/>
    </row>
    <row r="731" spans="2:14" ht="12.75">
      <c r="B731" s="10"/>
      <c r="C731" s="10"/>
      <c r="M731" s="54"/>
      <c r="N731" s="54"/>
    </row>
    <row r="732" spans="2:14" ht="12.75">
      <c r="B732" s="10"/>
      <c r="C732" s="10"/>
      <c r="M732" s="54"/>
      <c r="N732" s="54"/>
    </row>
    <row r="733" spans="2:14" ht="12.75">
      <c r="B733" s="10"/>
      <c r="C733" s="10"/>
      <c r="M733" s="54"/>
      <c r="N733" s="54"/>
    </row>
    <row r="734" spans="2:14" ht="12.75">
      <c r="B734" s="10"/>
      <c r="C734" s="10"/>
      <c r="M734" s="54"/>
      <c r="N734" s="54"/>
    </row>
    <row r="735" spans="2:14" ht="12.75">
      <c r="B735" s="10"/>
      <c r="C735" s="10"/>
      <c r="M735" s="54"/>
      <c r="N735" s="54"/>
    </row>
    <row r="736" spans="2:14" ht="12.75">
      <c r="B736" s="10"/>
      <c r="C736" s="10"/>
      <c r="M736" s="54"/>
      <c r="N736" s="54"/>
    </row>
    <row r="737" spans="2:14" ht="12.75">
      <c r="B737" s="10"/>
      <c r="C737" s="10"/>
      <c r="M737" s="54"/>
      <c r="N737" s="54"/>
    </row>
    <row r="738" spans="2:14" ht="12.75">
      <c r="B738" s="10"/>
      <c r="C738" s="10"/>
      <c r="M738" s="54"/>
      <c r="N738" s="54"/>
    </row>
    <row r="739" spans="2:14" ht="12.75">
      <c r="B739" s="10"/>
      <c r="C739" s="10"/>
      <c r="M739" s="54"/>
      <c r="N739" s="54"/>
    </row>
    <row r="740" spans="2:14" ht="12.75">
      <c r="B740" s="10"/>
      <c r="C740" s="10"/>
      <c r="M740" s="54"/>
      <c r="N740" s="54"/>
    </row>
    <row r="741" spans="2:14" ht="12.75">
      <c r="B741" s="10"/>
      <c r="C741" s="10"/>
      <c r="M741" s="54"/>
      <c r="N741" s="54"/>
    </row>
    <row r="742" spans="2:14" ht="12.75">
      <c r="B742" s="10"/>
      <c r="C742" s="10"/>
      <c r="M742" s="54"/>
      <c r="N742" s="54"/>
    </row>
    <row r="743" spans="2:14" ht="12.75">
      <c r="B743" s="10"/>
      <c r="C743" s="10"/>
      <c r="M743" s="54"/>
      <c r="N743" s="54"/>
    </row>
    <row r="744" spans="2:14" ht="12.75">
      <c r="B744" s="10"/>
      <c r="C744" s="10"/>
      <c r="M744" s="54"/>
      <c r="N744" s="54"/>
    </row>
    <row r="745" spans="2:14" ht="12.75">
      <c r="B745" s="10"/>
      <c r="C745" s="10"/>
      <c r="M745" s="54"/>
      <c r="N745" s="54"/>
    </row>
    <row r="746" spans="2:14" ht="12.75">
      <c r="B746" s="10"/>
      <c r="C746" s="10"/>
      <c r="M746" s="54"/>
      <c r="N746" s="54"/>
    </row>
    <row r="747" spans="2:14" ht="12.75">
      <c r="B747" s="10"/>
      <c r="C747" s="10"/>
      <c r="M747" s="54"/>
      <c r="N747" s="54"/>
    </row>
    <row r="748" spans="2:14" ht="12.75">
      <c r="B748" s="10"/>
      <c r="C748" s="10"/>
      <c r="M748" s="54"/>
      <c r="N748" s="54"/>
    </row>
    <row r="749" spans="2:14" ht="12.75">
      <c r="B749" s="10"/>
      <c r="C749" s="10"/>
      <c r="M749" s="54"/>
      <c r="N749" s="54"/>
    </row>
    <row r="750" spans="2:14" ht="12.75">
      <c r="B750" s="10"/>
      <c r="C750" s="10"/>
      <c r="M750" s="54"/>
      <c r="N750" s="54"/>
    </row>
    <row r="751" spans="2:14" ht="12.75">
      <c r="B751" s="10"/>
      <c r="C751" s="10"/>
      <c r="M751" s="54"/>
      <c r="N751" s="54"/>
    </row>
    <row r="752" spans="2:14" ht="12.75">
      <c r="B752" s="10"/>
      <c r="C752" s="10"/>
      <c r="M752" s="54"/>
      <c r="N752" s="54"/>
    </row>
    <row r="753" spans="2:14" ht="12.75">
      <c r="B753" s="10"/>
      <c r="C753" s="10"/>
      <c r="M753" s="54"/>
      <c r="N753" s="54"/>
    </row>
    <row r="754" spans="2:14" ht="12.75">
      <c r="B754" s="10"/>
      <c r="C754" s="10"/>
      <c r="M754" s="54"/>
      <c r="N754" s="54"/>
    </row>
    <row r="755" spans="2:14" ht="12.75">
      <c r="B755" s="10"/>
      <c r="C755" s="10"/>
      <c r="M755" s="54"/>
      <c r="N755" s="54"/>
    </row>
    <row r="756" spans="2:14" ht="12.75">
      <c r="B756" s="10"/>
      <c r="C756" s="10"/>
      <c r="M756" s="54"/>
      <c r="N756" s="54"/>
    </row>
    <row r="757" spans="2:14" ht="12.75">
      <c r="B757" s="10"/>
      <c r="C757" s="10"/>
      <c r="M757" s="54"/>
      <c r="N757" s="54"/>
    </row>
    <row r="758" spans="2:14" ht="12.75">
      <c r="B758" s="10"/>
      <c r="C758" s="10"/>
      <c r="M758" s="54"/>
      <c r="N758" s="54"/>
    </row>
    <row r="759" spans="2:14" ht="12.75">
      <c r="B759" s="10"/>
      <c r="C759" s="10"/>
      <c r="M759" s="54"/>
      <c r="N759" s="54"/>
    </row>
    <row r="760" spans="2:14" ht="12.75">
      <c r="B760" s="10"/>
      <c r="C760" s="10"/>
      <c r="M760" s="54"/>
      <c r="N760" s="54"/>
    </row>
    <row r="761" spans="2:14" ht="12.75">
      <c r="B761" s="10"/>
      <c r="C761" s="10"/>
      <c r="M761" s="54"/>
      <c r="N761" s="54"/>
    </row>
    <row r="762" spans="2:14" ht="12.75">
      <c r="B762" s="10"/>
      <c r="C762" s="10"/>
      <c r="M762" s="54"/>
      <c r="N762" s="54"/>
    </row>
    <row r="763" spans="2:14" ht="12.75">
      <c r="B763" s="10"/>
      <c r="C763" s="10"/>
      <c r="M763" s="54"/>
      <c r="N763" s="54"/>
    </row>
    <row r="764" spans="2:14" ht="12.75">
      <c r="B764" s="10"/>
      <c r="C764" s="10"/>
      <c r="M764" s="54"/>
      <c r="N764" s="54"/>
    </row>
    <row r="765" spans="2:14" ht="12.75">
      <c r="B765" s="10"/>
      <c r="C765" s="10"/>
      <c r="M765" s="54"/>
      <c r="N765" s="54"/>
    </row>
    <row r="766" spans="2:14" ht="12.75">
      <c r="B766" s="10"/>
      <c r="C766" s="10"/>
      <c r="M766" s="54"/>
      <c r="N766" s="54"/>
    </row>
    <row r="767" spans="2:14" ht="12.75">
      <c r="B767" s="10"/>
      <c r="C767" s="10"/>
      <c r="M767" s="54"/>
      <c r="N767" s="54"/>
    </row>
    <row r="768" spans="2:14" ht="12.75">
      <c r="B768" s="10"/>
      <c r="C768" s="10"/>
      <c r="M768" s="54"/>
      <c r="N768" s="54"/>
    </row>
    <row r="769" spans="2:14" ht="12.75">
      <c r="B769" s="10"/>
      <c r="C769" s="10"/>
      <c r="M769" s="54"/>
      <c r="N769" s="54"/>
    </row>
    <row r="770" spans="2:14" ht="12.75">
      <c r="B770" s="10"/>
      <c r="C770" s="10"/>
      <c r="M770" s="54"/>
      <c r="N770" s="54"/>
    </row>
    <row r="771" spans="2:14" ht="12.75">
      <c r="B771" s="10"/>
      <c r="C771" s="10"/>
      <c r="M771" s="54"/>
      <c r="N771" s="54"/>
    </row>
    <row r="772" spans="2:14" ht="12.75">
      <c r="B772" s="10"/>
      <c r="C772" s="10"/>
      <c r="M772" s="54"/>
      <c r="N772" s="54"/>
    </row>
    <row r="773" spans="2:14" ht="12.75">
      <c r="B773" s="10"/>
      <c r="C773" s="10"/>
      <c r="M773" s="54"/>
      <c r="N773" s="54"/>
    </row>
    <row r="774" spans="2:14" ht="12.75">
      <c r="B774" s="10"/>
      <c r="C774" s="10"/>
      <c r="M774" s="54"/>
      <c r="N774" s="54"/>
    </row>
    <row r="775" spans="2:14" ht="12.75">
      <c r="B775" s="10"/>
      <c r="C775" s="10"/>
      <c r="M775" s="54"/>
      <c r="N775" s="54"/>
    </row>
    <row r="776" spans="2:14" ht="12.75">
      <c r="B776" s="10"/>
      <c r="C776" s="10"/>
      <c r="M776" s="54"/>
      <c r="N776" s="54"/>
    </row>
    <row r="777" spans="2:14" ht="12.75">
      <c r="B777" s="10"/>
      <c r="C777" s="10"/>
      <c r="M777" s="54"/>
      <c r="N777" s="54"/>
    </row>
    <row r="778" spans="2:14" ht="12.75">
      <c r="B778" s="10"/>
      <c r="C778" s="10"/>
      <c r="M778" s="54"/>
      <c r="N778" s="54"/>
    </row>
    <row r="779" spans="2:14" ht="12.75">
      <c r="B779" s="10"/>
      <c r="C779" s="10"/>
      <c r="M779" s="54"/>
      <c r="N779" s="54"/>
    </row>
    <row r="780" spans="2:14" ht="12.75">
      <c r="B780" s="10"/>
      <c r="C780" s="10"/>
      <c r="M780" s="54"/>
      <c r="N780" s="54"/>
    </row>
    <row r="781" spans="2:14" ht="12.75">
      <c r="B781" s="10"/>
      <c r="C781" s="10"/>
      <c r="M781" s="54"/>
      <c r="N781" s="54"/>
    </row>
    <row r="782" spans="2:14" ht="12.75">
      <c r="B782" s="10"/>
      <c r="C782" s="10"/>
      <c r="M782" s="54"/>
      <c r="N782" s="54"/>
    </row>
    <row r="783" spans="2:14" ht="12.75">
      <c r="B783" s="10"/>
      <c r="C783" s="10"/>
      <c r="M783" s="54"/>
      <c r="N783" s="54"/>
    </row>
    <row r="784" spans="2:14" ht="12.75">
      <c r="B784" s="10"/>
      <c r="C784" s="10"/>
      <c r="M784" s="54"/>
      <c r="N784" s="54"/>
    </row>
    <row r="785" spans="2:14" ht="12.75">
      <c r="B785" s="10"/>
      <c r="C785" s="10"/>
      <c r="M785" s="54"/>
      <c r="N785" s="54"/>
    </row>
    <row r="786" spans="2:14" ht="12.75">
      <c r="B786" s="10"/>
      <c r="C786" s="10"/>
      <c r="M786" s="54"/>
      <c r="N786" s="54"/>
    </row>
    <row r="787" spans="2:14" ht="12.75">
      <c r="B787" s="10"/>
      <c r="C787" s="10"/>
      <c r="M787" s="54"/>
      <c r="N787" s="54"/>
    </row>
    <row r="788" spans="2:14" ht="12.75">
      <c r="B788" s="10"/>
      <c r="C788" s="10"/>
      <c r="M788" s="54"/>
      <c r="N788" s="54"/>
    </row>
    <row r="789" spans="2:14" ht="12.75">
      <c r="B789" s="10"/>
      <c r="C789" s="10"/>
      <c r="M789" s="54"/>
      <c r="N789" s="54"/>
    </row>
    <row r="790" spans="2:14" ht="12.75">
      <c r="B790" s="10"/>
      <c r="C790" s="10"/>
      <c r="M790" s="54"/>
      <c r="N790" s="54"/>
    </row>
    <row r="791" spans="2:14" ht="12.75">
      <c r="B791" s="10"/>
      <c r="C791" s="10"/>
      <c r="M791" s="54"/>
      <c r="N791" s="54"/>
    </row>
    <row r="792" spans="2:14" ht="12.75">
      <c r="B792" s="10"/>
      <c r="C792" s="10"/>
      <c r="M792" s="54"/>
      <c r="N792" s="54"/>
    </row>
    <row r="793" spans="2:14" ht="12.75">
      <c r="B793" s="10"/>
      <c r="C793" s="10"/>
      <c r="M793" s="54"/>
      <c r="N793" s="54"/>
    </row>
    <row r="794" spans="2:14" ht="12.75">
      <c r="B794" s="10"/>
      <c r="C794" s="10"/>
      <c r="M794" s="54"/>
      <c r="N794" s="54"/>
    </row>
    <row r="795" spans="2:14" ht="12.75">
      <c r="B795" s="10"/>
      <c r="C795" s="10"/>
      <c r="M795" s="54"/>
      <c r="N795" s="54"/>
    </row>
    <row r="796" spans="2:14" ht="12.75">
      <c r="B796" s="10"/>
      <c r="C796" s="10"/>
      <c r="M796" s="54"/>
      <c r="N796" s="54"/>
    </row>
    <row r="797" spans="2:14" ht="12.75">
      <c r="B797" s="10"/>
      <c r="C797" s="10"/>
      <c r="M797" s="54"/>
      <c r="N797" s="54"/>
    </row>
    <row r="798" spans="2:14" ht="12.75">
      <c r="B798" s="10"/>
      <c r="C798" s="10"/>
      <c r="M798" s="54"/>
      <c r="N798" s="54"/>
    </row>
    <row r="799" spans="2:14" ht="12.75">
      <c r="B799" s="10"/>
      <c r="C799" s="10"/>
      <c r="M799" s="54"/>
      <c r="N799" s="54"/>
    </row>
    <row r="800" spans="2:14" ht="12.75">
      <c r="B800" s="10"/>
      <c r="C800" s="10"/>
      <c r="M800" s="54"/>
      <c r="N800" s="54"/>
    </row>
    <row r="801" spans="2:14" ht="12.75">
      <c r="B801" s="10"/>
      <c r="C801" s="10"/>
      <c r="M801" s="54"/>
      <c r="N801" s="54"/>
    </row>
    <row r="802" spans="2:14" ht="12.75">
      <c r="B802" s="10"/>
      <c r="C802" s="10"/>
      <c r="M802" s="54"/>
      <c r="N802" s="54"/>
    </row>
    <row r="803" spans="2:14" ht="12.75">
      <c r="B803" s="10"/>
      <c r="C803" s="10"/>
      <c r="M803" s="54"/>
      <c r="N803" s="54"/>
    </row>
    <row r="804" spans="2:14" ht="12.75">
      <c r="B804" s="10"/>
      <c r="C804" s="10"/>
      <c r="M804" s="54"/>
      <c r="N804" s="54"/>
    </row>
    <row r="805" spans="2:14" ht="12.75">
      <c r="B805" s="10"/>
      <c r="C805" s="10"/>
      <c r="M805" s="54"/>
      <c r="N805" s="54"/>
    </row>
    <row r="806" spans="2:14" ht="12.75">
      <c r="B806" s="10"/>
      <c r="C806" s="10"/>
      <c r="M806" s="54"/>
      <c r="N806" s="54"/>
    </row>
    <row r="807" spans="2:14" ht="12.75">
      <c r="B807" s="10"/>
      <c r="C807" s="10"/>
      <c r="M807" s="54"/>
      <c r="N807" s="54"/>
    </row>
    <row r="808" spans="2:14" ht="12.75">
      <c r="B808" s="10"/>
      <c r="C808" s="10"/>
      <c r="M808" s="54"/>
      <c r="N808" s="54"/>
    </row>
    <row r="809" spans="2:14" ht="12.75">
      <c r="B809" s="10"/>
      <c r="C809" s="10"/>
      <c r="M809" s="54"/>
      <c r="N809" s="54"/>
    </row>
    <row r="810" spans="2:14" ht="12.75">
      <c r="B810" s="10"/>
      <c r="C810" s="10"/>
      <c r="M810" s="54"/>
      <c r="N810" s="54"/>
    </row>
    <row r="811" spans="2:14" ht="12.75">
      <c r="B811" s="10"/>
      <c r="C811" s="10"/>
      <c r="M811" s="54"/>
      <c r="N811" s="54"/>
    </row>
    <row r="812" spans="2:14" ht="12.75">
      <c r="B812" s="10"/>
      <c r="C812" s="10"/>
      <c r="M812" s="54"/>
      <c r="N812" s="54"/>
    </row>
    <row r="813" spans="2:14" ht="12.75">
      <c r="B813" s="10"/>
      <c r="C813" s="10"/>
      <c r="M813" s="54"/>
      <c r="N813" s="54"/>
    </row>
    <row r="814" spans="2:14" ht="12.75">
      <c r="B814" s="10"/>
      <c r="C814" s="10"/>
      <c r="M814" s="54"/>
      <c r="N814" s="54"/>
    </row>
    <row r="815" spans="2:14" ht="12.75">
      <c r="B815" s="10"/>
      <c r="C815" s="10"/>
      <c r="M815" s="54"/>
      <c r="N815" s="54"/>
    </row>
    <row r="816" spans="2:14" ht="12.75">
      <c r="B816" s="10"/>
      <c r="C816" s="10"/>
      <c r="M816" s="54"/>
      <c r="N816" s="54"/>
    </row>
    <row r="817" spans="2:14" ht="12.75">
      <c r="B817" s="10"/>
      <c r="C817" s="10"/>
      <c r="M817" s="54"/>
      <c r="N817" s="54"/>
    </row>
    <row r="818" spans="2:14" ht="12.75">
      <c r="B818" s="10"/>
      <c r="C818" s="10"/>
      <c r="M818" s="54"/>
      <c r="N818" s="54"/>
    </row>
    <row r="819" spans="2:14" ht="12.75">
      <c r="B819" s="10"/>
      <c r="C819" s="10"/>
      <c r="M819" s="54"/>
      <c r="N819" s="54"/>
    </row>
    <row r="820" spans="2:14" ht="12.75">
      <c r="B820" s="10"/>
      <c r="C820" s="10"/>
      <c r="M820" s="54"/>
      <c r="N820" s="54"/>
    </row>
    <row r="821" spans="2:14" ht="12.75">
      <c r="B821" s="10"/>
      <c r="C821" s="10"/>
      <c r="M821" s="54"/>
      <c r="N821" s="54"/>
    </row>
    <row r="822" spans="2:14" ht="12.75">
      <c r="B822" s="10"/>
      <c r="C822" s="10"/>
      <c r="M822" s="54"/>
      <c r="N822" s="54"/>
    </row>
    <row r="823" spans="2:14" ht="12.75">
      <c r="B823" s="10"/>
      <c r="C823" s="10"/>
      <c r="M823" s="54"/>
      <c r="N823" s="54"/>
    </row>
    <row r="824" spans="2:14" ht="12.75">
      <c r="B824" s="10"/>
      <c r="C824" s="10"/>
      <c r="M824" s="54"/>
      <c r="N824" s="54"/>
    </row>
    <row r="825" spans="2:14" ht="12.75">
      <c r="B825" s="10"/>
      <c r="C825" s="10"/>
      <c r="M825" s="54"/>
      <c r="N825" s="54"/>
    </row>
    <row r="826" spans="2:14" ht="12.75">
      <c r="B826" s="10"/>
      <c r="C826" s="10"/>
      <c r="M826" s="54"/>
      <c r="N826" s="54"/>
    </row>
    <row r="827" spans="2:14" ht="12.75">
      <c r="B827" s="10"/>
      <c r="C827" s="10"/>
      <c r="M827" s="54"/>
      <c r="N827" s="54"/>
    </row>
    <row r="828" spans="2:14" ht="12.75">
      <c r="B828" s="10"/>
      <c r="C828" s="10"/>
      <c r="M828" s="54"/>
      <c r="N828" s="54"/>
    </row>
    <row r="829" spans="2:14" ht="12.75">
      <c r="B829" s="10"/>
      <c r="C829" s="10"/>
      <c r="M829" s="54"/>
      <c r="N829" s="54"/>
    </row>
    <row r="830" spans="2:14" ht="12.75">
      <c r="B830" s="10"/>
      <c r="C830" s="10"/>
      <c r="M830" s="54"/>
      <c r="N830" s="54"/>
    </row>
    <row r="831" spans="2:14" ht="12.75">
      <c r="B831" s="10"/>
      <c r="C831" s="10"/>
      <c r="M831" s="54"/>
      <c r="N831" s="54"/>
    </row>
    <row r="832" spans="2:14" ht="12.75">
      <c r="B832" s="10"/>
      <c r="C832" s="10"/>
      <c r="M832" s="54"/>
      <c r="N832" s="54"/>
    </row>
    <row r="833" spans="2:14" ht="12.75">
      <c r="B833" s="10"/>
      <c r="C833" s="10"/>
      <c r="M833" s="54"/>
      <c r="N833" s="54"/>
    </row>
    <row r="834" spans="2:14" ht="12.75">
      <c r="B834" s="10"/>
      <c r="C834" s="10"/>
      <c r="M834" s="54"/>
      <c r="N834" s="54"/>
    </row>
    <row r="835" spans="2:14" ht="12.75">
      <c r="B835" s="10"/>
      <c r="C835" s="10"/>
      <c r="M835" s="54"/>
      <c r="N835" s="54"/>
    </row>
    <row r="836" spans="2:14" ht="12.75">
      <c r="B836" s="10"/>
      <c r="C836" s="10"/>
      <c r="M836" s="54"/>
      <c r="N836" s="54"/>
    </row>
    <row r="837" spans="2:14" ht="12.75">
      <c r="B837" s="10"/>
      <c r="C837" s="10"/>
      <c r="M837" s="54"/>
      <c r="N837" s="54"/>
    </row>
    <row r="838" spans="2:14" ht="12.75">
      <c r="B838" s="10"/>
      <c r="C838" s="10"/>
      <c r="M838" s="54"/>
      <c r="N838" s="54"/>
    </row>
    <row r="839" spans="2:14" ht="12.75">
      <c r="B839" s="10"/>
      <c r="C839" s="10"/>
      <c r="M839" s="54"/>
      <c r="N839" s="54"/>
    </row>
    <row r="840" spans="2:14" ht="12.75">
      <c r="B840" s="10"/>
      <c r="C840" s="10"/>
      <c r="M840" s="54"/>
      <c r="N840" s="54"/>
    </row>
    <row r="841" spans="2:14" ht="12.75">
      <c r="B841" s="10"/>
      <c r="C841" s="10"/>
      <c r="M841" s="54"/>
      <c r="N841" s="54"/>
    </row>
    <row r="842" spans="2:14" ht="12.75">
      <c r="B842" s="10"/>
      <c r="C842" s="10"/>
      <c r="M842" s="54"/>
      <c r="N842" s="54"/>
    </row>
    <row r="843" spans="2:14" ht="12.75">
      <c r="B843" s="10"/>
      <c r="C843" s="10"/>
      <c r="M843" s="54"/>
      <c r="N843" s="54"/>
    </row>
    <row r="844" spans="2:14" ht="12.75">
      <c r="B844" s="10"/>
      <c r="C844" s="10"/>
      <c r="M844" s="54"/>
      <c r="N844" s="54"/>
    </row>
    <row r="845" spans="2:14" ht="12.75">
      <c r="B845" s="10"/>
      <c r="C845" s="10"/>
      <c r="M845" s="54"/>
      <c r="N845" s="54"/>
    </row>
    <row r="846" spans="2:14" ht="12.75">
      <c r="B846" s="10"/>
      <c r="C846" s="10"/>
      <c r="M846" s="54"/>
      <c r="N846" s="54"/>
    </row>
    <row r="847" spans="2:14" ht="12.75">
      <c r="B847" s="10"/>
      <c r="C847" s="10"/>
      <c r="M847" s="54"/>
      <c r="N847" s="54"/>
    </row>
    <row r="848" spans="2:14" ht="12.75">
      <c r="B848" s="10"/>
      <c r="C848" s="10"/>
      <c r="M848" s="54"/>
      <c r="N848" s="54"/>
    </row>
    <row r="849" spans="2:14" ht="12.75">
      <c r="B849" s="10"/>
      <c r="C849" s="10"/>
      <c r="M849" s="54"/>
      <c r="N849" s="54"/>
    </row>
    <row r="850" spans="2:14" ht="12.75">
      <c r="B850" s="10"/>
      <c r="C850" s="10"/>
      <c r="M850" s="54"/>
      <c r="N850" s="54"/>
    </row>
    <row r="851" spans="2:14" ht="12.75">
      <c r="B851" s="10"/>
      <c r="C851" s="10"/>
      <c r="M851" s="54"/>
      <c r="N851" s="54"/>
    </row>
    <row r="852" spans="2:14" ht="12.75">
      <c r="B852" s="10"/>
      <c r="C852" s="10"/>
      <c r="M852" s="54"/>
      <c r="N852" s="54"/>
    </row>
    <row r="853" spans="2:14" ht="12.75">
      <c r="B853" s="10"/>
      <c r="C853" s="10"/>
      <c r="M853" s="54"/>
      <c r="N853" s="54"/>
    </row>
    <row r="854" spans="2:14" ht="12.75">
      <c r="B854" s="10"/>
      <c r="C854" s="10"/>
      <c r="M854" s="54"/>
      <c r="N854" s="54"/>
    </row>
    <row r="855" spans="2:14" ht="12.75">
      <c r="B855" s="10"/>
      <c r="C855" s="10"/>
      <c r="M855" s="54"/>
      <c r="N855" s="54"/>
    </row>
    <row r="856" spans="2:14" ht="12.75">
      <c r="B856" s="10"/>
      <c r="C856" s="10"/>
      <c r="M856" s="54"/>
      <c r="N856" s="54"/>
    </row>
    <row r="857" spans="2:14" ht="12.75">
      <c r="B857" s="10"/>
      <c r="C857" s="10"/>
      <c r="M857" s="54"/>
      <c r="N857" s="54"/>
    </row>
    <row r="858" spans="2:14" ht="12.75">
      <c r="B858" s="10"/>
      <c r="C858" s="10"/>
      <c r="M858" s="54"/>
      <c r="N858" s="54"/>
    </row>
    <row r="859" spans="2:14" ht="12.75">
      <c r="B859" s="10"/>
      <c r="C859" s="10"/>
      <c r="M859" s="54"/>
      <c r="N859" s="54"/>
    </row>
    <row r="860" spans="2:14" ht="12.75">
      <c r="B860" s="10"/>
      <c r="C860" s="10"/>
      <c r="M860" s="54"/>
      <c r="N860" s="54"/>
    </row>
    <row r="861" spans="2:14" ht="12.75">
      <c r="B861" s="10"/>
      <c r="C861" s="10"/>
      <c r="M861" s="54"/>
      <c r="N861" s="54"/>
    </row>
    <row r="862" spans="2:14" ht="12.75">
      <c r="B862" s="10"/>
      <c r="C862" s="10"/>
      <c r="M862" s="54"/>
      <c r="N862" s="54"/>
    </row>
    <row r="863" spans="2:14" ht="12.75">
      <c r="B863" s="10"/>
      <c r="C863" s="10"/>
      <c r="M863" s="54"/>
      <c r="N863" s="54"/>
    </row>
    <row r="864" spans="2:14" ht="12.75">
      <c r="B864" s="10"/>
      <c r="C864" s="10"/>
      <c r="M864" s="54"/>
      <c r="N864" s="54"/>
    </row>
    <row r="865" spans="2:14" ht="12.75">
      <c r="B865" s="10"/>
      <c r="C865" s="10"/>
      <c r="M865" s="54"/>
      <c r="N865" s="54"/>
    </row>
    <row r="866" spans="2:14" ht="12.75">
      <c r="B866" s="10"/>
      <c r="C866" s="10"/>
      <c r="M866" s="54"/>
      <c r="N866" s="54"/>
    </row>
    <row r="867" spans="2:14" ht="12.75">
      <c r="B867" s="10"/>
      <c r="C867" s="10"/>
      <c r="M867" s="54"/>
      <c r="N867" s="54"/>
    </row>
    <row r="868" spans="2:14" ht="12.75">
      <c r="B868" s="10"/>
      <c r="C868" s="10"/>
      <c r="M868" s="54"/>
      <c r="N868" s="54"/>
    </row>
    <row r="869" spans="2:14" ht="12.75">
      <c r="B869" s="10"/>
      <c r="C869" s="10"/>
      <c r="M869" s="54"/>
      <c r="N869" s="54"/>
    </row>
    <row r="870" spans="2:14" ht="12.75">
      <c r="B870" s="10"/>
      <c r="C870" s="10"/>
      <c r="M870" s="54"/>
      <c r="N870" s="54"/>
    </row>
    <row r="871" spans="2:14" ht="12.75">
      <c r="B871" s="10"/>
      <c r="C871" s="10"/>
      <c r="M871" s="54"/>
      <c r="N871" s="54"/>
    </row>
    <row r="872" spans="2:14" ht="12.75">
      <c r="B872" s="10"/>
      <c r="C872" s="10"/>
      <c r="M872" s="54"/>
      <c r="N872" s="54"/>
    </row>
    <row r="873" spans="2:14" ht="12.75">
      <c r="B873" s="10"/>
      <c r="C873" s="10"/>
      <c r="M873" s="54"/>
      <c r="N873" s="54"/>
    </row>
    <row r="874" spans="2:14" ht="12.75">
      <c r="B874" s="10"/>
      <c r="C874" s="10"/>
      <c r="M874" s="54"/>
      <c r="N874" s="54"/>
    </row>
    <row r="875" spans="2:14" ht="12.75">
      <c r="B875" s="10"/>
      <c r="C875" s="10"/>
      <c r="M875" s="54"/>
      <c r="N875" s="54"/>
    </row>
    <row r="876" spans="2:14" ht="12.75">
      <c r="B876" s="10"/>
      <c r="C876" s="10"/>
      <c r="M876" s="54"/>
      <c r="N876" s="54"/>
    </row>
    <row r="877" spans="2:14" ht="12.75">
      <c r="B877" s="10"/>
      <c r="C877" s="10"/>
      <c r="M877" s="54"/>
      <c r="N877" s="54"/>
    </row>
    <row r="878" spans="2:14" ht="12.75">
      <c r="B878" s="10"/>
      <c r="C878" s="10"/>
      <c r="M878" s="54"/>
      <c r="N878" s="54"/>
    </row>
    <row r="879" spans="2:14" ht="12.75">
      <c r="B879" s="10"/>
      <c r="C879" s="10"/>
      <c r="M879" s="54"/>
      <c r="N879" s="54"/>
    </row>
    <row r="880" spans="2:14" ht="12.75">
      <c r="B880" s="10"/>
      <c r="C880" s="10"/>
      <c r="M880" s="54"/>
      <c r="N880" s="54"/>
    </row>
    <row r="881" spans="2:14" ht="12.75">
      <c r="B881" s="10"/>
      <c r="C881" s="10"/>
      <c r="M881" s="54"/>
      <c r="N881" s="54"/>
    </row>
    <row r="882" spans="2:14" ht="12.75">
      <c r="B882" s="10"/>
      <c r="C882" s="10"/>
      <c r="M882" s="54"/>
      <c r="N882" s="54"/>
    </row>
    <row r="883" spans="2:14" ht="12.75">
      <c r="B883" s="10"/>
      <c r="C883" s="10"/>
      <c r="M883" s="54"/>
      <c r="N883" s="54"/>
    </row>
    <row r="884" spans="2:14" ht="12.75">
      <c r="B884" s="10"/>
      <c r="C884" s="10"/>
      <c r="M884" s="54"/>
      <c r="N884" s="54"/>
    </row>
    <row r="885" spans="2:14" ht="12.75">
      <c r="B885" s="10"/>
      <c r="C885" s="10"/>
      <c r="M885" s="54"/>
      <c r="N885" s="54"/>
    </row>
    <row r="886" spans="2:14" ht="12.75">
      <c r="B886" s="10"/>
      <c r="C886" s="10"/>
      <c r="M886" s="54"/>
      <c r="N886" s="54"/>
    </row>
    <row r="887" spans="2:14" ht="12.75">
      <c r="B887" s="10"/>
      <c r="C887" s="10"/>
      <c r="M887" s="54"/>
      <c r="N887" s="54"/>
    </row>
    <row r="888" spans="2:14" ht="12.75">
      <c r="B888" s="10"/>
      <c r="C888" s="10"/>
      <c r="M888" s="54"/>
      <c r="N888" s="54"/>
    </row>
    <row r="889" spans="2:14" ht="12.75">
      <c r="B889" s="10"/>
      <c r="C889" s="10"/>
      <c r="M889" s="54"/>
      <c r="N889" s="54"/>
    </row>
    <row r="890" spans="2:14" ht="12.75">
      <c r="B890" s="10"/>
      <c r="C890" s="10"/>
      <c r="M890" s="54"/>
      <c r="N890" s="54"/>
    </row>
    <row r="891" spans="2:14" ht="12.75">
      <c r="B891" s="10"/>
      <c r="C891" s="10"/>
      <c r="M891" s="54"/>
      <c r="N891" s="54"/>
    </row>
    <row r="892" spans="2:14" ht="12.75">
      <c r="B892" s="10"/>
      <c r="C892" s="10"/>
      <c r="M892" s="54"/>
      <c r="N892" s="54"/>
    </row>
    <row r="893" spans="2:14" ht="12.75">
      <c r="B893" s="10"/>
      <c r="C893" s="10"/>
      <c r="M893" s="54"/>
      <c r="N893" s="54"/>
    </row>
    <row r="894" spans="2:14" ht="12.75">
      <c r="B894" s="10"/>
      <c r="C894" s="10"/>
      <c r="M894" s="54"/>
      <c r="N894" s="54"/>
    </row>
    <row r="895" spans="2:14" ht="12.75">
      <c r="B895" s="10"/>
      <c r="C895" s="10"/>
      <c r="M895" s="54"/>
      <c r="N895" s="54"/>
    </row>
    <row r="896" spans="2:14" ht="12.75">
      <c r="B896" s="10"/>
      <c r="C896" s="10"/>
      <c r="M896" s="54"/>
      <c r="N896" s="54"/>
    </row>
    <row r="897" spans="2:14" ht="12.75">
      <c r="B897" s="10"/>
      <c r="C897" s="10"/>
      <c r="M897" s="54"/>
      <c r="N897" s="54"/>
    </row>
    <row r="898" spans="2:14" ht="12.75">
      <c r="B898" s="10"/>
      <c r="C898" s="10"/>
      <c r="M898" s="54"/>
      <c r="N898" s="54"/>
    </row>
    <row r="899" spans="2:14" ht="12.75">
      <c r="B899" s="10"/>
      <c r="C899" s="10"/>
      <c r="M899" s="54"/>
      <c r="N899" s="54"/>
    </row>
    <row r="900" spans="2:14" ht="12.75">
      <c r="B900" s="10"/>
      <c r="C900" s="10"/>
      <c r="M900" s="54"/>
      <c r="N900" s="54"/>
    </row>
    <row r="901" spans="2:14" ht="12.75">
      <c r="B901" s="10"/>
      <c r="C901" s="10"/>
      <c r="M901" s="54"/>
      <c r="N901" s="54"/>
    </row>
    <row r="902" spans="2:14" ht="12.75">
      <c r="B902" s="10"/>
      <c r="C902" s="10"/>
      <c r="M902" s="54"/>
      <c r="N902" s="54"/>
    </row>
    <row r="903" spans="2:14" ht="12.75">
      <c r="B903" s="10"/>
      <c r="C903" s="10"/>
      <c r="M903" s="54"/>
      <c r="N903" s="54"/>
    </row>
    <row r="904" spans="2:14" ht="12.75">
      <c r="B904" s="10"/>
      <c r="C904" s="10"/>
      <c r="M904" s="54"/>
      <c r="N904" s="54"/>
    </row>
    <row r="905" spans="2:14" ht="12.75">
      <c r="B905" s="10"/>
      <c r="C905" s="10"/>
      <c r="M905" s="54"/>
      <c r="N905" s="54"/>
    </row>
    <row r="906" spans="2:14" ht="12.75">
      <c r="B906" s="10"/>
      <c r="C906" s="10"/>
      <c r="M906" s="54"/>
      <c r="N906" s="54"/>
    </row>
    <row r="907" spans="2:14" ht="12.75">
      <c r="B907" s="10"/>
      <c r="C907" s="10"/>
      <c r="M907" s="54"/>
      <c r="N907" s="54"/>
    </row>
    <row r="908" spans="2:14" ht="12.75">
      <c r="B908" s="10"/>
      <c r="C908" s="10"/>
      <c r="M908" s="54"/>
      <c r="N908" s="54"/>
    </row>
    <row r="909" spans="2:14" ht="12.75">
      <c r="B909" s="10"/>
      <c r="C909" s="10"/>
      <c r="M909" s="54"/>
      <c r="N909" s="54"/>
    </row>
    <row r="910" spans="2:14" ht="12.75">
      <c r="B910" s="10"/>
      <c r="C910" s="10"/>
      <c r="M910" s="54"/>
      <c r="N910" s="54"/>
    </row>
    <row r="911" spans="2:14" ht="12.75">
      <c r="B911" s="10"/>
      <c r="C911" s="10"/>
      <c r="M911" s="54"/>
      <c r="N911" s="54"/>
    </row>
    <row r="912" spans="2:14" ht="12.75">
      <c r="B912" s="10"/>
      <c r="C912" s="10"/>
      <c r="M912" s="54"/>
      <c r="N912" s="54"/>
    </row>
    <row r="913" spans="2:14" ht="12.75">
      <c r="B913" s="10"/>
      <c r="C913" s="10"/>
      <c r="M913" s="54"/>
      <c r="N913" s="54"/>
    </row>
    <row r="914" spans="2:14" ht="12.75">
      <c r="B914" s="10"/>
      <c r="C914" s="10"/>
      <c r="M914" s="54"/>
      <c r="N914" s="54"/>
    </row>
    <row r="915" spans="2:14" ht="12.75">
      <c r="B915" s="10"/>
      <c r="C915" s="10"/>
      <c r="M915" s="54"/>
      <c r="N915" s="54"/>
    </row>
    <row r="916" spans="2:14" ht="12.75">
      <c r="B916" s="10"/>
      <c r="C916" s="10"/>
      <c r="M916" s="54"/>
      <c r="N916" s="54"/>
    </row>
    <row r="917" spans="2:14" ht="12.75">
      <c r="B917" s="10"/>
      <c r="C917" s="10"/>
      <c r="M917" s="54"/>
      <c r="N917" s="54"/>
    </row>
    <row r="918" spans="2:14" ht="12.75">
      <c r="B918" s="10"/>
      <c r="C918" s="10"/>
      <c r="M918" s="54"/>
      <c r="N918" s="54"/>
    </row>
    <row r="919" spans="2:14" ht="12.75">
      <c r="B919" s="10"/>
      <c r="C919" s="10"/>
      <c r="M919" s="54"/>
      <c r="N919" s="54"/>
    </row>
    <row r="920" spans="2:14" ht="12.75">
      <c r="B920" s="10"/>
      <c r="C920" s="10"/>
      <c r="M920" s="54"/>
      <c r="N920" s="54"/>
    </row>
    <row r="921" spans="2:14" ht="12.75">
      <c r="B921" s="10"/>
      <c r="C921" s="10"/>
      <c r="M921" s="54"/>
      <c r="N921" s="54"/>
    </row>
    <row r="922" spans="2:14" ht="12.75">
      <c r="B922" s="10"/>
      <c r="C922" s="10"/>
      <c r="M922" s="54"/>
      <c r="N922" s="54"/>
    </row>
    <row r="923" spans="2:14" ht="12.75">
      <c r="B923" s="10"/>
      <c r="C923" s="10"/>
      <c r="M923" s="54"/>
      <c r="N923" s="54"/>
    </row>
    <row r="924" spans="2:14" ht="12.75">
      <c r="B924" s="10"/>
      <c r="C924" s="10"/>
      <c r="M924" s="54"/>
      <c r="N924" s="54"/>
    </row>
    <row r="925" spans="2:14" ht="12.75">
      <c r="B925" s="10"/>
      <c r="C925" s="10"/>
      <c r="M925" s="54"/>
      <c r="N925" s="54"/>
    </row>
    <row r="926" spans="2:14" ht="12.75">
      <c r="B926" s="10"/>
      <c r="C926" s="10"/>
      <c r="M926" s="54"/>
      <c r="N926" s="54"/>
    </row>
    <row r="927" spans="2:14" ht="12.75">
      <c r="B927" s="10"/>
      <c r="C927" s="10"/>
      <c r="M927" s="54"/>
      <c r="N927" s="54"/>
    </row>
    <row r="928" spans="2:14" ht="12.75">
      <c r="B928" s="10"/>
      <c r="C928" s="10"/>
      <c r="M928" s="54"/>
      <c r="N928" s="54"/>
    </row>
    <row r="929" spans="2:14" ht="12.75">
      <c r="B929" s="10"/>
      <c r="C929" s="10"/>
      <c r="M929" s="54"/>
      <c r="N929" s="54"/>
    </row>
    <row r="930" spans="2:14" ht="12.75">
      <c r="B930" s="10"/>
      <c r="C930" s="10"/>
      <c r="M930" s="54"/>
      <c r="N930" s="54"/>
    </row>
    <row r="931" spans="2:14" ht="12.75">
      <c r="B931" s="10"/>
      <c r="C931" s="10"/>
      <c r="M931" s="54"/>
      <c r="N931" s="54"/>
    </row>
    <row r="932" spans="2:14" ht="12.75">
      <c r="B932" s="10"/>
      <c r="C932" s="10"/>
      <c r="M932" s="54"/>
      <c r="N932" s="54"/>
    </row>
    <row r="933" spans="2:14" ht="12.75">
      <c r="B933" s="10"/>
      <c r="C933" s="10"/>
      <c r="M933" s="54"/>
      <c r="N933" s="54"/>
    </row>
    <row r="934" spans="2:14" ht="12.75">
      <c r="B934" s="10"/>
      <c r="C934" s="10"/>
      <c r="M934" s="54"/>
      <c r="N934" s="54"/>
    </row>
    <row r="935" spans="2:14" ht="12.75">
      <c r="B935" s="10"/>
      <c r="C935" s="10"/>
      <c r="M935" s="54"/>
      <c r="N935" s="54"/>
    </row>
    <row r="936" spans="2:14" ht="12.75">
      <c r="B936" s="10"/>
      <c r="C936" s="10"/>
      <c r="M936" s="54"/>
      <c r="N936" s="54"/>
    </row>
    <row r="937" spans="2:14" ht="12.75">
      <c r="B937" s="10"/>
      <c r="C937" s="10"/>
      <c r="M937" s="54"/>
      <c r="N937" s="54"/>
    </row>
    <row r="938" spans="2:14" ht="12.75">
      <c r="B938" s="10"/>
      <c r="C938" s="10"/>
      <c r="M938" s="54"/>
      <c r="N938" s="54"/>
    </row>
    <row r="939" spans="2:14" ht="12.75">
      <c r="B939" s="10"/>
      <c r="C939" s="10"/>
      <c r="M939" s="54"/>
      <c r="N939" s="54"/>
    </row>
    <row r="940" spans="2:14" ht="12.75">
      <c r="B940" s="10"/>
      <c r="C940" s="10"/>
      <c r="M940" s="54"/>
      <c r="N940" s="54"/>
    </row>
    <row r="941" spans="2:14" ht="12.75">
      <c r="B941" s="10"/>
      <c r="C941" s="10"/>
      <c r="M941" s="54"/>
      <c r="N941" s="54"/>
    </row>
    <row r="942" spans="2:14" ht="12.75">
      <c r="B942" s="10"/>
      <c r="C942" s="10"/>
      <c r="M942" s="54"/>
      <c r="N942" s="54"/>
    </row>
    <row r="943" spans="2:14" ht="12.75">
      <c r="B943" s="10"/>
      <c r="C943" s="10"/>
      <c r="M943" s="54"/>
      <c r="N943" s="54"/>
    </row>
    <row r="944" spans="2:14" ht="12.75">
      <c r="B944" s="10"/>
      <c r="C944" s="10"/>
      <c r="M944" s="54"/>
      <c r="N944" s="54"/>
    </row>
    <row r="945" spans="2:14" ht="12.75">
      <c r="B945" s="10"/>
      <c r="C945" s="10"/>
      <c r="M945" s="54"/>
      <c r="N945" s="54"/>
    </row>
    <row r="946" spans="2:14" ht="12.75">
      <c r="B946" s="10"/>
      <c r="C946" s="10"/>
      <c r="M946" s="54"/>
      <c r="N946" s="54"/>
    </row>
    <row r="947" spans="2:14" ht="12.75">
      <c r="B947" s="10"/>
      <c r="C947" s="10"/>
      <c r="M947" s="54"/>
      <c r="N947" s="54"/>
    </row>
    <row r="948" spans="2:14" ht="12.75">
      <c r="B948" s="10"/>
      <c r="C948" s="10"/>
      <c r="M948" s="54"/>
      <c r="N948" s="54"/>
    </row>
    <row r="949" spans="2:14" ht="12.75">
      <c r="B949" s="10"/>
      <c r="C949" s="10"/>
      <c r="M949" s="54"/>
      <c r="N949" s="54"/>
    </row>
    <row r="950" spans="2:14" ht="12.75">
      <c r="B950" s="10"/>
      <c r="C950" s="10"/>
      <c r="M950" s="54"/>
      <c r="N950" s="54"/>
    </row>
    <row r="951" spans="2:14" ht="12.75">
      <c r="B951" s="10"/>
      <c r="C951" s="10"/>
      <c r="M951" s="54"/>
      <c r="N951" s="54"/>
    </row>
    <row r="952" spans="2:14" ht="12.75">
      <c r="B952" s="10"/>
      <c r="C952" s="10"/>
      <c r="M952" s="54"/>
      <c r="N952" s="54"/>
    </row>
    <row r="953" spans="2:14" ht="12.75">
      <c r="B953" s="10"/>
      <c r="C953" s="10"/>
      <c r="M953" s="54"/>
      <c r="N953" s="54"/>
    </row>
    <row r="954" spans="2:14" ht="12.75">
      <c r="B954" s="10"/>
      <c r="C954" s="10"/>
      <c r="M954" s="54"/>
      <c r="N954" s="54"/>
    </row>
    <row r="955" spans="2:14" ht="12.75">
      <c r="B955" s="10"/>
      <c r="C955" s="10"/>
      <c r="M955" s="54"/>
      <c r="N955" s="54"/>
    </row>
    <row r="956" spans="2:14" ht="12.75">
      <c r="B956" s="10"/>
      <c r="C956" s="10"/>
      <c r="M956" s="54"/>
      <c r="N956" s="54"/>
    </row>
    <row r="957" spans="2:14" ht="12.75">
      <c r="B957" s="10"/>
      <c r="C957" s="10"/>
      <c r="M957" s="54"/>
      <c r="N957" s="54"/>
    </row>
    <row r="958" spans="2:14" ht="12.75">
      <c r="B958" s="10"/>
      <c r="C958" s="10"/>
      <c r="M958" s="54"/>
      <c r="N958" s="54"/>
    </row>
    <row r="959" spans="2:14" ht="12.75">
      <c r="B959" s="10"/>
      <c r="C959" s="10"/>
      <c r="M959" s="54"/>
      <c r="N959" s="54"/>
    </row>
    <row r="960" spans="2:14" ht="12.75">
      <c r="B960" s="10"/>
      <c r="C960" s="10"/>
      <c r="M960" s="54"/>
      <c r="N960" s="54"/>
    </row>
    <row r="961" spans="2:14" ht="12.75">
      <c r="B961" s="10"/>
      <c r="C961" s="10"/>
      <c r="M961" s="54"/>
      <c r="N961" s="54"/>
    </row>
    <row r="962" spans="2:14" ht="12.75">
      <c r="B962" s="10"/>
      <c r="C962" s="10"/>
      <c r="M962" s="54"/>
      <c r="N962" s="54"/>
    </row>
    <row r="963" spans="2:14" ht="12.75">
      <c r="B963" s="10"/>
      <c r="C963" s="10"/>
      <c r="M963" s="54"/>
      <c r="N963" s="54"/>
    </row>
    <row r="964" spans="2:14" ht="12.75">
      <c r="B964" s="10"/>
      <c r="C964" s="10"/>
      <c r="M964" s="54"/>
      <c r="N964" s="54"/>
    </row>
    <row r="965" spans="2:14" ht="12.75">
      <c r="B965" s="10"/>
      <c r="C965" s="10"/>
      <c r="M965" s="54"/>
      <c r="N965" s="54"/>
    </row>
    <row r="966" spans="2:14" ht="12.75">
      <c r="B966" s="10"/>
      <c r="C966" s="10"/>
      <c r="M966" s="54"/>
      <c r="N966" s="54"/>
    </row>
    <row r="967" spans="2:14" ht="12.75">
      <c r="B967" s="10"/>
      <c r="C967" s="10"/>
      <c r="M967" s="54"/>
      <c r="N967" s="54"/>
    </row>
    <row r="968" spans="2:14" ht="12.75">
      <c r="B968" s="10"/>
      <c r="C968" s="10"/>
      <c r="M968" s="54"/>
      <c r="N968" s="54"/>
    </row>
    <row r="969" spans="2:14" ht="12.75">
      <c r="B969" s="10"/>
      <c r="C969" s="10"/>
      <c r="M969" s="54"/>
      <c r="N969" s="54"/>
    </row>
    <row r="970" spans="2:14" ht="12.75">
      <c r="B970" s="10"/>
      <c r="C970" s="10"/>
      <c r="M970" s="54"/>
      <c r="N970" s="54"/>
    </row>
    <row r="971" spans="2:14" ht="12.75">
      <c r="B971" s="10"/>
      <c r="C971" s="10"/>
      <c r="M971" s="54"/>
      <c r="N971" s="54"/>
    </row>
    <row r="972" spans="2:14" ht="12.75">
      <c r="B972" s="10"/>
      <c r="C972" s="10"/>
      <c r="M972" s="54"/>
      <c r="N972" s="54"/>
    </row>
    <row r="973" spans="2:14" ht="12.75">
      <c r="B973" s="10"/>
      <c r="C973" s="10"/>
      <c r="M973" s="54"/>
      <c r="N973" s="54"/>
    </row>
    <row r="974" spans="2:14" ht="12.75">
      <c r="B974" s="10"/>
      <c r="C974" s="10"/>
      <c r="M974" s="54"/>
      <c r="N974" s="54"/>
    </row>
    <row r="975" spans="2:14" ht="12.75">
      <c r="B975" s="10"/>
      <c r="C975" s="10"/>
      <c r="M975" s="54"/>
      <c r="N975" s="54"/>
    </row>
    <row r="976" spans="2:14" ht="12.75">
      <c r="B976" s="10"/>
      <c r="C976" s="10"/>
      <c r="M976" s="54"/>
      <c r="N976" s="54"/>
    </row>
    <row r="977" spans="2:14" ht="12.75">
      <c r="B977" s="10"/>
      <c r="C977" s="10"/>
      <c r="M977" s="54"/>
      <c r="N977" s="54"/>
    </row>
    <row r="978" spans="2:14" ht="12.75">
      <c r="B978" s="10"/>
      <c r="C978" s="10"/>
      <c r="M978" s="54"/>
      <c r="N978" s="54"/>
    </row>
    <row r="979" spans="2:14" ht="12.75">
      <c r="B979" s="10"/>
      <c r="C979" s="10"/>
      <c r="M979" s="54"/>
      <c r="N979" s="54"/>
    </row>
    <row r="980" spans="2:14" ht="12.75">
      <c r="B980" s="10"/>
      <c r="C980" s="10"/>
      <c r="M980" s="54"/>
      <c r="N980" s="54"/>
    </row>
    <row r="981" spans="2:14" ht="12.75">
      <c r="B981" s="10"/>
      <c r="C981" s="10"/>
      <c r="M981" s="54"/>
      <c r="N981" s="54"/>
    </row>
    <row r="982" spans="2:14" ht="12.75">
      <c r="B982" s="10"/>
      <c r="C982" s="10"/>
      <c r="M982" s="54"/>
      <c r="N982" s="54"/>
    </row>
    <row r="983" spans="2:14" ht="12.75">
      <c r="B983" s="10"/>
      <c r="C983" s="10"/>
      <c r="M983" s="54"/>
      <c r="N983" s="54"/>
    </row>
    <row r="984" spans="2:14" ht="12.75">
      <c r="B984" s="10"/>
      <c r="C984" s="10"/>
      <c r="M984" s="54"/>
      <c r="N984" s="54"/>
    </row>
    <row r="985" spans="2:14" ht="12.75">
      <c r="B985" s="10"/>
      <c r="C985" s="10"/>
      <c r="M985" s="54"/>
      <c r="N985" s="54"/>
    </row>
  </sheetData>
  <mergeCells count="20">
    <mergeCell ref="I8:I9"/>
    <mergeCell ref="A2:K2"/>
    <mergeCell ref="A3:K3"/>
    <mergeCell ref="A4:K4"/>
    <mergeCell ref="A7:A9"/>
    <mergeCell ref="B7:B9"/>
    <mergeCell ref="K7:K9"/>
    <mergeCell ref="C8:C9"/>
    <mergeCell ref="J8:J9"/>
    <mergeCell ref="A70:C70"/>
    <mergeCell ref="A71:C71"/>
    <mergeCell ref="F8:F9"/>
    <mergeCell ref="G8:G9"/>
    <mergeCell ref="H8:H9"/>
    <mergeCell ref="D8:D9"/>
    <mergeCell ref="E8:E9"/>
    <mergeCell ref="A67:A69"/>
    <mergeCell ref="B67:C67"/>
    <mergeCell ref="B68:C68"/>
    <mergeCell ref="B69:C69"/>
  </mergeCells>
  <printOptions horizontalCentered="1"/>
  <pageMargins left="0.7" right="0.7" top="0.75" bottom="0.75" header="0" footer="0"/>
  <pageSetup paperSize="9" pageOrder="overThenDown" orientation="landscape" cellComments="atEnd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996"/>
  <sheetViews>
    <sheetView workbookViewId="0"/>
  </sheetViews>
  <sheetFormatPr defaultColWidth="12.5703125" defaultRowHeight="15.75" customHeight="1"/>
  <cols>
    <col min="1" max="1" width="6.42578125" customWidth="1"/>
    <col min="2" max="2" width="11.5703125" customWidth="1"/>
  </cols>
  <sheetData>
    <row r="1" spans="1:12" ht="15.75" customHeight="1">
      <c r="B1" s="2"/>
      <c r="C1" s="2"/>
      <c r="D1" s="84" t="s">
        <v>1</v>
      </c>
      <c r="E1" s="2"/>
      <c r="F1" s="2"/>
      <c r="G1" s="2"/>
      <c r="H1" s="2"/>
      <c r="I1" s="2"/>
      <c r="J1" s="85" t="s">
        <v>0</v>
      </c>
      <c r="K1" s="2"/>
      <c r="L1" s="86"/>
    </row>
    <row r="2" spans="1:12">
      <c r="A2" s="2"/>
      <c r="B2" s="2"/>
      <c r="C2" s="2"/>
      <c r="D2" s="87" t="s">
        <v>266</v>
      </c>
      <c r="E2" s="2"/>
      <c r="F2" s="2"/>
      <c r="G2" s="2"/>
      <c r="H2" s="2"/>
      <c r="I2" s="2"/>
      <c r="J2" s="2"/>
      <c r="K2" s="2"/>
      <c r="L2" s="86"/>
    </row>
    <row r="3" spans="1:12" ht="15.75" customHeight="1">
      <c r="A3" s="88"/>
      <c r="B3" s="2"/>
      <c r="C3" s="2"/>
      <c r="D3" s="89" t="s">
        <v>267</v>
      </c>
      <c r="E3" s="2"/>
      <c r="F3" s="2"/>
      <c r="G3" s="2"/>
      <c r="H3" s="2"/>
      <c r="I3" s="2"/>
      <c r="J3" s="2"/>
      <c r="K3" s="2"/>
      <c r="L3" s="86"/>
    </row>
    <row r="4" spans="1:12" ht="15.75" customHeight="1">
      <c r="A4" s="90" t="s">
        <v>268</v>
      </c>
      <c r="B4" s="2"/>
      <c r="C4" s="2"/>
      <c r="D4" s="90" t="s">
        <v>269</v>
      </c>
      <c r="E4" s="2"/>
      <c r="F4" s="2"/>
      <c r="G4" s="2"/>
      <c r="H4" s="2"/>
      <c r="I4" s="2"/>
      <c r="J4" s="2"/>
      <c r="K4" s="2"/>
      <c r="L4" s="86"/>
    </row>
    <row r="5" spans="1:12">
      <c r="A5" s="91" t="s">
        <v>22</v>
      </c>
      <c r="B5" s="91" t="s">
        <v>270</v>
      </c>
      <c r="C5" s="149" t="s">
        <v>271</v>
      </c>
      <c r="D5" s="111"/>
      <c r="E5" s="91" t="s">
        <v>272</v>
      </c>
      <c r="F5" s="91" t="s">
        <v>273</v>
      </c>
      <c r="G5" s="150" t="s">
        <v>274</v>
      </c>
      <c r="H5" s="111"/>
      <c r="I5" s="150" t="s">
        <v>275</v>
      </c>
      <c r="J5" s="111"/>
      <c r="K5" s="91" t="s">
        <v>276</v>
      </c>
      <c r="L5" s="91" t="s">
        <v>277</v>
      </c>
    </row>
    <row r="6" spans="1:12">
      <c r="A6" s="92"/>
      <c r="B6" s="92"/>
      <c r="C6" s="93" t="s">
        <v>278</v>
      </c>
      <c r="D6" s="93" t="s">
        <v>279</v>
      </c>
      <c r="E6" s="92"/>
      <c r="F6" s="92"/>
      <c r="G6" s="93" t="s">
        <v>280</v>
      </c>
      <c r="H6" s="93" t="s">
        <v>281</v>
      </c>
      <c r="I6" s="93" t="s">
        <v>280</v>
      </c>
      <c r="J6" s="93" t="s">
        <v>281</v>
      </c>
      <c r="K6" s="92"/>
      <c r="L6" s="92"/>
    </row>
    <row r="7" spans="1:12" ht="15.75" customHeight="1">
      <c r="A7" s="94">
        <v>1</v>
      </c>
      <c r="B7" s="95" t="s">
        <v>10</v>
      </c>
      <c r="C7" s="96">
        <v>34</v>
      </c>
      <c r="D7" s="96">
        <v>31</v>
      </c>
      <c r="E7" s="96">
        <v>5</v>
      </c>
      <c r="F7" s="97">
        <v>1</v>
      </c>
      <c r="G7" s="96">
        <v>2</v>
      </c>
      <c r="H7" s="96">
        <v>2</v>
      </c>
      <c r="I7" s="96" t="s">
        <v>282</v>
      </c>
      <c r="J7" s="96" t="s">
        <v>282</v>
      </c>
      <c r="K7" s="98" t="s">
        <v>283</v>
      </c>
      <c r="L7" s="99" t="s">
        <v>135</v>
      </c>
    </row>
    <row r="8" spans="1:12" ht="15.75" customHeight="1">
      <c r="A8" s="94">
        <v>2</v>
      </c>
      <c r="B8" s="95" t="s">
        <v>11</v>
      </c>
      <c r="C8" s="96">
        <v>36</v>
      </c>
      <c r="D8" s="96">
        <v>33</v>
      </c>
      <c r="E8" s="96">
        <v>5</v>
      </c>
      <c r="F8" s="100">
        <v>1</v>
      </c>
      <c r="G8" s="96">
        <v>1</v>
      </c>
      <c r="H8" s="96">
        <v>1</v>
      </c>
      <c r="I8" s="96">
        <v>1</v>
      </c>
      <c r="J8" s="96">
        <v>1</v>
      </c>
      <c r="K8" s="101" t="s">
        <v>284</v>
      </c>
      <c r="L8" s="99" t="s">
        <v>136</v>
      </c>
    </row>
    <row r="9" spans="1:12" ht="15.75" customHeight="1">
      <c r="A9" s="94">
        <v>3</v>
      </c>
      <c r="B9" s="95" t="s">
        <v>12</v>
      </c>
      <c r="C9" s="96"/>
      <c r="D9" s="96"/>
      <c r="E9" s="96"/>
      <c r="F9" s="100"/>
      <c r="G9" s="96"/>
      <c r="H9" s="96"/>
      <c r="I9" s="96"/>
      <c r="J9" s="96"/>
      <c r="K9" s="101" t="s">
        <v>285</v>
      </c>
      <c r="L9" s="99" t="s">
        <v>137</v>
      </c>
    </row>
    <row r="10" spans="1:12" ht="15.75" customHeight="1">
      <c r="A10" s="146">
        <v>4</v>
      </c>
      <c r="B10" s="146" t="s">
        <v>286</v>
      </c>
      <c r="C10" s="96">
        <v>11</v>
      </c>
      <c r="D10" s="96">
        <v>11</v>
      </c>
      <c r="E10" s="146" t="s">
        <v>287</v>
      </c>
      <c r="F10" s="151">
        <v>1</v>
      </c>
      <c r="G10" s="146"/>
      <c r="H10" s="146"/>
      <c r="I10" s="146"/>
      <c r="J10" s="146"/>
      <c r="K10" s="147" t="s">
        <v>283</v>
      </c>
      <c r="L10" s="148" t="s">
        <v>135</v>
      </c>
    </row>
    <row r="11" spans="1:12" ht="15.75" customHeight="1">
      <c r="A11" s="104"/>
      <c r="B11" s="104"/>
      <c r="C11" s="96">
        <v>9</v>
      </c>
      <c r="D11" s="96">
        <v>9</v>
      </c>
      <c r="E11" s="104"/>
      <c r="F11" s="104"/>
      <c r="G11" s="104"/>
      <c r="H11" s="104"/>
      <c r="I11" s="104"/>
      <c r="J11" s="104"/>
      <c r="K11" s="104"/>
      <c r="L11" s="104"/>
    </row>
    <row r="12" spans="1:12" ht="15.75" customHeight="1">
      <c r="A12" s="94">
        <v>5</v>
      </c>
      <c r="B12" s="95" t="s">
        <v>14</v>
      </c>
      <c r="C12" s="96">
        <v>55</v>
      </c>
      <c r="D12" s="96">
        <v>52</v>
      </c>
      <c r="E12" s="96">
        <v>4.5</v>
      </c>
      <c r="F12" s="96">
        <v>95</v>
      </c>
      <c r="G12" s="96">
        <v>4</v>
      </c>
      <c r="H12" s="96">
        <v>3</v>
      </c>
      <c r="I12" s="96">
        <v>1</v>
      </c>
      <c r="J12" s="96" t="s">
        <v>282</v>
      </c>
      <c r="K12" s="101" t="s">
        <v>288</v>
      </c>
      <c r="L12" s="99" t="s">
        <v>289</v>
      </c>
    </row>
    <row r="13" spans="1:12" ht="15.75" customHeight="1">
      <c r="A13" s="94">
        <v>6</v>
      </c>
      <c r="B13" s="95" t="s">
        <v>290</v>
      </c>
      <c r="C13" s="96">
        <v>10</v>
      </c>
      <c r="D13" s="96">
        <v>10</v>
      </c>
      <c r="E13" s="96">
        <v>4.5</v>
      </c>
      <c r="F13" s="96">
        <v>95</v>
      </c>
      <c r="G13" s="96">
        <v>2</v>
      </c>
      <c r="H13" s="96">
        <v>2</v>
      </c>
      <c r="I13" s="96"/>
      <c r="J13" s="96"/>
      <c r="K13" s="101" t="s">
        <v>291</v>
      </c>
      <c r="L13" s="99" t="s">
        <v>139</v>
      </c>
    </row>
    <row r="14" spans="1:12" ht="15.75" customHeight="1">
      <c r="A14" s="94">
        <v>7</v>
      </c>
      <c r="B14" s="95" t="s">
        <v>16</v>
      </c>
      <c r="C14" s="96">
        <v>20</v>
      </c>
      <c r="D14" s="96">
        <v>20</v>
      </c>
      <c r="E14" s="96">
        <v>5</v>
      </c>
      <c r="F14" s="100">
        <v>1</v>
      </c>
      <c r="G14" s="96">
        <v>1</v>
      </c>
      <c r="H14" s="96">
        <v>1</v>
      </c>
      <c r="I14" s="96">
        <v>2</v>
      </c>
      <c r="J14" s="96">
        <v>2</v>
      </c>
      <c r="K14" s="101" t="s">
        <v>292</v>
      </c>
      <c r="L14" s="99" t="s">
        <v>293</v>
      </c>
    </row>
    <row r="15" spans="1:12" ht="15.75" customHeight="1">
      <c r="A15" s="146">
        <v>8</v>
      </c>
      <c r="B15" s="154" t="s">
        <v>17</v>
      </c>
      <c r="C15" s="102">
        <v>10</v>
      </c>
      <c r="D15" s="102">
        <v>10</v>
      </c>
      <c r="E15" s="152" t="s">
        <v>294</v>
      </c>
      <c r="F15" s="152" t="s">
        <v>295</v>
      </c>
      <c r="G15" s="152" t="s">
        <v>282</v>
      </c>
      <c r="H15" s="152" t="s">
        <v>282</v>
      </c>
      <c r="I15" s="152" t="s">
        <v>282</v>
      </c>
      <c r="J15" s="152" t="s">
        <v>282</v>
      </c>
      <c r="K15" s="153" t="s">
        <v>284</v>
      </c>
      <c r="L15" s="146" t="s">
        <v>136</v>
      </c>
    </row>
    <row r="16" spans="1:12" ht="15.75" customHeight="1">
      <c r="A16" s="104"/>
      <c r="B16" s="104"/>
      <c r="C16" s="102">
        <v>10</v>
      </c>
      <c r="D16" s="102">
        <v>10</v>
      </c>
      <c r="E16" s="104"/>
      <c r="F16" s="104"/>
      <c r="G16" s="104"/>
      <c r="H16" s="104"/>
      <c r="I16" s="104"/>
      <c r="J16" s="104"/>
      <c r="K16" s="104"/>
      <c r="L16" s="104"/>
    </row>
    <row r="17" spans="1:12" ht="15.75" customHeight="1">
      <c r="A17" s="146">
        <v>9</v>
      </c>
      <c r="B17" s="154" t="s">
        <v>18</v>
      </c>
      <c r="C17" s="96"/>
      <c r="D17" s="96"/>
      <c r="E17" s="146"/>
      <c r="F17" s="155"/>
      <c r="G17" s="146"/>
      <c r="H17" s="146"/>
      <c r="I17" s="146"/>
      <c r="J17" s="146"/>
      <c r="K17" s="101" t="s">
        <v>285</v>
      </c>
      <c r="L17" s="99" t="s">
        <v>137</v>
      </c>
    </row>
    <row r="18" spans="1:12" ht="15.75" customHeight="1">
      <c r="A18" s="104"/>
      <c r="B18" s="104"/>
      <c r="C18" s="96"/>
      <c r="D18" s="96"/>
      <c r="E18" s="104"/>
      <c r="F18" s="104"/>
      <c r="G18" s="104"/>
      <c r="H18" s="104"/>
      <c r="I18" s="104"/>
      <c r="J18" s="104"/>
      <c r="K18" s="101"/>
      <c r="L18" s="99"/>
    </row>
    <row r="19" spans="1:12">
      <c r="L19" s="54"/>
    </row>
    <row r="20" spans="1:12">
      <c r="L20" s="54"/>
    </row>
    <row r="21" spans="1:12">
      <c r="L21" s="54"/>
    </row>
    <row r="22" spans="1:12">
      <c r="L22" s="54"/>
    </row>
    <row r="23" spans="1:12">
      <c r="L23" s="54"/>
    </row>
    <row r="24" spans="1:12" ht="12.75">
      <c r="L24" s="54"/>
    </row>
    <row r="25" spans="1:12" ht="12.75">
      <c r="L25" s="54"/>
    </row>
    <row r="26" spans="1:12" ht="12.75">
      <c r="L26" s="54"/>
    </row>
    <row r="27" spans="1:12" ht="12.75">
      <c r="L27" s="54"/>
    </row>
    <row r="28" spans="1:12" ht="12.75">
      <c r="L28" s="54"/>
    </row>
    <row r="29" spans="1:12" ht="12.75">
      <c r="L29" s="54"/>
    </row>
    <row r="30" spans="1:12" ht="12.75">
      <c r="L30" s="54"/>
    </row>
    <row r="31" spans="1:12" ht="12.75">
      <c r="L31" s="54"/>
    </row>
    <row r="32" spans="1:12" ht="12.75">
      <c r="L32" s="54"/>
    </row>
    <row r="33" spans="12:12" ht="12.75">
      <c r="L33" s="54"/>
    </row>
    <row r="34" spans="12:12" ht="12.75">
      <c r="L34" s="54"/>
    </row>
    <row r="35" spans="12:12" ht="12.75">
      <c r="L35" s="54"/>
    </row>
    <row r="36" spans="12:12" ht="12.75">
      <c r="L36" s="54"/>
    </row>
    <row r="37" spans="12:12" ht="12.75">
      <c r="L37" s="54"/>
    </row>
    <row r="38" spans="12:12" ht="12.75">
      <c r="L38" s="54"/>
    </row>
    <row r="39" spans="12:12" ht="12.75">
      <c r="L39" s="54"/>
    </row>
    <row r="40" spans="12:12" ht="12.75">
      <c r="L40" s="54"/>
    </row>
    <row r="41" spans="12:12" ht="12.75">
      <c r="L41" s="54"/>
    </row>
    <row r="42" spans="12:12" ht="12.75">
      <c r="L42" s="54"/>
    </row>
    <row r="43" spans="12:12" ht="12.75">
      <c r="L43" s="54"/>
    </row>
    <row r="44" spans="12:12" ht="12.75">
      <c r="L44" s="54"/>
    </row>
    <row r="45" spans="12:12" ht="12.75">
      <c r="L45" s="54"/>
    </row>
    <row r="46" spans="12:12" ht="12.75">
      <c r="L46" s="54"/>
    </row>
    <row r="47" spans="12:12" ht="12.75">
      <c r="L47" s="54"/>
    </row>
    <row r="48" spans="12:12" ht="12.75">
      <c r="L48" s="54"/>
    </row>
    <row r="49" spans="12:12" ht="12.75">
      <c r="L49" s="54"/>
    </row>
    <row r="50" spans="12:12" ht="12.75">
      <c r="L50" s="54"/>
    </row>
    <row r="51" spans="12:12" ht="12.75">
      <c r="L51" s="54"/>
    </row>
    <row r="52" spans="12:12" ht="12.75">
      <c r="L52" s="54"/>
    </row>
    <row r="53" spans="12:12" ht="12.75">
      <c r="L53" s="54"/>
    </row>
    <row r="54" spans="12:12" ht="12.75">
      <c r="L54" s="54"/>
    </row>
    <row r="55" spans="12:12" ht="12.75">
      <c r="L55" s="54"/>
    </row>
    <row r="56" spans="12:12" ht="12.75">
      <c r="L56" s="54"/>
    </row>
    <row r="57" spans="12:12" ht="12.75">
      <c r="L57" s="54"/>
    </row>
    <row r="58" spans="12:12" ht="12.75">
      <c r="L58" s="54"/>
    </row>
    <row r="59" spans="12:12" ht="12.75">
      <c r="L59" s="54"/>
    </row>
    <row r="60" spans="12:12" ht="12.75">
      <c r="L60" s="54"/>
    </row>
    <row r="61" spans="12:12" ht="12.75">
      <c r="L61" s="54"/>
    </row>
    <row r="62" spans="12:12" ht="12.75">
      <c r="L62" s="54"/>
    </row>
    <row r="63" spans="12:12" ht="12.75">
      <c r="L63" s="54"/>
    </row>
    <row r="64" spans="12:12" ht="12.75">
      <c r="L64" s="54"/>
    </row>
    <row r="65" spans="12:12" ht="12.75">
      <c r="L65" s="54"/>
    </row>
    <row r="66" spans="12:12" ht="12.75">
      <c r="L66" s="54"/>
    </row>
    <row r="67" spans="12:12" ht="12.75">
      <c r="L67" s="54"/>
    </row>
    <row r="68" spans="12:12" ht="12.75">
      <c r="L68" s="54"/>
    </row>
    <row r="69" spans="12:12" ht="12.75">
      <c r="L69" s="54"/>
    </row>
    <row r="70" spans="12:12" ht="12.75">
      <c r="L70" s="54"/>
    </row>
    <row r="71" spans="12:12" ht="12.75">
      <c r="L71" s="54"/>
    </row>
    <row r="72" spans="12:12" ht="12.75">
      <c r="L72" s="54"/>
    </row>
    <row r="73" spans="12:12" ht="12.75">
      <c r="L73" s="54"/>
    </row>
    <row r="74" spans="12:12" ht="12.75">
      <c r="L74" s="54"/>
    </row>
    <row r="75" spans="12:12" ht="12.75">
      <c r="L75" s="54"/>
    </row>
    <row r="76" spans="12:12" ht="12.75">
      <c r="L76" s="54"/>
    </row>
    <row r="77" spans="12:12" ht="12.75">
      <c r="L77" s="54"/>
    </row>
    <row r="78" spans="12:12" ht="12.75">
      <c r="L78" s="54"/>
    </row>
    <row r="79" spans="12:12" ht="12.75">
      <c r="L79" s="54"/>
    </row>
    <row r="80" spans="12:12" ht="12.75">
      <c r="L80" s="54"/>
    </row>
    <row r="81" spans="12:12" ht="12.75">
      <c r="L81" s="54"/>
    </row>
    <row r="82" spans="12:12" ht="12.75">
      <c r="L82" s="54"/>
    </row>
    <row r="83" spans="12:12" ht="12.75">
      <c r="L83" s="54"/>
    </row>
    <row r="84" spans="12:12" ht="12.75">
      <c r="L84" s="54"/>
    </row>
    <row r="85" spans="12:12" ht="12.75">
      <c r="L85" s="54"/>
    </row>
    <row r="86" spans="12:12" ht="12.75">
      <c r="L86" s="54"/>
    </row>
    <row r="87" spans="12:12" ht="12.75">
      <c r="L87" s="54"/>
    </row>
    <row r="88" spans="12:12" ht="12.75">
      <c r="L88" s="54"/>
    </row>
    <row r="89" spans="12:12" ht="12.75">
      <c r="L89" s="54"/>
    </row>
    <row r="90" spans="12:12" ht="12.75">
      <c r="L90" s="54"/>
    </row>
    <row r="91" spans="12:12" ht="12.75">
      <c r="L91" s="54"/>
    </row>
    <row r="92" spans="12:12" ht="12.75">
      <c r="L92" s="54"/>
    </row>
    <row r="93" spans="12:12" ht="12.75">
      <c r="L93" s="54"/>
    </row>
    <row r="94" spans="12:12" ht="12.75">
      <c r="L94" s="54"/>
    </row>
    <row r="95" spans="12:12" ht="12.75">
      <c r="L95" s="54"/>
    </row>
    <row r="96" spans="12:12" ht="12.75">
      <c r="L96" s="54"/>
    </row>
    <row r="97" spans="12:12" ht="12.75">
      <c r="L97" s="54"/>
    </row>
    <row r="98" spans="12:12" ht="12.75">
      <c r="L98" s="54"/>
    </row>
    <row r="99" spans="12:12" ht="12.75">
      <c r="L99" s="54"/>
    </row>
    <row r="100" spans="12:12" ht="12.75">
      <c r="L100" s="54"/>
    </row>
    <row r="101" spans="12:12" ht="12.75">
      <c r="L101" s="54"/>
    </row>
    <row r="102" spans="12:12" ht="12.75">
      <c r="L102" s="54"/>
    </row>
    <row r="103" spans="12:12" ht="12.75">
      <c r="L103" s="54"/>
    </row>
    <row r="104" spans="12:12" ht="12.75">
      <c r="L104" s="54"/>
    </row>
    <row r="105" spans="12:12" ht="12.75">
      <c r="L105" s="54"/>
    </row>
    <row r="106" spans="12:12" ht="12.75">
      <c r="L106" s="54"/>
    </row>
    <row r="107" spans="12:12" ht="12.75">
      <c r="L107" s="54"/>
    </row>
    <row r="108" spans="12:12" ht="12.75">
      <c r="L108" s="54"/>
    </row>
    <row r="109" spans="12:12" ht="12.75">
      <c r="L109" s="54"/>
    </row>
    <row r="110" spans="12:12" ht="12.75">
      <c r="L110" s="54"/>
    </row>
    <row r="111" spans="12:12" ht="12.75">
      <c r="L111" s="54"/>
    </row>
    <row r="112" spans="12:12" ht="12.75">
      <c r="L112" s="54"/>
    </row>
    <row r="113" spans="12:12" ht="12.75">
      <c r="L113" s="54"/>
    </row>
    <row r="114" spans="12:12" ht="12.75">
      <c r="L114" s="54"/>
    </row>
    <row r="115" spans="12:12" ht="12.75">
      <c r="L115" s="54"/>
    </row>
    <row r="116" spans="12:12" ht="12.75">
      <c r="L116" s="54"/>
    </row>
    <row r="117" spans="12:12" ht="12.75">
      <c r="L117" s="54"/>
    </row>
    <row r="118" spans="12:12" ht="12.75">
      <c r="L118" s="54"/>
    </row>
    <row r="119" spans="12:12" ht="12.75">
      <c r="L119" s="54"/>
    </row>
    <row r="120" spans="12:12" ht="12.75">
      <c r="L120" s="54"/>
    </row>
    <row r="121" spans="12:12" ht="12.75">
      <c r="L121" s="54"/>
    </row>
    <row r="122" spans="12:12" ht="12.75">
      <c r="L122" s="54"/>
    </row>
    <row r="123" spans="12:12" ht="12.75">
      <c r="L123" s="54"/>
    </row>
    <row r="124" spans="12:12" ht="12.75">
      <c r="L124" s="54"/>
    </row>
    <row r="125" spans="12:12" ht="12.75">
      <c r="L125" s="54"/>
    </row>
    <row r="126" spans="12:12" ht="12.75">
      <c r="L126" s="54"/>
    </row>
    <row r="127" spans="12:12" ht="12.75">
      <c r="L127" s="54"/>
    </row>
    <row r="128" spans="12:12" ht="12.75">
      <c r="L128" s="54"/>
    </row>
    <row r="129" spans="12:12" ht="12.75">
      <c r="L129" s="54"/>
    </row>
    <row r="130" spans="12:12" ht="12.75">
      <c r="L130" s="54"/>
    </row>
    <row r="131" spans="12:12" ht="12.75">
      <c r="L131" s="54"/>
    </row>
    <row r="132" spans="12:12" ht="12.75">
      <c r="L132" s="54"/>
    </row>
    <row r="133" spans="12:12" ht="12.75">
      <c r="L133" s="54"/>
    </row>
    <row r="134" spans="12:12" ht="12.75">
      <c r="L134" s="54"/>
    </row>
    <row r="135" spans="12:12" ht="12.75">
      <c r="L135" s="54"/>
    </row>
    <row r="136" spans="12:12" ht="12.75">
      <c r="L136" s="54"/>
    </row>
    <row r="137" spans="12:12" ht="12.75">
      <c r="L137" s="54"/>
    </row>
    <row r="138" spans="12:12" ht="12.75">
      <c r="L138" s="54"/>
    </row>
    <row r="139" spans="12:12" ht="12.75">
      <c r="L139" s="54"/>
    </row>
    <row r="140" spans="12:12" ht="12.75">
      <c r="L140" s="54"/>
    </row>
    <row r="141" spans="12:12" ht="12.75">
      <c r="L141" s="54"/>
    </row>
    <row r="142" spans="12:12" ht="12.75">
      <c r="L142" s="54"/>
    </row>
    <row r="143" spans="12:12" ht="12.75">
      <c r="L143" s="54"/>
    </row>
    <row r="144" spans="12:12" ht="12.75">
      <c r="L144" s="54"/>
    </row>
    <row r="145" spans="12:12" ht="12.75">
      <c r="L145" s="54"/>
    </row>
    <row r="146" spans="12:12" ht="12.75">
      <c r="L146" s="54"/>
    </row>
    <row r="147" spans="12:12" ht="12.75">
      <c r="L147" s="54"/>
    </row>
    <row r="148" spans="12:12" ht="12.75">
      <c r="L148" s="54"/>
    </row>
    <row r="149" spans="12:12" ht="12.75">
      <c r="L149" s="54"/>
    </row>
    <row r="150" spans="12:12" ht="12.75">
      <c r="L150" s="54"/>
    </row>
    <row r="151" spans="12:12" ht="12.75">
      <c r="L151" s="54"/>
    </row>
    <row r="152" spans="12:12" ht="12.75">
      <c r="L152" s="54"/>
    </row>
    <row r="153" spans="12:12" ht="12.75">
      <c r="L153" s="54"/>
    </row>
    <row r="154" spans="12:12" ht="12.75">
      <c r="L154" s="54"/>
    </row>
    <row r="155" spans="12:12" ht="12.75">
      <c r="L155" s="54"/>
    </row>
    <row r="156" spans="12:12" ht="12.75">
      <c r="L156" s="54"/>
    </row>
    <row r="157" spans="12:12" ht="12.75">
      <c r="L157" s="54"/>
    </row>
    <row r="158" spans="12:12" ht="12.75">
      <c r="L158" s="54"/>
    </row>
    <row r="159" spans="12:12" ht="12.75">
      <c r="L159" s="54"/>
    </row>
    <row r="160" spans="12:12" ht="12.75">
      <c r="L160" s="54"/>
    </row>
    <row r="161" spans="12:12" ht="12.75">
      <c r="L161" s="54"/>
    </row>
    <row r="162" spans="12:12" ht="12.75">
      <c r="L162" s="54"/>
    </row>
    <row r="163" spans="12:12" ht="12.75">
      <c r="L163" s="54"/>
    </row>
    <row r="164" spans="12:12" ht="12.75">
      <c r="L164" s="54"/>
    </row>
    <row r="165" spans="12:12" ht="12.75">
      <c r="L165" s="54"/>
    </row>
    <row r="166" spans="12:12" ht="12.75">
      <c r="L166" s="54"/>
    </row>
    <row r="167" spans="12:12" ht="12.75">
      <c r="L167" s="54"/>
    </row>
    <row r="168" spans="12:12" ht="12.75">
      <c r="L168" s="54"/>
    </row>
    <row r="169" spans="12:12" ht="12.75">
      <c r="L169" s="54"/>
    </row>
    <row r="170" spans="12:12" ht="12.75">
      <c r="L170" s="54"/>
    </row>
    <row r="171" spans="12:12" ht="12.75">
      <c r="L171" s="54"/>
    </row>
    <row r="172" spans="12:12" ht="12.75">
      <c r="L172" s="54"/>
    </row>
    <row r="173" spans="12:12" ht="12.75">
      <c r="L173" s="54"/>
    </row>
    <row r="174" spans="12:12" ht="12.75">
      <c r="L174" s="54"/>
    </row>
    <row r="175" spans="12:12" ht="12.75">
      <c r="L175" s="54"/>
    </row>
    <row r="176" spans="12:12" ht="12.75">
      <c r="L176" s="54"/>
    </row>
    <row r="177" spans="12:12" ht="12.75">
      <c r="L177" s="54"/>
    </row>
    <row r="178" spans="12:12" ht="12.75">
      <c r="L178" s="54"/>
    </row>
    <row r="179" spans="12:12" ht="12.75">
      <c r="L179" s="54"/>
    </row>
    <row r="180" spans="12:12" ht="12.75">
      <c r="L180" s="54"/>
    </row>
    <row r="181" spans="12:12" ht="12.75">
      <c r="L181" s="54"/>
    </row>
    <row r="182" spans="12:12" ht="12.75">
      <c r="L182" s="54"/>
    </row>
    <row r="183" spans="12:12" ht="12.75">
      <c r="L183" s="54"/>
    </row>
    <row r="184" spans="12:12" ht="12.75">
      <c r="L184" s="54"/>
    </row>
    <row r="185" spans="12:12" ht="12.75">
      <c r="L185" s="54"/>
    </row>
    <row r="186" spans="12:12" ht="12.75">
      <c r="L186" s="54"/>
    </row>
    <row r="187" spans="12:12" ht="12.75">
      <c r="L187" s="54"/>
    </row>
    <row r="188" spans="12:12" ht="12.75">
      <c r="L188" s="54"/>
    </row>
    <row r="189" spans="12:12" ht="12.75">
      <c r="L189" s="54"/>
    </row>
    <row r="190" spans="12:12" ht="12.75">
      <c r="L190" s="54"/>
    </row>
    <row r="191" spans="12:12" ht="12.75">
      <c r="L191" s="54"/>
    </row>
    <row r="192" spans="12:12" ht="12.75">
      <c r="L192" s="54"/>
    </row>
    <row r="193" spans="12:12" ht="12.75">
      <c r="L193" s="54"/>
    </row>
    <row r="194" spans="12:12" ht="12.75">
      <c r="L194" s="54"/>
    </row>
    <row r="195" spans="12:12" ht="12.75">
      <c r="L195" s="54"/>
    </row>
    <row r="196" spans="12:12" ht="12.75">
      <c r="L196" s="54"/>
    </row>
    <row r="197" spans="12:12" ht="12.75">
      <c r="L197" s="54"/>
    </row>
    <row r="198" spans="12:12" ht="12.75">
      <c r="L198" s="54"/>
    </row>
    <row r="199" spans="12:12" ht="12.75">
      <c r="L199" s="54"/>
    </row>
    <row r="200" spans="12:12" ht="12.75">
      <c r="L200" s="54"/>
    </row>
    <row r="201" spans="12:12" ht="12.75">
      <c r="L201" s="54"/>
    </row>
    <row r="202" spans="12:12" ht="12.75">
      <c r="L202" s="54"/>
    </row>
    <row r="203" spans="12:12" ht="12.75">
      <c r="L203" s="54"/>
    </row>
    <row r="204" spans="12:12" ht="12.75">
      <c r="L204" s="54"/>
    </row>
    <row r="205" spans="12:12" ht="12.75">
      <c r="L205" s="54"/>
    </row>
    <row r="206" spans="12:12" ht="12.75">
      <c r="L206" s="54"/>
    </row>
    <row r="207" spans="12:12" ht="12.75">
      <c r="L207" s="54"/>
    </row>
    <row r="208" spans="12:12" ht="12.75">
      <c r="L208" s="54"/>
    </row>
    <row r="209" spans="12:12" ht="12.75">
      <c r="L209" s="54"/>
    </row>
    <row r="210" spans="12:12" ht="12.75">
      <c r="L210" s="54"/>
    </row>
    <row r="211" spans="12:12" ht="12.75">
      <c r="L211" s="54"/>
    </row>
    <row r="212" spans="12:12" ht="12.75">
      <c r="L212" s="54"/>
    </row>
    <row r="213" spans="12:12" ht="12.75">
      <c r="L213" s="54"/>
    </row>
    <row r="214" spans="12:12" ht="12.75">
      <c r="L214" s="54"/>
    </row>
    <row r="215" spans="12:12" ht="12.75">
      <c r="L215" s="54"/>
    </row>
    <row r="216" spans="12:12" ht="12.75">
      <c r="L216" s="54"/>
    </row>
    <row r="217" spans="12:12" ht="12.75">
      <c r="L217" s="54"/>
    </row>
    <row r="218" spans="12:12" ht="12.75">
      <c r="L218" s="54"/>
    </row>
    <row r="219" spans="12:12" ht="12.75">
      <c r="L219" s="54"/>
    </row>
    <row r="220" spans="12:12" ht="12.75">
      <c r="L220" s="54"/>
    </row>
    <row r="221" spans="12:12" ht="12.75">
      <c r="L221" s="54"/>
    </row>
    <row r="222" spans="12:12" ht="12.75">
      <c r="L222" s="54"/>
    </row>
    <row r="223" spans="12:12" ht="12.75">
      <c r="L223" s="54"/>
    </row>
    <row r="224" spans="12:12" ht="12.75">
      <c r="L224" s="54"/>
    </row>
    <row r="225" spans="12:12" ht="12.75">
      <c r="L225" s="54"/>
    </row>
    <row r="226" spans="12:12" ht="12.75">
      <c r="L226" s="54"/>
    </row>
    <row r="227" spans="12:12" ht="12.75">
      <c r="L227" s="54"/>
    </row>
    <row r="228" spans="12:12" ht="12.75">
      <c r="L228" s="54"/>
    </row>
    <row r="229" spans="12:12" ht="12.75">
      <c r="L229" s="54"/>
    </row>
    <row r="230" spans="12:12" ht="12.75">
      <c r="L230" s="54"/>
    </row>
    <row r="231" spans="12:12" ht="12.75">
      <c r="L231" s="54"/>
    </row>
    <row r="232" spans="12:12" ht="12.75">
      <c r="L232" s="54"/>
    </row>
    <row r="233" spans="12:12" ht="12.75">
      <c r="L233" s="54"/>
    </row>
    <row r="234" spans="12:12" ht="12.75">
      <c r="L234" s="54"/>
    </row>
    <row r="235" spans="12:12" ht="12.75">
      <c r="L235" s="54"/>
    </row>
    <row r="236" spans="12:12" ht="12.75">
      <c r="L236" s="54"/>
    </row>
    <row r="237" spans="12:12" ht="12.75">
      <c r="L237" s="54"/>
    </row>
    <row r="238" spans="12:12" ht="12.75">
      <c r="L238" s="54"/>
    </row>
    <row r="239" spans="12:12" ht="12.75">
      <c r="L239" s="54"/>
    </row>
    <row r="240" spans="12:12" ht="12.75">
      <c r="L240" s="54"/>
    </row>
    <row r="241" spans="12:12" ht="12.75">
      <c r="L241" s="54"/>
    </row>
    <row r="242" spans="12:12" ht="12.75">
      <c r="L242" s="54"/>
    </row>
    <row r="243" spans="12:12" ht="12.75">
      <c r="L243" s="54"/>
    </row>
    <row r="244" spans="12:12" ht="12.75">
      <c r="L244" s="54"/>
    </row>
    <row r="245" spans="12:12" ht="12.75">
      <c r="L245" s="54"/>
    </row>
    <row r="246" spans="12:12" ht="12.75">
      <c r="L246" s="54"/>
    </row>
    <row r="247" spans="12:12" ht="12.75">
      <c r="L247" s="54"/>
    </row>
    <row r="248" spans="12:12" ht="12.75">
      <c r="L248" s="54"/>
    </row>
    <row r="249" spans="12:12" ht="12.75">
      <c r="L249" s="54"/>
    </row>
    <row r="250" spans="12:12" ht="12.75">
      <c r="L250" s="54"/>
    </row>
    <row r="251" spans="12:12" ht="12.75">
      <c r="L251" s="54"/>
    </row>
    <row r="252" spans="12:12" ht="12.75">
      <c r="L252" s="54"/>
    </row>
    <row r="253" spans="12:12" ht="12.75">
      <c r="L253" s="54"/>
    </row>
    <row r="254" spans="12:12" ht="12.75">
      <c r="L254" s="54"/>
    </row>
    <row r="255" spans="12:12" ht="12.75">
      <c r="L255" s="54"/>
    </row>
    <row r="256" spans="12:12" ht="12.75">
      <c r="L256" s="54"/>
    </row>
    <row r="257" spans="12:12" ht="12.75">
      <c r="L257" s="54"/>
    </row>
    <row r="258" spans="12:12" ht="12.75">
      <c r="L258" s="54"/>
    </row>
    <row r="259" spans="12:12" ht="12.75">
      <c r="L259" s="54"/>
    </row>
    <row r="260" spans="12:12" ht="12.75">
      <c r="L260" s="54"/>
    </row>
    <row r="261" spans="12:12" ht="12.75">
      <c r="L261" s="54"/>
    </row>
    <row r="262" spans="12:12" ht="12.75">
      <c r="L262" s="54"/>
    </row>
    <row r="263" spans="12:12" ht="12.75">
      <c r="L263" s="54"/>
    </row>
    <row r="264" spans="12:12" ht="12.75">
      <c r="L264" s="54"/>
    </row>
    <row r="265" spans="12:12" ht="12.75">
      <c r="L265" s="54"/>
    </row>
    <row r="266" spans="12:12" ht="12.75">
      <c r="L266" s="54"/>
    </row>
    <row r="267" spans="12:12" ht="12.75">
      <c r="L267" s="54"/>
    </row>
    <row r="268" spans="12:12" ht="12.75">
      <c r="L268" s="54"/>
    </row>
    <row r="269" spans="12:12" ht="12.75">
      <c r="L269" s="54"/>
    </row>
    <row r="270" spans="12:12" ht="12.75">
      <c r="L270" s="54"/>
    </row>
    <row r="271" spans="12:12" ht="12.75">
      <c r="L271" s="54"/>
    </row>
    <row r="272" spans="12:12" ht="12.75">
      <c r="L272" s="54"/>
    </row>
    <row r="273" spans="12:12" ht="12.75">
      <c r="L273" s="54"/>
    </row>
    <row r="274" spans="12:12" ht="12.75">
      <c r="L274" s="54"/>
    </row>
    <row r="275" spans="12:12" ht="12.75">
      <c r="L275" s="54"/>
    </row>
    <row r="276" spans="12:12" ht="12.75">
      <c r="L276" s="54"/>
    </row>
    <row r="277" spans="12:12" ht="12.75">
      <c r="L277" s="54"/>
    </row>
    <row r="278" spans="12:12" ht="12.75">
      <c r="L278" s="54"/>
    </row>
    <row r="279" spans="12:12" ht="12.75">
      <c r="L279" s="54"/>
    </row>
    <row r="280" spans="12:12" ht="12.75">
      <c r="L280" s="54"/>
    </row>
    <row r="281" spans="12:12" ht="12.75">
      <c r="L281" s="54"/>
    </row>
    <row r="282" spans="12:12" ht="12.75">
      <c r="L282" s="54"/>
    </row>
    <row r="283" spans="12:12" ht="12.75">
      <c r="L283" s="54"/>
    </row>
    <row r="284" spans="12:12" ht="12.75">
      <c r="L284" s="54"/>
    </row>
    <row r="285" spans="12:12" ht="12.75">
      <c r="L285" s="54"/>
    </row>
    <row r="286" spans="12:12" ht="12.75">
      <c r="L286" s="54"/>
    </row>
    <row r="287" spans="12:12" ht="12.75">
      <c r="L287" s="54"/>
    </row>
    <row r="288" spans="12:12" ht="12.75">
      <c r="L288" s="54"/>
    </row>
    <row r="289" spans="12:12" ht="12.75">
      <c r="L289" s="54"/>
    </row>
    <row r="290" spans="12:12" ht="12.75">
      <c r="L290" s="54"/>
    </row>
    <row r="291" spans="12:12" ht="12.75">
      <c r="L291" s="54"/>
    </row>
    <row r="292" spans="12:12" ht="12.75">
      <c r="L292" s="54"/>
    </row>
    <row r="293" spans="12:12" ht="12.75">
      <c r="L293" s="54"/>
    </row>
    <row r="294" spans="12:12" ht="12.75">
      <c r="L294" s="54"/>
    </row>
    <row r="295" spans="12:12" ht="12.75">
      <c r="L295" s="54"/>
    </row>
    <row r="296" spans="12:12" ht="12.75">
      <c r="L296" s="54"/>
    </row>
    <row r="297" spans="12:12" ht="12.75">
      <c r="L297" s="54"/>
    </row>
    <row r="298" spans="12:12" ht="12.75">
      <c r="L298" s="54"/>
    </row>
    <row r="299" spans="12:12" ht="12.75">
      <c r="L299" s="54"/>
    </row>
    <row r="300" spans="12:12" ht="12.75">
      <c r="L300" s="54"/>
    </row>
    <row r="301" spans="12:12" ht="12.75">
      <c r="L301" s="54"/>
    </row>
    <row r="302" spans="12:12" ht="12.75">
      <c r="L302" s="54"/>
    </row>
    <row r="303" spans="12:12" ht="12.75">
      <c r="L303" s="54"/>
    </row>
    <row r="304" spans="12:12" ht="12.75">
      <c r="L304" s="54"/>
    </row>
    <row r="305" spans="12:12" ht="12.75">
      <c r="L305" s="54"/>
    </row>
    <row r="306" spans="12:12" ht="12.75">
      <c r="L306" s="54"/>
    </row>
    <row r="307" spans="12:12" ht="12.75">
      <c r="L307" s="54"/>
    </row>
    <row r="308" spans="12:12" ht="12.75">
      <c r="L308" s="54"/>
    </row>
    <row r="309" spans="12:12" ht="12.75">
      <c r="L309" s="54"/>
    </row>
    <row r="310" spans="12:12" ht="12.75">
      <c r="L310" s="54"/>
    </row>
    <row r="311" spans="12:12" ht="12.75">
      <c r="L311" s="54"/>
    </row>
    <row r="312" spans="12:12" ht="12.75">
      <c r="L312" s="54"/>
    </row>
    <row r="313" spans="12:12" ht="12.75">
      <c r="L313" s="54"/>
    </row>
    <row r="314" spans="12:12" ht="12.75">
      <c r="L314" s="54"/>
    </row>
    <row r="315" spans="12:12" ht="12.75">
      <c r="L315" s="54"/>
    </row>
    <row r="316" spans="12:12" ht="12.75">
      <c r="L316" s="54"/>
    </row>
    <row r="317" spans="12:12" ht="12.75">
      <c r="L317" s="54"/>
    </row>
    <row r="318" spans="12:12" ht="12.75">
      <c r="L318" s="54"/>
    </row>
    <row r="319" spans="12:12" ht="12.75">
      <c r="L319" s="54"/>
    </row>
    <row r="320" spans="12:12" ht="12.75">
      <c r="L320" s="54"/>
    </row>
    <row r="321" spans="12:12" ht="12.75">
      <c r="L321" s="54"/>
    </row>
    <row r="322" spans="12:12" ht="12.75">
      <c r="L322" s="54"/>
    </row>
    <row r="323" spans="12:12" ht="12.75">
      <c r="L323" s="54"/>
    </row>
    <row r="324" spans="12:12" ht="12.75">
      <c r="L324" s="54"/>
    </row>
    <row r="325" spans="12:12" ht="12.75">
      <c r="L325" s="54"/>
    </row>
    <row r="326" spans="12:12" ht="12.75">
      <c r="L326" s="54"/>
    </row>
    <row r="327" spans="12:12" ht="12.75">
      <c r="L327" s="54"/>
    </row>
    <row r="328" spans="12:12" ht="12.75">
      <c r="L328" s="54"/>
    </row>
    <row r="329" spans="12:12" ht="12.75">
      <c r="L329" s="54"/>
    </row>
    <row r="330" spans="12:12" ht="12.75">
      <c r="L330" s="54"/>
    </row>
    <row r="331" spans="12:12" ht="12.75">
      <c r="L331" s="54"/>
    </row>
    <row r="332" spans="12:12" ht="12.75">
      <c r="L332" s="54"/>
    </row>
    <row r="333" spans="12:12" ht="12.75">
      <c r="L333" s="54"/>
    </row>
    <row r="334" spans="12:12" ht="12.75">
      <c r="L334" s="54"/>
    </row>
    <row r="335" spans="12:12" ht="12.75">
      <c r="L335" s="54"/>
    </row>
    <row r="336" spans="12:12" ht="12.75">
      <c r="L336" s="54"/>
    </row>
    <row r="337" spans="12:12" ht="12.75">
      <c r="L337" s="54"/>
    </row>
    <row r="338" spans="12:12" ht="12.75">
      <c r="L338" s="54"/>
    </row>
    <row r="339" spans="12:12" ht="12.75">
      <c r="L339" s="54"/>
    </row>
    <row r="340" spans="12:12" ht="12.75">
      <c r="L340" s="54"/>
    </row>
    <row r="341" spans="12:12" ht="12.75">
      <c r="L341" s="54"/>
    </row>
    <row r="342" spans="12:12" ht="12.75">
      <c r="L342" s="54"/>
    </row>
    <row r="343" spans="12:12" ht="12.75">
      <c r="L343" s="54"/>
    </row>
    <row r="344" spans="12:12" ht="12.75">
      <c r="L344" s="54"/>
    </row>
    <row r="345" spans="12:12" ht="12.75">
      <c r="L345" s="54"/>
    </row>
    <row r="346" spans="12:12" ht="12.75">
      <c r="L346" s="54"/>
    </row>
    <row r="347" spans="12:12" ht="12.75">
      <c r="L347" s="54"/>
    </row>
    <row r="348" spans="12:12" ht="12.75">
      <c r="L348" s="54"/>
    </row>
    <row r="349" spans="12:12" ht="12.75">
      <c r="L349" s="54"/>
    </row>
    <row r="350" spans="12:12" ht="12.75">
      <c r="L350" s="54"/>
    </row>
    <row r="351" spans="12:12" ht="12.75">
      <c r="L351" s="54"/>
    </row>
    <row r="352" spans="12:12" ht="12.75">
      <c r="L352" s="54"/>
    </row>
    <row r="353" spans="12:12" ht="12.75">
      <c r="L353" s="54"/>
    </row>
    <row r="354" spans="12:12" ht="12.75">
      <c r="L354" s="54"/>
    </row>
    <row r="355" spans="12:12" ht="12.75">
      <c r="L355" s="54"/>
    </row>
    <row r="356" spans="12:12" ht="12.75">
      <c r="L356" s="54"/>
    </row>
    <row r="357" spans="12:12" ht="12.75">
      <c r="L357" s="54"/>
    </row>
    <row r="358" spans="12:12" ht="12.75">
      <c r="L358" s="54"/>
    </row>
    <row r="359" spans="12:12" ht="12.75">
      <c r="L359" s="54"/>
    </row>
    <row r="360" spans="12:12" ht="12.75">
      <c r="L360" s="54"/>
    </row>
    <row r="361" spans="12:12" ht="12.75">
      <c r="L361" s="54"/>
    </row>
    <row r="362" spans="12:12" ht="12.75">
      <c r="L362" s="54"/>
    </row>
    <row r="363" spans="12:12" ht="12.75">
      <c r="L363" s="54"/>
    </row>
    <row r="364" spans="12:12" ht="12.75">
      <c r="L364" s="54"/>
    </row>
    <row r="365" spans="12:12" ht="12.75">
      <c r="L365" s="54"/>
    </row>
    <row r="366" spans="12:12" ht="12.75">
      <c r="L366" s="54"/>
    </row>
    <row r="367" spans="12:12" ht="12.75">
      <c r="L367" s="54"/>
    </row>
    <row r="368" spans="12:12" ht="12.75">
      <c r="L368" s="54"/>
    </row>
    <row r="369" spans="12:12" ht="12.75">
      <c r="L369" s="54"/>
    </row>
    <row r="370" spans="12:12" ht="12.75">
      <c r="L370" s="54"/>
    </row>
    <row r="371" spans="12:12" ht="12.75">
      <c r="L371" s="54"/>
    </row>
    <row r="372" spans="12:12" ht="12.75">
      <c r="L372" s="54"/>
    </row>
    <row r="373" spans="12:12" ht="12.75">
      <c r="L373" s="54"/>
    </row>
    <row r="374" spans="12:12" ht="12.75">
      <c r="L374" s="54"/>
    </row>
    <row r="375" spans="12:12" ht="12.75">
      <c r="L375" s="54"/>
    </row>
    <row r="376" spans="12:12" ht="12.75">
      <c r="L376" s="54"/>
    </row>
    <row r="377" spans="12:12" ht="12.75">
      <c r="L377" s="54"/>
    </row>
    <row r="378" spans="12:12" ht="12.75">
      <c r="L378" s="54"/>
    </row>
    <row r="379" spans="12:12" ht="12.75">
      <c r="L379" s="54"/>
    </row>
    <row r="380" spans="12:12" ht="12.75">
      <c r="L380" s="54"/>
    </row>
    <row r="381" spans="12:12" ht="12.75">
      <c r="L381" s="54"/>
    </row>
    <row r="382" spans="12:12" ht="12.75">
      <c r="L382" s="54"/>
    </row>
    <row r="383" spans="12:12" ht="12.75">
      <c r="L383" s="54"/>
    </row>
    <row r="384" spans="12:12" ht="12.75">
      <c r="L384" s="54"/>
    </row>
    <row r="385" spans="12:12" ht="12.75">
      <c r="L385" s="54"/>
    </row>
    <row r="386" spans="12:12" ht="12.75">
      <c r="L386" s="54"/>
    </row>
    <row r="387" spans="12:12" ht="12.75">
      <c r="L387" s="54"/>
    </row>
    <row r="388" spans="12:12" ht="12.75">
      <c r="L388" s="54"/>
    </row>
    <row r="389" spans="12:12" ht="12.75">
      <c r="L389" s="54"/>
    </row>
    <row r="390" spans="12:12" ht="12.75">
      <c r="L390" s="54"/>
    </row>
    <row r="391" spans="12:12" ht="12.75">
      <c r="L391" s="54"/>
    </row>
    <row r="392" spans="12:12" ht="12.75">
      <c r="L392" s="54"/>
    </row>
    <row r="393" spans="12:12" ht="12.75">
      <c r="L393" s="54"/>
    </row>
    <row r="394" spans="12:12" ht="12.75">
      <c r="L394" s="54"/>
    </row>
    <row r="395" spans="12:12" ht="12.75">
      <c r="L395" s="54"/>
    </row>
    <row r="396" spans="12:12" ht="12.75">
      <c r="L396" s="54"/>
    </row>
    <row r="397" spans="12:12" ht="12.75">
      <c r="L397" s="54"/>
    </row>
    <row r="398" spans="12:12" ht="12.75">
      <c r="L398" s="54"/>
    </row>
    <row r="399" spans="12:12" ht="12.75">
      <c r="L399" s="54"/>
    </row>
    <row r="400" spans="12:12" ht="12.75">
      <c r="L400" s="54"/>
    </row>
    <row r="401" spans="12:12" ht="12.75">
      <c r="L401" s="54"/>
    </row>
    <row r="402" spans="12:12" ht="12.75">
      <c r="L402" s="54"/>
    </row>
    <row r="403" spans="12:12" ht="12.75">
      <c r="L403" s="54"/>
    </row>
    <row r="404" spans="12:12" ht="12.75">
      <c r="L404" s="54"/>
    </row>
    <row r="405" spans="12:12" ht="12.75">
      <c r="L405" s="54"/>
    </row>
    <row r="406" spans="12:12" ht="12.75">
      <c r="L406" s="54"/>
    </row>
    <row r="407" spans="12:12" ht="12.75">
      <c r="L407" s="54"/>
    </row>
    <row r="408" spans="12:12" ht="12.75">
      <c r="L408" s="54"/>
    </row>
    <row r="409" spans="12:12" ht="12.75">
      <c r="L409" s="54"/>
    </row>
    <row r="410" spans="12:12" ht="12.75">
      <c r="L410" s="54"/>
    </row>
    <row r="411" spans="12:12" ht="12.75">
      <c r="L411" s="54"/>
    </row>
    <row r="412" spans="12:12" ht="12.75">
      <c r="L412" s="54"/>
    </row>
    <row r="413" spans="12:12" ht="12.75">
      <c r="L413" s="54"/>
    </row>
    <row r="414" spans="12:12" ht="12.75">
      <c r="L414" s="54"/>
    </row>
    <row r="415" spans="12:12" ht="12.75">
      <c r="L415" s="54"/>
    </row>
    <row r="416" spans="12:12" ht="12.75">
      <c r="L416" s="54"/>
    </row>
    <row r="417" spans="12:12" ht="12.75">
      <c r="L417" s="54"/>
    </row>
    <row r="418" spans="12:12" ht="12.75">
      <c r="L418" s="54"/>
    </row>
    <row r="419" spans="12:12" ht="12.75">
      <c r="L419" s="54"/>
    </row>
    <row r="420" spans="12:12" ht="12.75">
      <c r="L420" s="54"/>
    </row>
    <row r="421" spans="12:12" ht="12.75">
      <c r="L421" s="54"/>
    </row>
    <row r="422" spans="12:12" ht="12.75">
      <c r="L422" s="54"/>
    </row>
    <row r="423" spans="12:12" ht="12.75">
      <c r="L423" s="54"/>
    </row>
    <row r="424" spans="12:12" ht="12.75">
      <c r="L424" s="54"/>
    </row>
    <row r="425" spans="12:12" ht="12.75">
      <c r="L425" s="54"/>
    </row>
    <row r="426" spans="12:12" ht="12.75">
      <c r="L426" s="54"/>
    </row>
    <row r="427" spans="12:12" ht="12.75">
      <c r="L427" s="54"/>
    </row>
    <row r="428" spans="12:12" ht="12.75">
      <c r="L428" s="54"/>
    </row>
    <row r="429" spans="12:12" ht="12.75">
      <c r="L429" s="54"/>
    </row>
    <row r="430" spans="12:12" ht="12.75">
      <c r="L430" s="54"/>
    </row>
    <row r="431" spans="12:12" ht="12.75">
      <c r="L431" s="54"/>
    </row>
    <row r="432" spans="12:12" ht="12.75">
      <c r="L432" s="54"/>
    </row>
    <row r="433" spans="12:12" ht="12.75">
      <c r="L433" s="54"/>
    </row>
    <row r="434" spans="12:12" ht="12.75">
      <c r="L434" s="54"/>
    </row>
    <row r="435" spans="12:12" ht="12.75">
      <c r="L435" s="54"/>
    </row>
    <row r="436" spans="12:12" ht="12.75">
      <c r="L436" s="54"/>
    </row>
    <row r="437" spans="12:12" ht="12.75">
      <c r="L437" s="54"/>
    </row>
    <row r="438" spans="12:12" ht="12.75">
      <c r="L438" s="54"/>
    </row>
    <row r="439" spans="12:12" ht="12.75">
      <c r="L439" s="54"/>
    </row>
    <row r="440" spans="12:12" ht="12.75">
      <c r="L440" s="54"/>
    </row>
    <row r="441" spans="12:12" ht="12.75">
      <c r="L441" s="54"/>
    </row>
    <row r="442" spans="12:12" ht="12.75">
      <c r="L442" s="54"/>
    </row>
    <row r="443" spans="12:12" ht="12.75">
      <c r="L443" s="54"/>
    </row>
    <row r="444" spans="12:12" ht="12.75">
      <c r="L444" s="54"/>
    </row>
    <row r="445" spans="12:12" ht="12.75">
      <c r="L445" s="54"/>
    </row>
    <row r="446" spans="12:12" ht="12.75">
      <c r="L446" s="54"/>
    </row>
    <row r="447" spans="12:12" ht="12.75">
      <c r="L447" s="54"/>
    </row>
    <row r="448" spans="12:12" ht="12.75">
      <c r="L448" s="54"/>
    </row>
    <row r="449" spans="12:12" ht="12.75">
      <c r="L449" s="54"/>
    </row>
    <row r="450" spans="12:12" ht="12.75">
      <c r="L450" s="54"/>
    </row>
    <row r="451" spans="12:12" ht="12.75">
      <c r="L451" s="54"/>
    </row>
    <row r="452" spans="12:12" ht="12.75">
      <c r="L452" s="54"/>
    </row>
    <row r="453" spans="12:12" ht="12.75">
      <c r="L453" s="54"/>
    </row>
    <row r="454" spans="12:12" ht="12.75">
      <c r="L454" s="54"/>
    </row>
    <row r="455" spans="12:12" ht="12.75">
      <c r="L455" s="54"/>
    </row>
    <row r="456" spans="12:12" ht="12.75">
      <c r="L456" s="54"/>
    </row>
    <row r="457" spans="12:12" ht="12.75">
      <c r="L457" s="54"/>
    </row>
    <row r="458" spans="12:12" ht="12.75">
      <c r="L458" s="54"/>
    </row>
    <row r="459" spans="12:12" ht="12.75">
      <c r="L459" s="54"/>
    </row>
    <row r="460" spans="12:12" ht="12.75">
      <c r="L460" s="54"/>
    </row>
    <row r="461" spans="12:12" ht="12.75">
      <c r="L461" s="54"/>
    </row>
    <row r="462" spans="12:12" ht="12.75">
      <c r="L462" s="54"/>
    </row>
    <row r="463" spans="12:12" ht="12.75">
      <c r="L463" s="54"/>
    </row>
    <row r="464" spans="12:12" ht="12.75">
      <c r="L464" s="54"/>
    </row>
    <row r="465" spans="12:12" ht="12.75">
      <c r="L465" s="54"/>
    </row>
    <row r="466" spans="12:12" ht="12.75">
      <c r="L466" s="54"/>
    </row>
    <row r="467" spans="12:12" ht="12.75">
      <c r="L467" s="54"/>
    </row>
    <row r="468" spans="12:12" ht="12.75">
      <c r="L468" s="54"/>
    </row>
    <row r="469" spans="12:12" ht="12.75">
      <c r="L469" s="54"/>
    </row>
    <row r="470" spans="12:12" ht="12.75">
      <c r="L470" s="54"/>
    </row>
    <row r="471" spans="12:12" ht="12.75">
      <c r="L471" s="54"/>
    </row>
    <row r="472" spans="12:12" ht="12.75">
      <c r="L472" s="54"/>
    </row>
    <row r="473" spans="12:12" ht="12.75">
      <c r="L473" s="54"/>
    </row>
    <row r="474" spans="12:12" ht="12.75">
      <c r="L474" s="54"/>
    </row>
    <row r="475" spans="12:12" ht="12.75">
      <c r="L475" s="54"/>
    </row>
    <row r="476" spans="12:12" ht="12.75">
      <c r="L476" s="54"/>
    </row>
    <row r="477" spans="12:12" ht="12.75">
      <c r="L477" s="54"/>
    </row>
    <row r="478" spans="12:12" ht="12.75">
      <c r="L478" s="54"/>
    </row>
    <row r="479" spans="12:12" ht="12.75">
      <c r="L479" s="54"/>
    </row>
    <row r="480" spans="12:12" ht="12.75">
      <c r="L480" s="54"/>
    </row>
    <row r="481" spans="12:12" ht="12.75">
      <c r="L481" s="54"/>
    </row>
    <row r="482" spans="12:12" ht="12.75">
      <c r="L482" s="54"/>
    </row>
    <row r="483" spans="12:12" ht="12.75">
      <c r="L483" s="54"/>
    </row>
    <row r="484" spans="12:12" ht="12.75">
      <c r="L484" s="54"/>
    </row>
    <row r="485" spans="12:12" ht="12.75">
      <c r="L485" s="54"/>
    </row>
    <row r="486" spans="12:12" ht="12.75">
      <c r="L486" s="54"/>
    </row>
    <row r="487" spans="12:12" ht="12.75">
      <c r="L487" s="54"/>
    </row>
    <row r="488" spans="12:12" ht="12.75">
      <c r="L488" s="54"/>
    </row>
    <row r="489" spans="12:12" ht="12.75">
      <c r="L489" s="54"/>
    </row>
    <row r="490" spans="12:12" ht="12.75">
      <c r="L490" s="54"/>
    </row>
    <row r="491" spans="12:12" ht="12.75">
      <c r="L491" s="54"/>
    </row>
    <row r="492" spans="12:12" ht="12.75">
      <c r="L492" s="54"/>
    </row>
    <row r="493" spans="12:12" ht="12.75">
      <c r="L493" s="54"/>
    </row>
    <row r="494" spans="12:12" ht="12.75">
      <c r="L494" s="54"/>
    </row>
    <row r="495" spans="12:12" ht="12.75">
      <c r="L495" s="54"/>
    </row>
    <row r="496" spans="12:12" ht="12.75">
      <c r="L496" s="54"/>
    </row>
    <row r="497" spans="12:12" ht="12.75">
      <c r="L497" s="54"/>
    </row>
    <row r="498" spans="12:12" ht="12.75">
      <c r="L498" s="54"/>
    </row>
    <row r="499" spans="12:12" ht="12.75">
      <c r="L499" s="54"/>
    </row>
    <row r="500" spans="12:12" ht="12.75">
      <c r="L500" s="54"/>
    </row>
    <row r="501" spans="12:12" ht="12.75">
      <c r="L501" s="54"/>
    </row>
    <row r="502" spans="12:12" ht="12.75">
      <c r="L502" s="54"/>
    </row>
    <row r="503" spans="12:12" ht="12.75">
      <c r="L503" s="54"/>
    </row>
    <row r="504" spans="12:12" ht="12.75">
      <c r="L504" s="54"/>
    </row>
    <row r="505" spans="12:12" ht="12.75">
      <c r="L505" s="54"/>
    </row>
    <row r="506" spans="12:12" ht="12.75">
      <c r="L506" s="54"/>
    </row>
    <row r="507" spans="12:12" ht="12.75">
      <c r="L507" s="54"/>
    </row>
    <row r="508" spans="12:12" ht="12.75">
      <c r="L508" s="54"/>
    </row>
    <row r="509" spans="12:12" ht="12.75">
      <c r="L509" s="54"/>
    </row>
    <row r="510" spans="12:12" ht="12.75">
      <c r="L510" s="54"/>
    </row>
    <row r="511" spans="12:12" ht="12.75">
      <c r="L511" s="54"/>
    </row>
    <row r="512" spans="12:12" ht="12.75">
      <c r="L512" s="54"/>
    </row>
    <row r="513" spans="12:12" ht="12.75">
      <c r="L513" s="54"/>
    </row>
    <row r="514" spans="12:12" ht="12.75">
      <c r="L514" s="54"/>
    </row>
    <row r="515" spans="12:12" ht="12.75">
      <c r="L515" s="54"/>
    </row>
    <row r="516" spans="12:12" ht="12.75">
      <c r="L516" s="54"/>
    </row>
    <row r="517" spans="12:12" ht="12.75">
      <c r="L517" s="54"/>
    </row>
    <row r="518" spans="12:12" ht="12.75">
      <c r="L518" s="54"/>
    </row>
    <row r="519" spans="12:12" ht="12.75">
      <c r="L519" s="54"/>
    </row>
    <row r="520" spans="12:12" ht="12.75">
      <c r="L520" s="54"/>
    </row>
    <row r="521" spans="12:12" ht="12.75">
      <c r="L521" s="54"/>
    </row>
    <row r="522" spans="12:12" ht="12.75">
      <c r="L522" s="54"/>
    </row>
    <row r="523" spans="12:12" ht="12.75">
      <c r="L523" s="54"/>
    </row>
    <row r="524" spans="12:12" ht="12.75">
      <c r="L524" s="54"/>
    </row>
    <row r="525" spans="12:12" ht="12.75">
      <c r="L525" s="54"/>
    </row>
    <row r="526" spans="12:12" ht="12.75">
      <c r="L526" s="54"/>
    </row>
    <row r="527" spans="12:12" ht="12.75">
      <c r="L527" s="54"/>
    </row>
    <row r="528" spans="12:12" ht="12.75">
      <c r="L528" s="54"/>
    </row>
    <row r="529" spans="12:12" ht="12.75">
      <c r="L529" s="54"/>
    </row>
    <row r="530" spans="12:12" ht="12.75">
      <c r="L530" s="54"/>
    </row>
    <row r="531" spans="12:12" ht="12.75">
      <c r="L531" s="54"/>
    </row>
    <row r="532" spans="12:12" ht="12.75">
      <c r="L532" s="54"/>
    </row>
    <row r="533" spans="12:12" ht="12.75">
      <c r="L533" s="54"/>
    </row>
    <row r="534" spans="12:12" ht="12.75">
      <c r="L534" s="54"/>
    </row>
    <row r="535" spans="12:12" ht="12.75">
      <c r="L535" s="54"/>
    </row>
    <row r="536" spans="12:12" ht="12.75">
      <c r="L536" s="54"/>
    </row>
    <row r="537" spans="12:12" ht="12.75">
      <c r="L537" s="54"/>
    </row>
    <row r="538" spans="12:12" ht="12.75">
      <c r="L538" s="54"/>
    </row>
    <row r="539" spans="12:12" ht="12.75">
      <c r="L539" s="54"/>
    </row>
    <row r="540" spans="12:12" ht="12.75">
      <c r="L540" s="54"/>
    </row>
    <row r="541" spans="12:12" ht="12.75">
      <c r="L541" s="54"/>
    </row>
    <row r="542" spans="12:12" ht="12.75">
      <c r="L542" s="54"/>
    </row>
    <row r="543" spans="12:12" ht="12.75">
      <c r="L543" s="54"/>
    </row>
    <row r="544" spans="12:12" ht="12.75">
      <c r="L544" s="54"/>
    </row>
    <row r="545" spans="12:12" ht="12.75">
      <c r="L545" s="54"/>
    </row>
    <row r="546" spans="12:12" ht="12.75">
      <c r="L546" s="54"/>
    </row>
    <row r="547" spans="12:12" ht="12.75">
      <c r="L547" s="54"/>
    </row>
    <row r="548" spans="12:12" ht="12.75">
      <c r="L548" s="54"/>
    </row>
    <row r="549" spans="12:12" ht="12.75">
      <c r="L549" s="54"/>
    </row>
    <row r="550" spans="12:12" ht="12.75">
      <c r="L550" s="54"/>
    </row>
    <row r="551" spans="12:12" ht="12.75">
      <c r="L551" s="54"/>
    </row>
    <row r="552" spans="12:12" ht="12.75">
      <c r="L552" s="54"/>
    </row>
    <row r="553" spans="12:12" ht="12.75">
      <c r="L553" s="54"/>
    </row>
    <row r="554" spans="12:12" ht="12.75">
      <c r="L554" s="54"/>
    </row>
    <row r="555" spans="12:12" ht="12.75">
      <c r="L555" s="54"/>
    </row>
    <row r="556" spans="12:12" ht="12.75">
      <c r="L556" s="54"/>
    </row>
    <row r="557" spans="12:12" ht="12.75">
      <c r="L557" s="54"/>
    </row>
    <row r="558" spans="12:12" ht="12.75">
      <c r="L558" s="54"/>
    </row>
    <row r="559" spans="12:12" ht="12.75">
      <c r="L559" s="54"/>
    </row>
    <row r="560" spans="12:12" ht="12.75">
      <c r="L560" s="54"/>
    </row>
    <row r="561" spans="12:12" ht="12.75">
      <c r="L561" s="54"/>
    </row>
    <row r="562" spans="12:12" ht="12.75">
      <c r="L562" s="54"/>
    </row>
    <row r="563" spans="12:12" ht="12.75">
      <c r="L563" s="54"/>
    </row>
    <row r="564" spans="12:12" ht="12.75">
      <c r="L564" s="54"/>
    </row>
    <row r="565" spans="12:12" ht="12.75">
      <c r="L565" s="54"/>
    </row>
    <row r="566" spans="12:12" ht="12.75">
      <c r="L566" s="54"/>
    </row>
    <row r="567" spans="12:12" ht="12.75">
      <c r="L567" s="54"/>
    </row>
    <row r="568" spans="12:12" ht="12.75">
      <c r="L568" s="54"/>
    </row>
    <row r="569" spans="12:12" ht="12.75">
      <c r="L569" s="54"/>
    </row>
    <row r="570" spans="12:12" ht="12.75">
      <c r="L570" s="54"/>
    </row>
    <row r="571" spans="12:12" ht="12.75">
      <c r="L571" s="54"/>
    </row>
    <row r="572" spans="12:12" ht="12.75">
      <c r="L572" s="54"/>
    </row>
    <row r="573" spans="12:12" ht="12.75">
      <c r="L573" s="54"/>
    </row>
    <row r="574" spans="12:12" ht="12.75">
      <c r="L574" s="54"/>
    </row>
    <row r="575" spans="12:12" ht="12.75">
      <c r="L575" s="54"/>
    </row>
    <row r="576" spans="12:12" ht="12.75">
      <c r="L576" s="54"/>
    </row>
    <row r="577" spans="12:12" ht="12.75">
      <c r="L577" s="54"/>
    </row>
    <row r="578" spans="12:12" ht="12.75">
      <c r="L578" s="54"/>
    </row>
    <row r="579" spans="12:12" ht="12.75">
      <c r="L579" s="54"/>
    </row>
    <row r="580" spans="12:12" ht="12.75">
      <c r="L580" s="54"/>
    </row>
    <row r="581" spans="12:12" ht="12.75">
      <c r="L581" s="54"/>
    </row>
    <row r="582" spans="12:12" ht="12.75">
      <c r="L582" s="54"/>
    </row>
    <row r="583" spans="12:12" ht="12.75">
      <c r="L583" s="54"/>
    </row>
    <row r="584" spans="12:12" ht="12.75">
      <c r="L584" s="54"/>
    </row>
    <row r="585" spans="12:12" ht="12.75">
      <c r="L585" s="54"/>
    </row>
    <row r="586" spans="12:12" ht="12.75">
      <c r="L586" s="54"/>
    </row>
    <row r="587" spans="12:12" ht="12.75">
      <c r="L587" s="54"/>
    </row>
    <row r="588" spans="12:12" ht="12.75">
      <c r="L588" s="54"/>
    </row>
    <row r="589" spans="12:12" ht="12.75">
      <c r="L589" s="54"/>
    </row>
    <row r="590" spans="12:12" ht="12.75">
      <c r="L590" s="54"/>
    </row>
    <row r="591" spans="12:12" ht="12.75">
      <c r="L591" s="54"/>
    </row>
    <row r="592" spans="12:12" ht="12.75">
      <c r="L592" s="54"/>
    </row>
    <row r="593" spans="12:12" ht="12.75">
      <c r="L593" s="54"/>
    </row>
    <row r="594" spans="12:12" ht="12.75">
      <c r="L594" s="54"/>
    </row>
    <row r="595" spans="12:12" ht="12.75">
      <c r="L595" s="54"/>
    </row>
    <row r="596" spans="12:12" ht="12.75">
      <c r="L596" s="54"/>
    </row>
    <row r="597" spans="12:12" ht="12.75">
      <c r="L597" s="54"/>
    </row>
    <row r="598" spans="12:12" ht="12.75">
      <c r="L598" s="54"/>
    </row>
    <row r="599" spans="12:12" ht="12.75">
      <c r="L599" s="54"/>
    </row>
    <row r="600" spans="12:12" ht="12.75">
      <c r="L600" s="54"/>
    </row>
    <row r="601" spans="12:12" ht="12.75">
      <c r="L601" s="54"/>
    </row>
    <row r="602" spans="12:12" ht="12.75">
      <c r="L602" s="54"/>
    </row>
    <row r="603" spans="12:12" ht="12.75">
      <c r="L603" s="54"/>
    </row>
    <row r="604" spans="12:12" ht="12.75">
      <c r="L604" s="54"/>
    </row>
    <row r="605" spans="12:12" ht="12.75">
      <c r="L605" s="54"/>
    </row>
    <row r="606" spans="12:12" ht="12.75">
      <c r="L606" s="54"/>
    </row>
    <row r="607" spans="12:12" ht="12.75">
      <c r="L607" s="54"/>
    </row>
    <row r="608" spans="12:12" ht="12.75">
      <c r="L608" s="54"/>
    </row>
    <row r="609" spans="12:12" ht="12.75">
      <c r="L609" s="54"/>
    </row>
    <row r="610" spans="12:12" ht="12.75">
      <c r="L610" s="54"/>
    </row>
    <row r="611" spans="12:12" ht="12.75">
      <c r="L611" s="54"/>
    </row>
    <row r="612" spans="12:12" ht="12.75">
      <c r="L612" s="54"/>
    </row>
    <row r="613" spans="12:12" ht="12.75">
      <c r="L613" s="54"/>
    </row>
    <row r="614" spans="12:12" ht="12.75">
      <c r="L614" s="54"/>
    </row>
    <row r="615" spans="12:12" ht="12.75">
      <c r="L615" s="54"/>
    </row>
    <row r="616" spans="12:12" ht="12.75">
      <c r="L616" s="54"/>
    </row>
    <row r="617" spans="12:12" ht="12.75">
      <c r="L617" s="54"/>
    </row>
    <row r="618" spans="12:12" ht="12.75">
      <c r="L618" s="54"/>
    </row>
    <row r="619" spans="12:12" ht="12.75">
      <c r="L619" s="54"/>
    </row>
    <row r="620" spans="12:12" ht="12.75">
      <c r="L620" s="54"/>
    </row>
    <row r="621" spans="12:12" ht="12.75">
      <c r="L621" s="54"/>
    </row>
    <row r="622" spans="12:12" ht="12.75">
      <c r="L622" s="54"/>
    </row>
    <row r="623" spans="12:12" ht="12.75">
      <c r="L623" s="54"/>
    </row>
    <row r="624" spans="12:12" ht="12.75">
      <c r="L624" s="54"/>
    </row>
    <row r="625" spans="12:12" ht="12.75">
      <c r="L625" s="54"/>
    </row>
    <row r="626" spans="12:12" ht="12.75">
      <c r="L626" s="54"/>
    </row>
    <row r="627" spans="12:12" ht="12.75">
      <c r="L627" s="54"/>
    </row>
    <row r="628" spans="12:12" ht="12.75">
      <c r="L628" s="54"/>
    </row>
    <row r="629" spans="12:12" ht="12.75">
      <c r="L629" s="54"/>
    </row>
    <row r="630" spans="12:12" ht="12.75">
      <c r="L630" s="54"/>
    </row>
    <row r="631" spans="12:12" ht="12.75">
      <c r="L631" s="54"/>
    </row>
    <row r="632" spans="12:12" ht="12.75">
      <c r="L632" s="54"/>
    </row>
    <row r="633" spans="12:12" ht="12.75">
      <c r="L633" s="54"/>
    </row>
    <row r="634" spans="12:12" ht="12.75">
      <c r="L634" s="54"/>
    </row>
    <row r="635" spans="12:12" ht="12.75">
      <c r="L635" s="54"/>
    </row>
    <row r="636" spans="12:12" ht="12.75">
      <c r="L636" s="54"/>
    </row>
    <row r="637" spans="12:12" ht="12.75">
      <c r="L637" s="54"/>
    </row>
    <row r="638" spans="12:12" ht="12.75">
      <c r="L638" s="54"/>
    </row>
    <row r="639" spans="12:12" ht="12.75">
      <c r="L639" s="54"/>
    </row>
    <row r="640" spans="12:12" ht="12.75">
      <c r="L640" s="54"/>
    </row>
    <row r="641" spans="12:12" ht="12.75">
      <c r="L641" s="54"/>
    </row>
    <row r="642" spans="12:12" ht="12.75">
      <c r="L642" s="54"/>
    </row>
    <row r="643" spans="12:12" ht="12.75">
      <c r="L643" s="54"/>
    </row>
    <row r="644" spans="12:12" ht="12.75">
      <c r="L644" s="54"/>
    </row>
    <row r="645" spans="12:12" ht="12.75">
      <c r="L645" s="54"/>
    </row>
    <row r="646" spans="12:12" ht="12.75">
      <c r="L646" s="54"/>
    </row>
    <row r="647" spans="12:12" ht="12.75">
      <c r="L647" s="54"/>
    </row>
    <row r="648" spans="12:12" ht="12.75">
      <c r="L648" s="54"/>
    </row>
    <row r="649" spans="12:12" ht="12.75">
      <c r="L649" s="54"/>
    </row>
    <row r="650" spans="12:12" ht="12.75">
      <c r="L650" s="54"/>
    </row>
    <row r="651" spans="12:12" ht="12.75">
      <c r="L651" s="54"/>
    </row>
    <row r="652" spans="12:12" ht="12.75">
      <c r="L652" s="54"/>
    </row>
    <row r="653" spans="12:12" ht="12.75">
      <c r="L653" s="54"/>
    </row>
    <row r="654" spans="12:12" ht="12.75">
      <c r="L654" s="54"/>
    </row>
    <row r="655" spans="12:12" ht="12.75">
      <c r="L655" s="54"/>
    </row>
    <row r="656" spans="12:12" ht="12.75">
      <c r="L656" s="54"/>
    </row>
    <row r="657" spans="12:12" ht="12.75">
      <c r="L657" s="54"/>
    </row>
    <row r="658" spans="12:12" ht="12.75">
      <c r="L658" s="54"/>
    </row>
    <row r="659" spans="12:12" ht="12.75">
      <c r="L659" s="54"/>
    </row>
    <row r="660" spans="12:12" ht="12.75">
      <c r="L660" s="54"/>
    </row>
    <row r="661" spans="12:12" ht="12.75">
      <c r="L661" s="54"/>
    </row>
    <row r="662" spans="12:12" ht="12.75">
      <c r="L662" s="54"/>
    </row>
    <row r="663" spans="12:12" ht="12.75">
      <c r="L663" s="54"/>
    </row>
    <row r="664" spans="12:12" ht="12.75">
      <c r="L664" s="54"/>
    </row>
    <row r="665" spans="12:12" ht="12.75">
      <c r="L665" s="54"/>
    </row>
    <row r="666" spans="12:12" ht="12.75">
      <c r="L666" s="54"/>
    </row>
    <row r="667" spans="12:12" ht="12.75">
      <c r="L667" s="54"/>
    </row>
    <row r="668" spans="12:12" ht="12.75">
      <c r="L668" s="54"/>
    </row>
    <row r="669" spans="12:12" ht="12.75">
      <c r="L669" s="54"/>
    </row>
    <row r="670" spans="12:12" ht="12.75">
      <c r="L670" s="54"/>
    </row>
    <row r="671" spans="12:12" ht="12.75">
      <c r="L671" s="54"/>
    </row>
    <row r="672" spans="12:12" ht="12.75">
      <c r="L672" s="54"/>
    </row>
    <row r="673" spans="12:12" ht="12.75">
      <c r="L673" s="54"/>
    </row>
    <row r="674" spans="12:12" ht="12.75">
      <c r="L674" s="54"/>
    </row>
    <row r="675" spans="12:12" ht="12.75">
      <c r="L675" s="54"/>
    </row>
    <row r="676" spans="12:12" ht="12.75">
      <c r="L676" s="54"/>
    </row>
    <row r="677" spans="12:12" ht="12.75">
      <c r="L677" s="54"/>
    </row>
    <row r="678" spans="12:12" ht="12.75">
      <c r="L678" s="54"/>
    </row>
    <row r="679" spans="12:12" ht="12.75">
      <c r="L679" s="54"/>
    </row>
    <row r="680" spans="12:12" ht="12.75">
      <c r="L680" s="54"/>
    </row>
    <row r="681" spans="12:12" ht="12.75">
      <c r="L681" s="54"/>
    </row>
    <row r="682" spans="12:12" ht="12.75">
      <c r="L682" s="54"/>
    </row>
    <row r="683" spans="12:12" ht="12.75">
      <c r="L683" s="54"/>
    </row>
    <row r="684" spans="12:12" ht="12.75">
      <c r="L684" s="54"/>
    </row>
    <row r="685" spans="12:12" ht="12.75">
      <c r="L685" s="54"/>
    </row>
    <row r="686" spans="12:12" ht="12.75">
      <c r="L686" s="54"/>
    </row>
    <row r="687" spans="12:12" ht="12.75">
      <c r="L687" s="54"/>
    </row>
    <row r="688" spans="12:12" ht="12.75">
      <c r="L688" s="54"/>
    </row>
    <row r="689" spans="12:12" ht="12.75">
      <c r="L689" s="54"/>
    </row>
    <row r="690" spans="12:12" ht="12.75">
      <c r="L690" s="54"/>
    </row>
    <row r="691" spans="12:12" ht="12.75">
      <c r="L691" s="54"/>
    </row>
    <row r="692" spans="12:12" ht="12.75">
      <c r="L692" s="54"/>
    </row>
    <row r="693" spans="12:12" ht="12.75">
      <c r="L693" s="54"/>
    </row>
    <row r="694" spans="12:12" ht="12.75">
      <c r="L694" s="54"/>
    </row>
    <row r="695" spans="12:12" ht="12.75">
      <c r="L695" s="54"/>
    </row>
    <row r="696" spans="12:12" ht="12.75">
      <c r="L696" s="54"/>
    </row>
    <row r="697" spans="12:12" ht="12.75">
      <c r="L697" s="54"/>
    </row>
    <row r="698" spans="12:12" ht="12.75">
      <c r="L698" s="54"/>
    </row>
    <row r="699" spans="12:12" ht="12.75">
      <c r="L699" s="54"/>
    </row>
    <row r="700" spans="12:12" ht="12.75">
      <c r="L700" s="54"/>
    </row>
    <row r="701" spans="12:12" ht="12.75">
      <c r="L701" s="54"/>
    </row>
    <row r="702" spans="12:12" ht="12.75">
      <c r="L702" s="54"/>
    </row>
    <row r="703" spans="12:12" ht="12.75">
      <c r="L703" s="54"/>
    </row>
    <row r="704" spans="12:12" ht="12.75">
      <c r="L704" s="54"/>
    </row>
    <row r="705" spans="12:12" ht="12.75">
      <c r="L705" s="54"/>
    </row>
    <row r="706" spans="12:12" ht="12.75">
      <c r="L706" s="54"/>
    </row>
    <row r="707" spans="12:12" ht="12.75">
      <c r="L707" s="54"/>
    </row>
    <row r="708" spans="12:12" ht="12.75">
      <c r="L708" s="54"/>
    </row>
    <row r="709" spans="12:12" ht="12.75">
      <c r="L709" s="54"/>
    </row>
    <row r="710" spans="12:12" ht="12.75">
      <c r="L710" s="54"/>
    </row>
    <row r="711" spans="12:12" ht="12.75">
      <c r="L711" s="54"/>
    </row>
    <row r="712" spans="12:12" ht="12.75">
      <c r="L712" s="54"/>
    </row>
    <row r="713" spans="12:12" ht="12.75">
      <c r="L713" s="54"/>
    </row>
    <row r="714" spans="12:12" ht="12.75">
      <c r="L714" s="54"/>
    </row>
    <row r="715" spans="12:12" ht="12.75">
      <c r="L715" s="54"/>
    </row>
    <row r="716" spans="12:12" ht="12.75">
      <c r="L716" s="54"/>
    </row>
    <row r="717" spans="12:12" ht="12.75">
      <c r="L717" s="54"/>
    </row>
    <row r="718" spans="12:12" ht="12.75">
      <c r="L718" s="54"/>
    </row>
    <row r="719" spans="12:12" ht="12.75">
      <c r="L719" s="54"/>
    </row>
    <row r="720" spans="12:12" ht="12.75">
      <c r="L720" s="54"/>
    </row>
    <row r="721" spans="12:12" ht="12.75">
      <c r="L721" s="54"/>
    </row>
    <row r="722" spans="12:12" ht="12.75">
      <c r="L722" s="54"/>
    </row>
    <row r="723" spans="12:12" ht="12.75">
      <c r="L723" s="54"/>
    </row>
    <row r="724" spans="12:12" ht="12.75">
      <c r="L724" s="54"/>
    </row>
    <row r="725" spans="12:12" ht="12.75">
      <c r="L725" s="54"/>
    </row>
    <row r="726" spans="12:12" ht="12.75">
      <c r="L726" s="54"/>
    </row>
    <row r="727" spans="12:12" ht="12.75">
      <c r="L727" s="54"/>
    </row>
    <row r="728" spans="12:12" ht="12.75">
      <c r="L728" s="54"/>
    </row>
    <row r="729" spans="12:12" ht="12.75">
      <c r="L729" s="54"/>
    </row>
    <row r="730" spans="12:12" ht="12.75">
      <c r="L730" s="54"/>
    </row>
    <row r="731" spans="12:12" ht="12.75">
      <c r="L731" s="54"/>
    </row>
    <row r="732" spans="12:12" ht="12.75">
      <c r="L732" s="54"/>
    </row>
    <row r="733" spans="12:12" ht="12.75">
      <c r="L733" s="54"/>
    </row>
    <row r="734" spans="12:12" ht="12.75">
      <c r="L734" s="54"/>
    </row>
    <row r="735" spans="12:12" ht="12.75">
      <c r="L735" s="54"/>
    </row>
    <row r="736" spans="12:12" ht="12.75">
      <c r="L736" s="54"/>
    </row>
    <row r="737" spans="12:12" ht="12.75">
      <c r="L737" s="54"/>
    </row>
    <row r="738" spans="12:12" ht="12.75">
      <c r="L738" s="54"/>
    </row>
    <row r="739" spans="12:12" ht="12.75">
      <c r="L739" s="54"/>
    </row>
    <row r="740" spans="12:12" ht="12.75">
      <c r="L740" s="54"/>
    </row>
    <row r="741" spans="12:12" ht="12.75">
      <c r="L741" s="54"/>
    </row>
    <row r="742" spans="12:12" ht="12.75">
      <c r="L742" s="54"/>
    </row>
    <row r="743" spans="12:12" ht="12.75">
      <c r="L743" s="54"/>
    </row>
    <row r="744" spans="12:12" ht="12.75">
      <c r="L744" s="54"/>
    </row>
    <row r="745" spans="12:12" ht="12.75">
      <c r="L745" s="54"/>
    </row>
    <row r="746" spans="12:12" ht="12.75">
      <c r="L746" s="54"/>
    </row>
    <row r="747" spans="12:12" ht="12.75">
      <c r="L747" s="54"/>
    </row>
    <row r="748" spans="12:12" ht="12.75">
      <c r="L748" s="54"/>
    </row>
    <row r="749" spans="12:12" ht="12.75">
      <c r="L749" s="54"/>
    </row>
    <row r="750" spans="12:12" ht="12.75">
      <c r="L750" s="54"/>
    </row>
    <row r="751" spans="12:12" ht="12.75">
      <c r="L751" s="54"/>
    </row>
    <row r="752" spans="12:12" ht="12.75">
      <c r="L752" s="54"/>
    </row>
    <row r="753" spans="12:12" ht="12.75">
      <c r="L753" s="54"/>
    </row>
    <row r="754" spans="12:12" ht="12.75">
      <c r="L754" s="54"/>
    </row>
    <row r="755" spans="12:12" ht="12.75">
      <c r="L755" s="54"/>
    </row>
    <row r="756" spans="12:12" ht="12.75">
      <c r="L756" s="54"/>
    </row>
    <row r="757" spans="12:12" ht="12.75">
      <c r="L757" s="54"/>
    </row>
    <row r="758" spans="12:12" ht="12.75">
      <c r="L758" s="54"/>
    </row>
    <row r="759" spans="12:12" ht="12.75">
      <c r="L759" s="54"/>
    </row>
    <row r="760" spans="12:12" ht="12.75">
      <c r="L760" s="54"/>
    </row>
    <row r="761" spans="12:12" ht="12.75">
      <c r="L761" s="54"/>
    </row>
    <row r="762" spans="12:12" ht="12.75">
      <c r="L762" s="54"/>
    </row>
    <row r="763" spans="12:12" ht="12.75">
      <c r="L763" s="54"/>
    </row>
    <row r="764" spans="12:12" ht="12.75">
      <c r="L764" s="54"/>
    </row>
    <row r="765" spans="12:12" ht="12.75">
      <c r="L765" s="54"/>
    </row>
    <row r="766" spans="12:12" ht="12.75">
      <c r="L766" s="54"/>
    </row>
    <row r="767" spans="12:12" ht="12.75">
      <c r="L767" s="54"/>
    </row>
    <row r="768" spans="12:12" ht="12.75">
      <c r="L768" s="54"/>
    </row>
    <row r="769" spans="12:12" ht="12.75">
      <c r="L769" s="54"/>
    </row>
    <row r="770" spans="12:12" ht="12.75">
      <c r="L770" s="54"/>
    </row>
    <row r="771" spans="12:12" ht="12.75">
      <c r="L771" s="54"/>
    </row>
    <row r="772" spans="12:12" ht="12.75">
      <c r="L772" s="54"/>
    </row>
    <row r="773" spans="12:12" ht="12.75">
      <c r="L773" s="54"/>
    </row>
    <row r="774" spans="12:12" ht="12.75">
      <c r="L774" s="54"/>
    </row>
    <row r="775" spans="12:12" ht="12.75">
      <c r="L775" s="54"/>
    </row>
    <row r="776" spans="12:12" ht="12.75">
      <c r="L776" s="54"/>
    </row>
    <row r="777" spans="12:12" ht="12.75">
      <c r="L777" s="54"/>
    </row>
    <row r="778" spans="12:12" ht="12.75">
      <c r="L778" s="54"/>
    </row>
    <row r="779" spans="12:12" ht="12.75">
      <c r="L779" s="54"/>
    </row>
    <row r="780" spans="12:12" ht="12.75">
      <c r="L780" s="54"/>
    </row>
    <row r="781" spans="12:12" ht="12.75">
      <c r="L781" s="54"/>
    </row>
    <row r="782" spans="12:12" ht="12.75">
      <c r="L782" s="54"/>
    </row>
    <row r="783" spans="12:12" ht="12.75">
      <c r="L783" s="54"/>
    </row>
    <row r="784" spans="12:12" ht="12.75">
      <c r="L784" s="54"/>
    </row>
    <row r="785" spans="12:12" ht="12.75">
      <c r="L785" s="54"/>
    </row>
    <row r="786" spans="12:12" ht="12.75">
      <c r="L786" s="54"/>
    </row>
    <row r="787" spans="12:12" ht="12.75">
      <c r="L787" s="54"/>
    </row>
    <row r="788" spans="12:12" ht="12.75">
      <c r="L788" s="54"/>
    </row>
    <row r="789" spans="12:12" ht="12.75">
      <c r="L789" s="54"/>
    </row>
    <row r="790" spans="12:12" ht="12.75">
      <c r="L790" s="54"/>
    </row>
    <row r="791" spans="12:12" ht="12.75">
      <c r="L791" s="54"/>
    </row>
    <row r="792" spans="12:12" ht="12.75">
      <c r="L792" s="54"/>
    </row>
    <row r="793" spans="12:12" ht="12.75">
      <c r="L793" s="54"/>
    </row>
    <row r="794" spans="12:12" ht="12.75">
      <c r="L794" s="54"/>
    </row>
    <row r="795" spans="12:12" ht="12.75">
      <c r="L795" s="54"/>
    </row>
    <row r="796" spans="12:12" ht="12.75">
      <c r="L796" s="54"/>
    </row>
    <row r="797" spans="12:12" ht="12.75">
      <c r="L797" s="54"/>
    </row>
    <row r="798" spans="12:12" ht="12.75">
      <c r="L798" s="54"/>
    </row>
    <row r="799" spans="12:12" ht="12.75">
      <c r="L799" s="54"/>
    </row>
    <row r="800" spans="12:12" ht="12.75">
      <c r="L800" s="54"/>
    </row>
    <row r="801" spans="12:12" ht="12.75">
      <c r="L801" s="54"/>
    </row>
    <row r="802" spans="12:12" ht="12.75">
      <c r="L802" s="54"/>
    </row>
    <row r="803" spans="12:12" ht="12.75">
      <c r="L803" s="54"/>
    </row>
    <row r="804" spans="12:12" ht="12.75">
      <c r="L804" s="54"/>
    </row>
    <row r="805" spans="12:12" ht="12.75">
      <c r="L805" s="54"/>
    </row>
    <row r="806" spans="12:12" ht="12.75">
      <c r="L806" s="54"/>
    </row>
    <row r="807" spans="12:12" ht="12.75">
      <c r="L807" s="54"/>
    </row>
    <row r="808" spans="12:12" ht="12.75">
      <c r="L808" s="54"/>
    </row>
    <row r="809" spans="12:12" ht="12.75">
      <c r="L809" s="54"/>
    </row>
    <row r="810" spans="12:12" ht="12.75">
      <c r="L810" s="54"/>
    </row>
    <row r="811" spans="12:12" ht="12.75">
      <c r="L811" s="54"/>
    </row>
    <row r="812" spans="12:12" ht="12.75">
      <c r="L812" s="54"/>
    </row>
    <row r="813" spans="12:12" ht="12.75">
      <c r="L813" s="54"/>
    </row>
    <row r="814" spans="12:12" ht="12.75">
      <c r="L814" s="54"/>
    </row>
    <row r="815" spans="12:12" ht="12.75">
      <c r="L815" s="54"/>
    </row>
    <row r="816" spans="12:12" ht="12.75">
      <c r="L816" s="54"/>
    </row>
    <row r="817" spans="12:12" ht="12.75">
      <c r="L817" s="54"/>
    </row>
    <row r="818" spans="12:12" ht="12.75">
      <c r="L818" s="54"/>
    </row>
    <row r="819" spans="12:12" ht="12.75">
      <c r="L819" s="54"/>
    </row>
    <row r="820" spans="12:12" ht="12.75">
      <c r="L820" s="54"/>
    </row>
    <row r="821" spans="12:12" ht="12.75">
      <c r="L821" s="54"/>
    </row>
    <row r="822" spans="12:12" ht="12.75">
      <c r="L822" s="54"/>
    </row>
    <row r="823" spans="12:12" ht="12.75">
      <c r="L823" s="54"/>
    </row>
    <row r="824" spans="12:12" ht="12.75">
      <c r="L824" s="54"/>
    </row>
    <row r="825" spans="12:12" ht="12.75">
      <c r="L825" s="54"/>
    </row>
    <row r="826" spans="12:12" ht="12.75">
      <c r="L826" s="54"/>
    </row>
    <row r="827" spans="12:12" ht="12.75">
      <c r="L827" s="54"/>
    </row>
    <row r="828" spans="12:12" ht="12.75">
      <c r="L828" s="54"/>
    </row>
    <row r="829" spans="12:12" ht="12.75">
      <c r="L829" s="54"/>
    </row>
    <row r="830" spans="12:12" ht="12.75">
      <c r="L830" s="54"/>
    </row>
    <row r="831" spans="12:12" ht="12.75">
      <c r="L831" s="54"/>
    </row>
    <row r="832" spans="12:12" ht="12.75">
      <c r="L832" s="54"/>
    </row>
    <row r="833" spans="12:12" ht="12.75">
      <c r="L833" s="54"/>
    </row>
    <row r="834" spans="12:12" ht="12.75">
      <c r="L834" s="54"/>
    </row>
    <row r="835" spans="12:12" ht="12.75">
      <c r="L835" s="54"/>
    </row>
    <row r="836" spans="12:12" ht="12.75">
      <c r="L836" s="54"/>
    </row>
    <row r="837" spans="12:12" ht="12.75">
      <c r="L837" s="54"/>
    </row>
    <row r="838" spans="12:12" ht="12.75">
      <c r="L838" s="54"/>
    </row>
    <row r="839" spans="12:12" ht="12.75">
      <c r="L839" s="54"/>
    </row>
    <row r="840" spans="12:12" ht="12.75">
      <c r="L840" s="54"/>
    </row>
    <row r="841" spans="12:12" ht="12.75">
      <c r="L841" s="54"/>
    </row>
    <row r="842" spans="12:12" ht="12.75">
      <c r="L842" s="54"/>
    </row>
    <row r="843" spans="12:12" ht="12.75">
      <c r="L843" s="54"/>
    </row>
    <row r="844" spans="12:12" ht="12.75">
      <c r="L844" s="54"/>
    </row>
    <row r="845" spans="12:12" ht="12.75">
      <c r="L845" s="54"/>
    </row>
    <row r="846" spans="12:12" ht="12.75">
      <c r="L846" s="54"/>
    </row>
    <row r="847" spans="12:12" ht="12.75">
      <c r="L847" s="54"/>
    </row>
    <row r="848" spans="12:12" ht="12.75">
      <c r="L848" s="54"/>
    </row>
    <row r="849" spans="12:12" ht="12.75">
      <c r="L849" s="54"/>
    </row>
    <row r="850" spans="12:12" ht="12.75">
      <c r="L850" s="54"/>
    </row>
    <row r="851" spans="12:12" ht="12.75">
      <c r="L851" s="54"/>
    </row>
    <row r="852" spans="12:12" ht="12.75">
      <c r="L852" s="54"/>
    </row>
    <row r="853" spans="12:12" ht="12.75">
      <c r="L853" s="54"/>
    </row>
    <row r="854" spans="12:12" ht="12.75">
      <c r="L854" s="54"/>
    </row>
    <row r="855" spans="12:12" ht="12.75">
      <c r="L855" s="54"/>
    </row>
    <row r="856" spans="12:12" ht="12.75">
      <c r="L856" s="54"/>
    </row>
    <row r="857" spans="12:12" ht="12.75">
      <c r="L857" s="54"/>
    </row>
    <row r="858" spans="12:12" ht="12.75">
      <c r="L858" s="54"/>
    </row>
    <row r="859" spans="12:12" ht="12.75">
      <c r="L859" s="54"/>
    </row>
    <row r="860" spans="12:12" ht="12.75">
      <c r="L860" s="54"/>
    </row>
    <row r="861" spans="12:12" ht="12.75">
      <c r="L861" s="54"/>
    </row>
    <row r="862" spans="12:12" ht="12.75">
      <c r="L862" s="54"/>
    </row>
    <row r="863" spans="12:12" ht="12.75">
      <c r="L863" s="54"/>
    </row>
    <row r="864" spans="12:12" ht="12.75">
      <c r="L864" s="54"/>
    </row>
    <row r="865" spans="12:12" ht="12.75">
      <c r="L865" s="54"/>
    </row>
    <row r="866" spans="12:12" ht="12.75">
      <c r="L866" s="54"/>
    </row>
    <row r="867" spans="12:12" ht="12.75">
      <c r="L867" s="54"/>
    </row>
    <row r="868" spans="12:12" ht="12.75">
      <c r="L868" s="54"/>
    </row>
    <row r="869" spans="12:12" ht="12.75">
      <c r="L869" s="54"/>
    </row>
    <row r="870" spans="12:12" ht="12.75">
      <c r="L870" s="54"/>
    </row>
    <row r="871" spans="12:12" ht="12.75">
      <c r="L871" s="54"/>
    </row>
    <row r="872" spans="12:12" ht="12.75">
      <c r="L872" s="54"/>
    </row>
    <row r="873" spans="12:12" ht="12.75">
      <c r="L873" s="54"/>
    </row>
    <row r="874" spans="12:12" ht="12.75">
      <c r="L874" s="54"/>
    </row>
    <row r="875" spans="12:12" ht="12.75">
      <c r="L875" s="54"/>
    </row>
    <row r="876" spans="12:12" ht="12.75">
      <c r="L876" s="54"/>
    </row>
    <row r="877" spans="12:12" ht="12.75">
      <c r="L877" s="54"/>
    </row>
    <row r="878" spans="12:12" ht="12.75">
      <c r="L878" s="54"/>
    </row>
    <row r="879" spans="12:12" ht="12.75">
      <c r="L879" s="54"/>
    </row>
    <row r="880" spans="12:12" ht="12.75">
      <c r="L880" s="54"/>
    </row>
    <row r="881" spans="12:12" ht="12.75">
      <c r="L881" s="54"/>
    </row>
    <row r="882" spans="12:12" ht="12.75">
      <c r="L882" s="54"/>
    </row>
    <row r="883" spans="12:12" ht="12.75">
      <c r="L883" s="54"/>
    </row>
    <row r="884" spans="12:12" ht="12.75">
      <c r="L884" s="54"/>
    </row>
    <row r="885" spans="12:12" ht="12.75">
      <c r="L885" s="54"/>
    </row>
    <row r="886" spans="12:12" ht="12.75">
      <c r="L886" s="54"/>
    </row>
    <row r="887" spans="12:12" ht="12.75">
      <c r="L887" s="54"/>
    </row>
    <row r="888" spans="12:12" ht="12.75">
      <c r="L888" s="54"/>
    </row>
    <row r="889" spans="12:12" ht="12.75">
      <c r="L889" s="54"/>
    </row>
    <row r="890" spans="12:12" ht="12.75">
      <c r="L890" s="54"/>
    </row>
    <row r="891" spans="12:12" ht="12.75">
      <c r="L891" s="54"/>
    </row>
    <row r="892" spans="12:12" ht="12.75">
      <c r="L892" s="54"/>
    </row>
    <row r="893" spans="12:12" ht="12.75">
      <c r="L893" s="54"/>
    </row>
    <row r="894" spans="12:12" ht="12.75">
      <c r="L894" s="54"/>
    </row>
    <row r="895" spans="12:12" ht="12.75">
      <c r="L895" s="54"/>
    </row>
    <row r="896" spans="12:12" ht="12.75">
      <c r="L896" s="54"/>
    </row>
    <row r="897" spans="12:12" ht="12.75">
      <c r="L897" s="54"/>
    </row>
    <row r="898" spans="12:12" ht="12.75">
      <c r="L898" s="54"/>
    </row>
    <row r="899" spans="12:12" ht="12.75">
      <c r="L899" s="54"/>
    </row>
    <row r="900" spans="12:12" ht="12.75">
      <c r="L900" s="54"/>
    </row>
    <row r="901" spans="12:12" ht="12.75">
      <c r="L901" s="54"/>
    </row>
    <row r="902" spans="12:12" ht="12.75">
      <c r="L902" s="54"/>
    </row>
    <row r="903" spans="12:12" ht="12.75">
      <c r="L903" s="54"/>
    </row>
    <row r="904" spans="12:12" ht="12.75">
      <c r="L904" s="54"/>
    </row>
    <row r="905" spans="12:12" ht="12.75">
      <c r="L905" s="54"/>
    </row>
    <row r="906" spans="12:12" ht="12.75">
      <c r="L906" s="54"/>
    </row>
    <row r="907" spans="12:12" ht="12.75">
      <c r="L907" s="54"/>
    </row>
    <row r="908" spans="12:12" ht="12.75">
      <c r="L908" s="54"/>
    </row>
    <row r="909" spans="12:12" ht="12.75">
      <c r="L909" s="54"/>
    </row>
    <row r="910" spans="12:12" ht="12.75">
      <c r="L910" s="54"/>
    </row>
    <row r="911" spans="12:12" ht="12.75">
      <c r="L911" s="54"/>
    </row>
    <row r="912" spans="12:12" ht="12.75">
      <c r="L912" s="54"/>
    </row>
    <row r="913" spans="12:12" ht="12.75">
      <c r="L913" s="54"/>
    </row>
    <row r="914" spans="12:12" ht="12.75">
      <c r="L914" s="54"/>
    </row>
    <row r="915" spans="12:12" ht="12.75">
      <c r="L915" s="54"/>
    </row>
    <row r="916" spans="12:12" ht="12.75">
      <c r="L916" s="54"/>
    </row>
    <row r="917" spans="12:12" ht="12.75">
      <c r="L917" s="54"/>
    </row>
    <row r="918" spans="12:12" ht="12.75">
      <c r="L918" s="54"/>
    </row>
    <row r="919" spans="12:12" ht="12.75">
      <c r="L919" s="54"/>
    </row>
    <row r="920" spans="12:12" ht="12.75">
      <c r="L920" s="54"/>
    </row>
    <row r="921" spans="12:12" ht="12.75">
      <c r="L921" s="54"/>
    </row>
    <row r="922" spans="12:12" ht="12.75">
      <c r="L922" s="54"/>
    </row>
    <row r="923" spans="12:12" ht="12.75">
      <c r="L923" s="54"/>
    </row>
    <row r="924" spans="12:12" ht="12.75">
      <c r="L924" s="54"/>
    </row>
    <row r="925" spans="12:12" ht="12.75">
      <c r="L925" s="54"/>
    </row>
    <row r="926" spans="12:12" ht="12.75">
      <c r="L926" s="54"/>
    </row>
    <row r="927" spans="12:12" ht="12.75">
      <c r="L927" s="54"/>
    </row>
    <row r="928" spans="12:12" ht="12.75">
      <c r="L928" s="54"/>
    </row>
    <row r="929" spans="12:12" ht="12.75">
      <c r="L929" s="54"/>
    </row>
    <row r="930" spans="12:12" ht="12.75">
      <c r="L930" s="54"/>
    </row>
    <row r="931" spans="12:12" ht="12.75">
      <c r="L931" s="54"/>
    </row>
    <row r="932" spans="12:12" ht="12.75">
      <c r="L932" s="54"/>
    </row>
    <row r="933" spans="12:12" ht="12.75">
      <c r="L933" s="54"/>
    </row>
    <row r="934" spans="12:12" ht="12.75">
      <c r="L934" s="54"/>
    </row>
    <row r="935" spans="12:12" ht="12.75">
      <c r="L935" s="54"/>
    </row>
    <row r="936" spans="12:12" ht="12.75">
      <c r="L936" s="54"/>
    </row>
    <row r="937" spans="12:12" ht="12.75">
      <c r="L937" s="54"/>
    </row>
    <row r="938" spans="12:12" ht="12.75">
      <c r="L938" s="54"/>
    </row>
    <row r="939" spans="12:12" ht="12.75">
      <c r="L939" s="54"/>
    </row>
    <row r="940" spans="12:12" ht="12.75">
      <c r="L940" s="54"/>
    </row>
    <row r="941" spans="12:12" ht="12.75">
      <c r="L941" s="54"/>
    </row>
    <row r="942" spans="12:12" ht="12.75">
      <c r="L942" s="54"/>
    </row>
    <row r="943" spans="12:12" ht="12.75">
      <c r="L943" s="54"/>
    </row>
    <row r="944" spans="12:12" ht="12.75">
      <c r="L944" s="54"/>
    </row>
    <row r="945" spans="12:12" ht="12.75">
      <c r="L945" s="54"/>
    </row>
    <row r="946" spans="12:12" ht="12.75">
      <c r="L946" s="54"/>
    </row>
    <row r="947" spans="12:12" ht="12.75">
      <c r="L947" s="54"/>
    </row>
    <row r="948" spans="12:12" ht="12.75">
      <c r="L948" s="54"/>
    </row>
    <row r="949" spans="12:12" ht="12.75">
      <c r="L949" s="54"/>
    </row>
    <row r="950" spans="12:12" ht="12.75">
      <c r="L950" s="54"/>
    </row>
    <row r="951" spans="12:12" ht="12.75">
      <c r="L951" s="54"/>
    </row>
    <row r="952" spans="12:12" ht="12.75">
      <c r="L952" s="54"/>
    </row>
    <row r="953" spans="12:12" ht="12.75">
      <c r="L953" s="54"/>
    </row>
    <row r="954" spans="12:12" ht="12.75">
      <c r="L954" s="54"/>
    </row>
    <row r="955" spans="12:12" ht="12.75">
      <c r="L955" s="54"/>
    </row>
    <row r="956" spans="12:12" ht="12.75">
      <c r="L956" s="54"/>
    </row>
    <row r="957" spans="12:12" ht="12.75">
      <c r="L957" s="54"/>
    </row>
    <row r="958" spans="12:12" ht="12.75">
      <c r="L958" s="54"/>
    </row>
    <row r="959" spans="12:12" ht="12.75">
      <c r="L959" s="54"/>
    </row>
    <row r="960" spans="12:12" ht="12.75">
      <c r="L960" s="54"/>
    </row>
    <row r="961" spans="12:12" ht="12.75">
      <c r="L961" s="54"/>
    </row>
    <row r="962" spans="12:12" ht="12.75">
      <c r="L962" s="54"/>
    </row>
    <row r="963" spans="12:12" ht="12.75">
      <c r="L963" s="54"/>
    </row>
    <row r="964" spans="12:12" ht="12.75">
      <c r="L964" s="54"/>
    </row>
    <row r="965" spans="12:12" ht="12.75">
      <c r="L965" s="54"/>
    </row>
    <row r="966" spans="12:12" ht="12.75">
      <c r="L966" s="54"/>
    </row>
    <row r="967" spans="12:12" ht="12.75">
      <c r="L967" s="54"/>
    </row>
    <row r="968" spans="12:12" ht="12.75">
      <c r="L968" s="54"/>
    </row>
    <row r="969" spans="12:12" ht="12.75">
      <c r="L969" s="54"/>
    </row>
    <row r="970" spans="12:12" ht="12.75">
      <c r="L970" s="54"/>
    </row>
    <row r="971" spans="12:12" ht="12.75">
      <c r="L971" s="54"/>
    </row>
    <row r="972" spans="12:12" ht="12.75">
      <c r="L972" s="54"/>
    </row>
    <row r="973" spans="12:12" ht="12.75">
      <c r="L973" s="54"/>
    </row>
    <row r="974" spans="12:12" ht="12.75">
      <c r="L974" s="54"/>
    </row>
    <row r="975" spans="12:12" ht="12.75">
      <c r="L975" s="54"/>
    </row>
    <row r="976" spans="12:12" ht="12.75">
      <c r="L976" s="54"/>
    </row>
    <row r="977" spans="12:12" ht="12.75">
      <c r="L977" s="54"/>
    </row>
    <row r="978" spans="12:12" ht="12.75">
      <c r="L978" s="54"/>
    </row>
    <row r="979" spans="12:12" ht="12.75">
      <c r="L979" s="54"/>
    </row>
    <row r="980" spans="12:12" ht="12.75">
      <c r="L980" s="54"/>
    </row>
    <row r="981" spans="12:12" ht="12.75">
      <c r="L981" s="54"/>
    </row>
    <row r="982" spans="12:12" ht="12.75">
      <c r="L982" s="54"/>
    </row>
    <row r="983" spans="12:12" ht="12.75">
      <c r="L983" s="54"/>
    </row>
    <row r="984" spans="12:12" ht="12.75">
      <c r="L984" s="54"/>
    </row>
    <row r="985" spans="12:12" ht="12.75">
      <c r="L985" s="54"/>
    </row>
    <row r="986" spans="12:12" ht="12.75">
      <c r="L986" s="54"/>
    </row>
    <row r="987" spans="12:12" ht="12.75">
      <c r="L987" s="54"/>
    </row>
    <row r="988" spans="12:12" ht="12.75">
      <c r="L988" s="54"/>
    </row>
    <row r="989" spans="12:12" ht="12.75">
      <c r="L989" s="54"/>
    </row>
    <row r="990" spans="12:12" ht="12.75">
      <c r="L990" s="54"/>
    </row>
    <row r="991" spans="12:12" ht="12.75">
      <c r="L991" s="54"/>
    </row>
    <row r="992" spans="12:12" ht="12.75">
      <c r="L992" s="54"/>
    </row>
    <row r="993" spans="12:12" ht="12.75">
      <c r="L993" s="54"/>
    </row>
    <row r="994" spans="12:12" ht="12.75">
      <c r="L994" s="54"/>
    </row>
    <row r="995" spans="12:12" ht="12.75">
      <c r="L995" s="54"/>
    </row>
    <row r="996" spans="12:12" ht="12.75">
      <c r="L996" s="54"/>
    </row>
  </sheetData>
  <mergeCells count="31">
    <mergeCell ref="H15:H16"/>
    <mergeCell ref="I15:I16"/>
    <mergeCell ref="J15:J16"/>
    <mergeCell ref="K15:K16"/>
    <mergeCell ref="L15:L16"/>
    <mergeCell ref="A17:A18"/>
    <mergeCell ref="B17:B18"/>
    <mergeCell ref="E17:E18"/>
    <mergeCell ref="F17:F18"/>
    <mergeCell ref="G17:G18"/>
    <mergeCell ref="H17:H18"/>
    <mergeCell ref="I17:I18"/>
    <mergeCell ref="J17:J18"/>
    <mergeCell ref="A15:A16"/>
    <mergeCell ref="B15:B16"/>
    <mergeCell ref="E15:E16"/>
    <mergeCell ref="F15:F16"/>
    <mergeCell ref="G15:G16"/>
    <mergeCell ref="L10:L11"/>
    <mergeCell ref="C5:D5"/>
    <mergeCell ref="G5:H5"/>
    <mergeCell ref="I5:J5"/>
    <mergeCell ref="A10:A11"/>
    <mergeCell ref="B10:B11"/>
    <mergeCell ref="E10:E11"/>
    <mergeCell ref="F10:F11"/>
    <mergeCell ref="G10:G11"/>
    <mergeCell ref="H10:H11"/>
    <mergeCell ref="I10:I11"/>
    <mergeCell ref="J10:J11"/>
    <mergeCell ref="K10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Attendence</vt:lpstr>
      <vt:lpstr>Grace reasons</vt:lpstr>
      <vt:lpstr>IA MARKS</vt:lpstr>
      <vt:lpstr>workdone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2026-05-29T09:12:13Z</dcterms:modified>
</cp:coreProperties>
</file>