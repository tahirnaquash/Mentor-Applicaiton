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endance" sheetId="1" r:id="rId4"/>
    <sheet state="visible" name="Grace Attendance details" sheetId="2" r:id="rId5"/>
    <sheet state="visible" name="Work done sheet" sheetId="3" r:id="rId6"/>
    <sheet state="visible" name="IA Mark" sheetId="4" r:id="rId7"/>
    <sheet state="visible" name="Mentor Report" sheetId="5" r:id="rId8"/>
    <sheet state="visible" name="Mentor Report 1" sheetId="6" r:id="rId9"/>
    <sheet state="visible" name="Detain students" sheetId="7" r:id="rId10"/>
    <sheet state="hidden" name="50% - 74%" sheetId="8" r:id="rId11"/>
    <sheet state="hidden" name="&gt;74 -&lt;=84" sheetId="9" r:id="rId12"/>
    <sheet state="hidden" name="&gt;=85" sheetId="10" r:id="rId13"/>
  </sheets>
  <definedNames/>
  <calcPr/>
  <extLst>
    <ext uri="GoogleSheetsCustomDataVersion2">
      <go:sheetsCustomData xmlns:go="http://customooxmlschemas.google.com/" r:id="rId14" roundtripDataChecksum="CWuA/fGSEAGoLmotQLPkULcs1q6I+deSvRGSxIZ/BX0="/>
    </ext>
  </extLst>
</workbook>
</file>

<file path=xl/sharedStrings.xml><?xml version="1.0" encoding="utf-8"?>
<sst xmlns="http://schemas.openxmlformats.org/spreadsheetml/2006/main" count="1146" uniqueCount="461">
  <si>
    <t xml:space="preserve">HKBK/TL/022/2025-26 </t>
  </si>
  <si>
    <t xml:space="preserve">                                                        HKBK College of Engineering</t>
  </si>
  <si>
    <t xml:space="preserve">                                                               Department of Computer Science Engineering</t>
  </si>
  <si>
    <t xml:space="preserve">                                                                                                        STATEMENT OF ATTENDANCE                  </t>
  </si>
  <si>
    <t>Sem 4</t>
  </si>
  <si>
    <t xml:space="preserve">Section : D                     </t>
  </si>
  <si>
    <t>Till Date: 26 /05/26</t>
  </si>
  <si>
    <t>Sl No</t>
  </si>
  <si>
    <t>USN</t>
  </si>
  <si>
    <t>No of classes taken</t>
  </si>
  <si>
    <t>Avg</t>
  </si>
  <si>
    <t>Subject</t>
  </si>
  <si>
    <t>BCS401</t>
  </si>
  <si>
    <t xml:space="preserve">  BCS402</t>
  </si>
  <si>
    <t>BCS403</t>
  </si>
  <si>
    <t>BCS405A</t>
  </si>
  <si>
    <t>BCS456C</t>
  </si>
  <si>
    <t xml:space="preserve">BBOC407     </t>
  </si>
  <si>
    <t>BUHK408</t>
  </si>
  <si>
    <t>BCS402L</t>
  </si>
  <si>
    <t>BCSL404</t>
  </si>
  <si>
    <t>Name of student</t>
  </si>
  <si>
    <t>Atnd</t>
  </si>
  <si>
    <t>%</t>
  </si>
  <si>
    <t>1HK24CS173</t>
  </si>
  <si>
    <t>Naveed Ahmed Khan</t>
  </si>
  <si>
    <t>1HK24CS174</t>
  </si>
  <si>
    <t>Naveen B R</t>
  </si>
  <si>
    <t>1HK24CS175</t>
  </si>
  <si>
    <t>Naveen V</t>
  </si>
  <si>
    <t>1HK24CS176</t>
  </si>
  <si>
    <t>Naveen Kumar D</t>
  </si>
  <si>
    <t>1HK24CS177</t>
  </si>
  <si>
    <t>Nayana M</t>
  </si>
  <si>
    <t>1HK24CS178</t>
  </si>
  <si>
    <t>Nehel Fathima</t>
  </si>
  <si>
    <t>1HK24CS179</t>
  </si>
  <si>
    <t>Nihal M</t>
  </si>
  <si>
    <t>1HK24CS180</t>
  </si>
  <si>
    <t>Nikhil G P</t>
  </si>
  <si>
    <t>1HK24CS181</t>
  </si>
  <si>
    <t>Nikhil Kumar N</t>
  </si>
  <si>
    <t>1HK24CS182</t>
  </si>
  <si>
    <t>Niteesh Madhav Naik</t>
  </si>
  <si>
    <t>1HK24CS183</t>
  </si>
  <si>
    <t>Nitesh Madev Ambig</t>
  </si>
  <si>
    <t>1HK24CS184</t>
  </si>
  <si>
    <t>Niyamathulla P</t>
  </si>
  <si>
    <t>1HK24CS185</t>
  </si>
  <si>
    <t>Noushin Nisha K</t>
  </si>
  <si>
    <t>1HK24CS186</t>
  </si>
  <si>
    <t>Nuthan R</t>
  </si>
  <si>
    <t>1HK24CS187</t>
  </si>
  <si>
    <t>P C Pavithra</t>
  </si>
  <si>
    <t>1HK24CS188</t>
  </si>
  <si>
    <t>P M D Arshad</t>
  </si>
  <si>
    <t>1HK24CS189</t>
  </si>
  <si>
    <t>Pachipala Vaishnavi</t>
  </si>
  <si>
    <t>1HK24CS190</t>
  </si>
  <si>
    <t>Parvatreddy</t>
  </si>
  <si>
    <t>1HK24CS191</t>
  </si>
  <si>
    <t>Pavan Kumar Reddy A</t>
  </si>
  <si>
    <t>1HK24CS192</t>
  </si>
  <si>
    <t>Pavithra K S</t>
  </si>
  <si>
    <t>1HK24CS193</t>
  </si>
  <si>
    <t>Piyush R Jain</t>
  </si>
  <si>
    <t>1HK24CS194</t>
  </si>
  <si>
    <t>Ponnanna M B</t>
  </si>
  <si>
    <t>1HK24CS195</t>
  </si>
  <si>
    <t>Pooja Kumari Bam</t>
  </si>
  <si>
    <t>1HK24CS196</t>
  </si>
  <si>
    <t>Pradip Thapa</t>
  </si>
  <si>
    <t>1HK24CS198</t>
  </si>
  <si>
    <t>Prajwal M S</t>
  </si>
  <si>
    <t>1HK24CS199</t>
  </si>
  <si>
    <t>Prajwal Prakash Kamble</t>
  </si>
  <si>
    <t>1HK24CS200</t>
  </si>
  <si>
    <t>Prakruthi G</t>
  </si>
  <si>
    <t>1HK24CS201</t>
  </si>
  <si>
    <t>Prateek Sidram Satannavar</t>
  </si>
  <si>
    <t>1HK24CS203</t>
  </si>
  <si>
    <t>Pratik Nayak</t>
  </si>
  <si>
    <t>1HK24CS205</t>
  </si>
  <si>
    <t>Praveen Kumar Kabadagi</t>
  </si>
  <si>
    <t>1HK24CS206</t>
  </si>
  <si>
    <t>Preethi Das</t>
  </si>
  <si>
    <t>1HK24CS207</t>
  </si>
  <si>
    <t>Preeti Jeevanrao Patil</t>
  </si>
  <si>
    <t>1HK24CS208</t>
  </si>
  <si>
    <t>Priya M</t>
  </si>
  <si>
    <t>1HK24CS209</t>
  </si>
  <si>
    <t>Pruthviraj Singh</t>
  </si>
  <si>
    <t>1HK24CS210</t>
  </si>
  <si>
    <t>Raghul S</t>
  </si>
  <si>
    <t>1HK24CS211</t>
  </si>
  <si>
    <t>Rahul Chidanand Doddashivannavar</t>
  </si>
  <si>
    <t>1HK24CS212</t>
  </si>
  <si>
    <t>Rahul Kumar</t>
  </si>
  <si>
    <t>1HK24CS213</t>
  </si>
  <si>
    <t>Rahul Kumar Kushwaha</t>
  </si>
  <si>
    <t>1HK24CS214</t>
  </si>
  <si>
    <t>Raj David</t>
  </si>
  <si>
    <t>1HK24CS215</t>
  </si>
  <si>
    <t>Rana Mariam Assadi</t>
  </si>
  <si>
    <t>1HK24CS216</t>
  </si>
  <si>
    <t>Rashmi Shivanand Anjutagi</t>
  </si>
  <si>
    <t>1HK24CS217</t>
  </si>
  <si>
    <t>Rebecca Jyotsna B</t>
  </si>
  <si>
    <t>1HK24CS218</t>
  </si>
  <si>
    <t>Rehan Khan</t>
  </si>
  <si>
    <t>1HK24CS219</t>
  </si>
  <si>
    <t>Rihan S Choudhari</t>
  </si>
  <si>
    <t>1HK24CS220</t>
  </si>
  <si>
    <t>Rishi Narayan Singh</t>
  </si>
  <si>
    <t>1HK24CS221</t>
  </si>
  <si>
    <t>Rishon Roy</t>
  </si>
  <si>
    <t>1HK24CS222</t>
  </si>
  <si>
    <t>Ritesh Yadav</t>
  </si>
  <si>
    <t>1HK24CS223</t>
  </si>
  <si>
    <t>Rithin Karthik</t>
  </si>
  <si>
    <t>1HK24CS224</t>
  </si>
  <si>
    <t>Roopa G S</t>
  </si>
  <si>
    <t>1HK24CS225</t>
  </si>
  <si>
    <t>Roopa Mahadev Savadatti</t>
  </si>
  <si>
    <t>1HK24CS226</t>
  </si>
  <si>
    <t>Roshan Kumar</t>
  </si>
  <si>
    <t>1HK24CS227</t>
  </si>
  <si>
    <t>Rupesh</t>
  </si>
  <si>
    <t>1HK24CS229</t>
  </si>
  <si>
    <t>S Chranjeevi</t>
  </si>
  <si>
    <t>1HK24CS230</t>
  </si>
  <si>
    <t>Sabnam Sultana</t>
  </si>
  <si>
    <t>1HK24CS231</t>
  </si>
  <si>
    <t>Sadiya Sultana</t>
  </si>
  <si>
    <t>1HK24CS232</t>
  </si>
  <si>
    <t>Safa Khan</t>
  </si>
  <si>
    <t>1HK24CS294</t>
  </si>
  <si>
    <t>Tankashala Koushik</t>
  </si>
  <si>
    <t>SIGNATURE OF FACULTIES</t>
  </si>
  <si>
    <t>HT</t>
  </si>
  <si>
    <t>JJ</t>
  </si>
  <si>
    <t>LM</t>
  </si>
  <si>
    <t>AA</t>
  </si>
  <si>
    <t>SKJ</t>
  </si>
  <si>
    <t>SD</t>
  </si>
  <si>
    <t>US</t>
  </si>
  <si>
    <t xml:space="preserve">   Class Teacher Signature</t>
  </si>
  <si>
    <t>HOD Signature</t>
  </si>
  <si>
    <t>Principal Signature</t>
  </si>
  <si>
    <t>MC(10%)</t>
  </si>
  <si>
    <t>Other Coordinatership</t>
  </si>
  <si>
    <t>Summer exam</t>
  </si>
  <si>
    <t>28/04/26 to 30/04/26(MC) 5%</t>
  </si>
  <si>
    <t>Oracle(participation)26-03-26, 17/03/26(FOSS),Mental health program(6th April) 1/)05/26 to12/05/26(Hackathone)</t>
  </si>
  <si>
    <t>Oracle(participation)26-03-26, 17/03/26(FOSS),Mental health program(6th April), blood donation(30-03-26)</t>
  </si>
  <si>
    <t>Oracle(participation)26-03-26,Mental health program(6th April)</t>
  </si>
  <si>
    <t>27/04/26 to 30/04/26</t>
  </si>
  <si>
    <t>16-03-26 to 24-03-26(MC) 07/05/26 to 13/05/26(MC) 5%</t>
  </si>
  <si>
    <t>Oracle(participation)26-03-26, 17/03/26(FOSS)</t>
  </si>
  <si>
    <t>Oracle(participation)26-03-26</t>
  </si>
  <si>
    <t>11/05/26 to 12/05/26 (Hackthone)</t>
  </si>
  <si>
    <t>6/4/26 to 15/4/26 MC</t>
  </si>
  <si>
    <t>Oracle(participation)26-03-26, 17/03/26(FOSS),Mental health program(6th April) 11/)05/26 to12/05/26(Hackathone)</t>
  </si>
  <si>
    <t>Oracle(participation)26-03-26, 17/03/26 &amp;1-04-26(FOSS) 16/04/26,13/4/26(Football)</t>
  </si>
  <si>
    <t>Oracle(participation)26-03-26 ,11/05/26 to 12/05/26 (Hackthone)</t>
  </si>
  <si>
    <t>Oracle(participation)26-03-26,,Mental health program(6th April)</t>
  </si>
  <si>
    <t>11/05/26 to 15/05/26 MC</t>
  </si>
  <si>
    <t>30/04/26 to 05/05/26(MC) 5%</t>
  </si>
  <si>
    <t>Oracle(participation)26-03-26, Mental health program(6th April)</t>
  </si>
  <si>
    <t>15/04/26 to 16/04/26(Hackathone)</t>
  </si>
  <si>
    <t>2-3-26 to 12-3-26 (Dengue fever) MC 10%    28/4/26 to 23/05/26 (Jontis MC)</t>
  </si>
  <si>
    <t>17/03/26 (FOSS)</t>
  </si>
  <si>
    <t>24-3-26 to 26-03-26 MC 10%   27th April to 30th April</t>
  </si>
  <si>
    <t xml:space="preserve">17/03/26 (FOSS)  11th May to 12th may (Hackathone) 15th April to 16th April (Hackathone) </t>
  </si>
  <si>
    <t>Oracle(participation)26-03-26, 17/03/26(FOSS),Mental health program(6th April)  18th April to May 4th(sports pracice)  11/05/26 to 12/05/26 (Hackthone)</t>
  </si>
  <si>
    <t>Oracle(participation)26-03-26,12-03-26(VAC Anchoring),01-04-26(source lab-sudo execute) April 15 to 16,May11th to 12th,May 20th to 21st</t>
  </si>
  <si>
    <t>02-03-26 to 12-03-26(Typhoid)MC 10%</t>
  </si>
  <si>
    <t>11/03/26 to 27/03/26(MC)</t>
  </si>
  <si>
    <t>Oracle(participation)26-03-26,Source lab(01-04-26)   April 15 to April 16(Hackathone)</t>
  </si>
  <si>
    <t>02-03-26 to 06-03-26(MC )</t>
  </si>
  <si>
    <t>Oracle(participation)26-03-26, 17/03/26(FOSS),02/03/26 to 11/03/26 (Sports),Mental health program(6th April)</t>
  </si>
  <si>
    <t>Oracle(participation)26-03-26 11/05/26 to 12/05/26 (Hackthone)</t>
  </si>
  <si>
    <t>03-03-26 to 18-03-26(MC)</t>
  </si>
  <si>
    <t>April 1st to 8th April(UHV)</t>
  </si>
  <si>
    <t>HKBK/TL/022/2025-26</t>
  </si>
  <si>
    <r>
      <rPr>
        <rFont val="Times New Roman"/>
        <b/>
        <color theme="1"/>
        <sz val="20.0"/>
      </rPr>
      <t>HKBK College of Engineering</t>
    </r>
    <r>
      <rPr>
        <rFont val="Times New Roman"/>
        <b/>
        <color rgb="FF000000"/>
        <sz val="16.0"/>
      </rPr>
      <t xml:space="preserve">  </t>
    </r>
  </si>
  <si>
    <t xml:space="preserve">     Department of Computer Science and Engineering</t>
  </si>
  <si>
    <t>EVEN Semester</t>
  </si>
  <si>
    <t xml:space="preserve">          MONTHLY SYLLABUS COVERAGE AND CLASS-TAKEN REPORT</t>
  </si>
  <si>
    <t xml:space="preserve">AY-2025-2026           SEM: IV              Sec: D                          Student Strength: 57              AS ON       26-05-26                                                                                                                                                                 </t>
  </si>
  <si>
    <t xml:space="preserve">                                                                               </t>
  </si>
  <si>
    <t>#</t>
  </si>
  <si>
    <t>Subject code</t>
  </si>
  <si>
    <t>Batches</t>
  </si>
  <si>
    <t>No. Class</t>
  </si>
  <si>
    <t>Modules covered</t>
  </si>
  <si>
    <t>% of Syllabus covered</t>
  </si>
  <si>
    <t>No. of assignment</t>
  </si>
  <si>
    <t>No. of Activity / Others</t>
  </si>
  <si>
    <t>Name of faculty</t>
  </si>
  <si>
    <t>Signature</t>
  </si>
  <si>
    <t>Planned</t>
  </si>
  <si>
    <t>Taken</t>
  </si>
  <si>
    <t>Issued</t>
  </si>
  <si>
    <t>Valued</t>
  </si>
  <si>
    <t xml:space="preserve">BCS401        </t>
  </si>
  <si>
    <t>-</t>
  </si>
  <si>
    <t>Prof Husna Tabassum</t>
  </si>
  <si>
    <t xml:space="preserve">BCS402        </t>
  </si>
  <si>
    <t>Prof Jenita J</t>
  </si>
  <si>
    <t>Prof Lijimol K</t>
  </si>
  <si>
    <t>Prof Arif Ali</t>
  </si>
  <si>
    <t>Prof Shimja K J</t>
  </si>
  <si>
    <t xml:space="preserve">BBOC407 </t>
  </si>
  <si>
    <t>Dr Sujitha D</t>
  </si>
  <si>
    <t>Dr SD</t>
  </si>
  <si>
    <t>Prof Umme Salma</t>
  </si>
  <si>
    <t>11 Programs</t>
  </si>
  <si>
    <t>D1/D2</t>
  </si>
  <si>
    <t>12 Programs</t>
  </si>
  <si>
    <t>Observation by Class Teacher: Syllabus Covered as per the COE</t>
  </si>
  <si>
    <t>Observation by HOD:</t>
  </si>
  <si>
    <t>CLASS TEACHER</t>
  </si>
  <si>
    <t>HOD</t>
  </si>
  <si>
    <r>
      <rPr>
        <rFont val="Times New Roman"/>
        <b/>
        <color theme="1"/>
        <sz val="11.0"/>
      </rPr>
      <t xml:space="preserve">            Observation by Principal:</t>
    </r>
    <r>
      <rPr>
        <rFont val="Times New Roman"/>
        <b/>
        <color theme="1"/>
        <sz val="12.0"/>
      </rPr>
      <t xml:space="preserve"> </t>
    </r>
  </si>
  <si>
    <t>PRINCIPAL</t>
  </si>
  <si>
    <t xml:space="preserve">                                                                                                                     </t>
  </si>
  <si>
    <t>P</t>
  </si>
  <si>
    <t xml:space="preserve">    HKBK College of Engineering                                                                                                             </t>
  </si>
  <si>
    <t xml:space="preserve">Nagawara, Bengaluru-560045                   </t>
  </si>
  <si>
    <t>Department of Computer Science and Engineering</t>
  </si>
  <si>
    <t xml:space="preserve">                                         AY-2023-24</t>
  </si>
  <si>
    <t xml:space="preserve">AY 2025-26  </t>
  </si>
  <si>
    <t xml:space="preserve">                                                      CONSOLIDATED STATEMENT OF SECOND IA MARKS                                                                  </t>
  </si>
  <si>
    <t xml:space="preserve">        Sem IV/ODD </t>
  </si>
  <si>
    <t>SEC: D</t>
  </si>
  <si>
    <t>Sno</t>
  </si>
  <si>
    <t>Name</t>
  </si>
  <si>
    <t xml:space="preserve">BCS403        </t>
  </si>
  <si>
    <t xml:space="preserve">BCS405A        </t>
  </si>
  <si>
    <t>BBOC407</t>
  </si>
  <si>
    <t>#of Subs &lt; 50% of IA</t>
  </si>
  <si>
    <t>Max 50</t>
  </si>
  <si>
    <t>AB</t>
  </si>
  <si>
    <t xml:space="preserve">AB </t>
  </si>
  <si>
    <t>No of Students Present</t>
  </si>
  <si>
    <t>No of Students Absent</t>
  </si>
  <si>
    <t>No of Students secured less than Passing Mark</t>
  </si>
  <si>
    <t xml:space="preserve">  Signature of Class Teacher</t>
  </si>
  <si>
    <t xml:space="preserve">     Signature of HOD</t>
  </si>
  <si>
    <t xml:space="preserve">     Signature of Principal</t>
  </si>
  <si>
    <t xml:space="preserve">         </t>
  </si>
  <si>
    <t>HKBK/TL/022/2024-25</t>
  </si>
  <si>
    <t xml:space="preserve"> HKBK College of Engineering</t>
  </si>
  <si>
    <t>STATEMENT OF ATTENDANCE &lt;75% (Before IA-1) MENTOR REPORT</t>
  </si>
  <si>
    <t>AY-2025-26 Second YEAR SEM &amp; SEC - 4D</t>
  </si>
  <si>
    <t>Name of the Student</t>
  </si>
  <si>
    <t>Attendenace Average</t>
  </si>
  <si>
    <t>Mentor Name</t>
  </si>
  <si>
    <t>Reason</t>
  </si>
  <si>
    <t>At the start of the sem, he had fever and then he had to attend a weddung . He has assured that he will be attending regular classes in the forthcoming days.</t>
  </si>
  <si>
    <t>He has gone to his village in the first week of the semester. He will be regular to the classes hereon.</t>
  </si>
  <si>
    <t>She was fasting in the initial days of the semester and felt tired so she could not attend the class.</t>
  </si>
  <si>
    <t>He had blood infection and so he was under medication.</t>
  </si>
  <si>
    <t>He was attending mental health awareness event and so he was unable to attend the class.</t>
  </si>
  <si>
    <t>He had Viral fever and so he could not attend the class.</t>
  </si>
  <si>
    <t>He had back pain and he had to go for scan and so he was unable to attend classes.</t>
  </si>
  <si>
    <t>His grandmother was serious so he could not attend classes at the start of the semester.</t>
  </si>
  <si>
    <t>Prof Ariff Ali</t>
  </si>
  <si>
    <t xml:space="preserve">He had some health issues and also he had participated in some events maybe he didn't get mark present ....I said him to approach the respective teachers and convey your reason for irregular </t>
  </si>
  <si>
    <t>I spoke to her due to ill health she missed few classes ...she is a good student only</t>
  </si>
  <si>
    <t xml:space="preserve">I spoke to him and even informed his mother about his irregularity....due to health issues he didn't come initial classes ....and he assured that here on he will be regularly </t>
  </si>
  <si>
    <t>Due to some legal f/amily issues he is not coming regularly from 1st sem but I informed him if he going to miss few more classes he might be detained</t>
  </si>
  <si>
    <t xml:space="preserve">Had health issues....I have informed to be regular otherwise he will be penalized </t>
  </si>
  <si>
    <t>He had a Jaundice and got a permission letter signed from hod ma'am....he assured he will be regular now on</t>
  </si>
  <si>
    <t>Prof Subhatra</t>
  </si>
  <si>
    <t xml:space="preserve">not well...he will be regular hereafter </t>
  </si>
  <si>
    <t>Prof Krshna Meena</t>
  </si>
  <si>
    <t>Spoke to his father who said he will make sure that he will attend from now on .
Also informed him that he is repeating the same as the previous semester and if 
continued will be detained .</t>
  </si>
  <si>
    <t>Class Teacher</t>
  </si>
  <si>
    <t>HOD-CSE</t>
  </si>
  <si>
    <t>Prof Jenita</t>
  </si>
  <si>
    <t>Prof. Ariff Ali</t>
  </si>
  <si>
    <t>He had health issues so missed few classes....</t>
  </si>
  <si>
    <t>He was suffering from jaundice</t>
  </si>
  <si>
    <t>She was ill....so she didn't attend few classes...</t>
  </si>
  <si>
    <t>Participated in some college events</t>
  </si>
  <si>
    <t>Prof. Shubatra</t>
  </si>
  <si>
    <t xml:space="preserve">spoked to his parents to make him attend all classes regularly </t>
  </si>
  <si>
    <t>regularly attending</t>
  </si>
  <si>
    <t xml:space="preserve">regular in academics </t>
  </si>
  <si>
    <t xml:space="preserve">regularly attending </t>
  </si>
  <si>
    <t>HKBK College of Engineering</t>
  </si>
  <si>
    <t>STATEMENT OF ATTENDANCE &lt;50%  MENTOR REPORT(Likely to be detained)</t>
  </si>
  <si>
    <t>AY-2025-26                Second YEAR               SEM &amp; SEC - 3D</t>
  </si>
  <si>
    <t>SL No</t>
  </si>
  <si>
    <t>NAME</t>
  </si>
  <si>
    <t>Mobile No</t>
  </si>
  <si>
    <t>Avg Attendance</t>
  </si>
  <si>
    <t>CT Comment</t>
  </si>
  <si>
    <t>Mentor</t>
  </si>
  <si>
    <t>Mentor Comment</t>
  </si>
  <si>
    <t>Year Wise Coordinator Comment</t>
  </si>
  <si>
    <t>Councellor Comment</t>
  </si>
  <si>
    <t>He is very irregular in attending classes and did not appear for the first Internal Assessment (IA). In the previous semester, he also had a shortage of attendance and is repeating the same pattern this semester. Additionally, he had backlogs in the last semester. He needs to improve his attendance and academic commitment to avoid further academic issues.</t>
  </si>
  <si>
    <t>He has been irregular to the classes so I called him and his father  to know the reason....he has some property court hearing for which he has to attend whenever the court call for hearing itseems and even the student sent the proof of this.....I spoke to his father also and told him whatever the reason might be but if he be irregular very often then he falls under detain list so kindly talk in person with hod ma'am....They said they will come and talk directly to hod ma'am regarding this...</t>
  </si>
  <si>
    <t>He is very irregular in attending classes. Although he participates in many sports programs and has submitted the necessary proof, his attendance is still very low. He also frequently takes leave for sports practice. However, his academic performance is satisfactory and not poor.</t>
  </si>
  <si>
    <t>Pro Subhatra</t>
  </si>
  <si>
    <t>Principal</t>
  </si>
  <si>
    <t>HKBK/TL/022/2022-23</t>
  </si>
  <si>
    <t>Department of Computer Science Engineering</t>
  </si>
  <si>
    <t xml:space="preserve">STATEMENT OF ATTENDANCE                  </t>
  </si>
  <si>
    <t xml:space="preserve">AY-2022-23             </t>
  </si>
  <si>
    <t>Till Date:  28/06/23</t>
  </si>
  <si>
    <t>Semester: II</t>
  </si>
  <si>
    <t>Section : F</t>
  </si>
  <si>
    <t>IA 1</t>
  </si>
  <si>
    <t>50% -74%</t>
  </si>
  <si>
    <t>BMATS201</t>
  </si>
  <si>
    <t xml:space="preserve">  BCHES202</t>
  </si>
  <si>
    <t>BCED203</t>
  </si>
  <si>
    <t>BESCK204B</t>
  </si>
  <si>
    <t>BPLCK205B</t>
  </si>
  <si>
    <t xml:space="preserve">BPWSK206 </t>
  </si>
  <si>
    <t>BKSKK207/BKBKK207</t>
  </si>
  <si>
    <t>BKIDTK258</t>
  </si>
  <si>
    <t>BMATS201P</t>
  </si>
  <si>
    <t>BCHES202P</t>
  </si>
  <si>
    <t>BPLCK205BP</t>
  </si>
  <si>
    <t>1HK22CS003</t>
  </si>
  <si>
    <t>ABHAY VIJAY</t>
  </si>
  <si>
    <t>1HK22CS004</t>
  </si>
  <si>
    <t>ABHINAV NARAYANAN</t>
  </si>
  <si>
    <t>1HK22CS013</t>
  </si>
  <si>
    <t>ALFIYA REHMAN</t>
  </si>
  <si>
    <t>1HK22CS014</t>
  </si>
  <si>
    <t>AMAL MUHAMMED</t>
  </si>
  <si>
    <t>1HK22CS016</t>
  </si>
  <si>
    <t>ANANYA RAMACHANDRA NAIK</t>
  </si>
  <si>
    <t>1HK22CS017</t>
  </si>
  <si>
    <t>ANKIT SHAMUWEL AKHADE</t>
  </si>
  <si>
    <t>1HK22CS023</t>
  </si>
  <si>
    <t>AWAID CHANDRA M</t>
  </si>
  <si>
    <t>1HK22CS025</t>
  </si>
  <si>
    <t>B RADHA</t>
  </si>
  <si>
    <t>1HK22CS036</t>
  </si>
  <si>
    <t>D PRASANNA KUMAR NADAGOUDA</t>
  </si>
  <si>
    <t>1HK22CS045</t>
  </si>
  <si>
    <t>HARSH TEBRIWAL</t>
  </si>
  <si>
    <t>1HK22CS062</t>
  </si>
  <si>
    <t>LAVANYA G L</t>
  </si>
  <si>
    <t>SL</t>
  </si>
  <si>
    <t>DVG</t>
  </si>
  <si>
    <t>YP</t>
  </si>
  <si>
    <t>YMR</t>
  </si>
  <si>
    <t>PC</t>
  </si>
  <si>
    <t>KN/MP</t>
  </si>
  <si>
    <t>Class Teacher Signature</t>
  </si>
  <si>
    <t>74% -84%</t>
  </si>
  <si>
    <t>1HK22CS005</t>
  </si>
  <si>
    <t>ABHISHEK MOHANTY</t>
  </si>
  <si>
    <t>1HK22CS015</t>
  </si>
  <si>
    <t>AMRA FIRDOSE SHAIKH</t>
  </si>
  <si>
    <t>1HK22CS021</t>
  </si>
  <si>
    <t>ASHWINI</t>
  </si>
  <si>
    <t>1HK22CS031</t>
  </si>
  <si>
    <t>CHAITRA B</t>
  </si>
  <si>
    <t>1HK22CS037</t>
  </si>
  <si>
    <t>DHANUSH C G</t>
  </si>
  <si>
    <t>1HK22CS039</t>
  </si>
  <si>
    <t>ESHRATHA AZIZ</t>
  </si>
  <si>
    <t>1HK22CS044</t>
  </si>
  <si>
    <t>GOKUL E</t>
  </si>
  <si>
    <t>1HK22CS046</t>
  </si>
  <si>
    <t>HARSHITHA S</t>
  </si>
  <si>
    <t>1HK22CS047</t>
  </si>
  <si>
    <t>HIMANSHISHARMA</t>
  </si>
  <si>
    <t>1HK22CS049</t>
  </si>
  <si>
    <t>IBAD KHAN SOUDAGAR</t>
  </si>
  <si>
    <t>1HK22CS050</t>
  </si>
  <si>
    <t>IFRA MAHIN</t>
  </si>
  <si>
    <t>1HK22CS054</t>
  </si>
  <si>
    <t>JAYANTH KISHORE</t>
  </si>
  <si>
    <t>1HK22CS060</t>
  </si>
  <si>
    <t>KIRAN</t>
  </si>
  <si>
    <t>1HK22CS063</t>
  </si>
  <si>
    <t>LIKITHA M B</t>
  </si>
  <si>
    <t>&gt;=85%</t>
  </si>
  <si>
    <t>5,4,4</t>
  </si>
  <si>
    <t>4,5,5</t>
  </si>
  <si>
    <t>5,5,5</t>
  </si>
  <si>
    <t>1HK22CS002</t>
  </si>
  <si>
    <t>AAMIL JAMAL</t>
  </si>
  <si>
    <t>1HK22CS006</t>
  </si>
  <si>
    <t>ADEEBA ANJUM G</t>
  </si>
  <si>
    <t>1HK22CS007</t>
  </si>
  <si>
    <t>ADEEBA HADIS</t>
  </si>
  <si>
    <t>1HK22CS008</t>
  </si>
  <si>
    <t>ADVAITH DINESAN PUDUSSERY</t>
  </si>
  <si>
    <t>1HK22CS009</t>
  </si>
  <si>
    <t>AKASH MORE</t>
  </si>
  <si>
    <t>1HK22CS010</t>
  </si>
  <si>
    <t>AKSHAY B M</t>
  </si>
  <si>
    <t>1HK22CS012</t>
  </si>
  <si>
    <t>ALEN ROY</t>
  </si>
  <si>
    <t>1HK22CS018</t>
  </si>
  <si>
    <t>ANUSHA KULKARNI</t>
  </si>
  <si>
    <t>1HK22CS019</t>
  </si>
  <si>
    <t>ANUSHREE A KADWADKAR</t>
  </si>
  <si>
    <t>1HK22CS020</t>
  </si>
  <si>
    <t>APEKSHA JAYAPPA NAIK</t>
  </si>
  <si>
    <t>1HK22CS022</t>
  </si>
  <si>
    <t>ASWITHA V</t>
  </si>
  <si>
    <t>1HK22CS024</t>
  </si>
  <si>
    <t>B MOHAMMED MATHEEN</t>
  </si>
  <si>
    <t>1HK22CS026</t>
  </si>
  <si>
    <t>B BALASUBRAMANI</t>
  </si>
  <si>
    <t>1HK22CS027</t>
  </si>
  <si>
    <t>BETINA BIJU</t>
  </si>
  <si>
    <t>1HK22CS028</t>
  </si>
  <si>
    <t>BHARATH H</t>
  </si>
  <si>
    <t>1HK22CS029</t>
  </si>
  <si>
    <t>C H DHANYA</t>
  </si>
  <si>
    <t>1HK22CS030</t>
  </si>
  <si>
    <t>CHAITRA</t>
  </si>
  <si>
    <t>1HK22CS032</t>
  </si>
  <si>
    <t>CHANDANA P V</t>
  </si>
  <si>
    <t>1HK22CS033</t>
  </si>
  <si>
    <t>CHANDRA NAIK H</t>
  </si>
  <si>
    <t>1HK22CS034</t>
  </si>
  <si>
    <t>CHANNAKESHAVA D L</t>
  </si>
  <si>
    <t>1HK22CS035</t>
  </si>
  <si>
    <t>CHETHAN KUMAR K B</t>
  </si>
  <si>
    <t>1HK22CS038</t>
  </si>
  <si>
    <t>DOKE NISHANT MACHINDRA</t>
  </si>
  <si>
    <t>1HK22CS041</t>
  </si>
  <si>
    <t>FASIHA REHAMAN</t>
  </si>
  <si>
    <t>1HK22CS042</t>
  </si>
  <si>
    <t>GAGAN S</t>
  </si>
  <si>
    <t>1HK22CS043</t>
  </si>
  <si>
    <t>GANESH</t>
  </si>
  <si>
    <t>1HK22CS048</t>
  </si>
  <si>
    <t xml:space="preserve">I GEO SELCIYA </t>
  </si>
  <si>
    <t>1HK22CS051</t>
  </si>
  <si>
    <t>IHSAN RAFEEQUE SAINUDHEEN</t>
  </si>
  <si>
    <t>1HK22CS052</t>
  </si>
  <si>
    <t>JANANI A</t>
  </si>
  <si>
    <t>1HK22CS053</t>
  </si>
  <si>
    <t>JAUHAR MOHAMMED PARAPPU</t>
  </si>
  <si>
    <t>1HK22CS055</t>
  </si>
  <si>
    <t>JITHIN P JOJI</t>
  </si>
  <si>
    <t>1HK22CS056</t>
  </si>
  <si>
    <t>JUNAID PASHA</t>
  </si>
  <si>
    <t>1HK22CS057</t>
  </si>
  <si>
    <t>K AYESHA</t>
  </si>
  <si>
    <t>1HK22CS058</t>
  </si>
  <si>
    <t>K S SANTOSH</t>
  </si>
  <si>
    <t>1HK22CS059</t>
  </si>
  <si>
    <t>KAVYA M</t>
  </si>
  <si>
    <t>1HK22CS061</t>
  </si>
  <si>
    <t>KUSHAL M 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</si>
</sst>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58">
    <font>
      <sz val="10.0"/>
      <color rgb="FF000000"/>
      <name val="Arial"/>
      <scheme val="minor"/>
    </font>
    <font>
      <sz val="9.0"/>
      <color rgb="FF000000"/>
      <name val="Times New Roman"/>
    </font>
    <font>
      <b/>
      <sz val="9.0"/>
      <color theme="1"/>
      <name val="Times New Roman"/>
    </font>
    <font/>
    <font>
      <b/>
      <sz val="18.0"/>
      <color rgb="FF000000"/>
      <name val="Times New Roman"/>
    </font>
    <font>
      <b/>
      <sz val="14.0"/>
      <color rgb="FF000000"/>
      <name val="Times New Roman"/>
    </font>
    <font>
      <b/>
      <sz val="11.0"/>
      <color rgb="FF000000"/>
      <name val="Times New Roman"/>
    </font>
    <font>
      <sz val="9.0"/>
      <color rgb="FF000000"/>
      <name val="Calibri"/>
    </font>
    <font>
      <sz val="9.0"/>
      <color rgb="FF000000"/>
      <name val="Arial"/>
    </font>
    <font>
      <b/>
      <sz val="9.0"/>
      <color rgb="FF000000"/>
      <name val="Times New Roman"/>
    </font>
    <font>
      <b/>
      <sz val="10.0"/>
      <color theme="1"/>
      <name val="Times New Roman"/>
    </font>
    <font>
      <b/>
      <sz val="10.0"/>
      <color rgb="FF000000"/>
      <name val="Times New Roman"/>
    </font>
    <font>
      <b/>
      <sz val="12.0"/>
      <color rgb="FF000000"/>
      <name val="Times New Roman"/>
    </font>
    <font>
      <b/>
      <sz val="9.0"/>
      <color rgb="FF000000"/>
      <name val="Calibri"/>
    </font>
    <font>
      <b/>
      <u/>
      <sz val="9.0"/>
      <color rgb="FF000000"/>
      <name val="Times New Roman"/>
    </font>
    <font>
      <b/>
      <u/>
      <sz val="9.0"/>
      <color rgb="FF000000"/>
      <name val="Times New Roman"/>
    </font>
    <font>
      <sz val="10.0"/>
      <color rgb="FF000000"/>
      <name val="Times New Roman"/>
    </font>
    <font>
      <sz val="12.0"/>
      <color theme="1"/>
      <name val="Times New Roman"/>
    </font>
    <font>
      <sz val="10.0"/>
      <color theme="1"/>
      <name val="Times New Roman"/>
    </font>
    <font>
      <sz val="8.0"/>
      <color rgb="FF000000"/>
      <name val="Arial"/>
    </font>
    <font>
      <b/>
      <sz val="11.0"/>
      <color theme="1"/>
      <name val="Times New Roman"/>
    </font>
    <font>
      <b/>
      <color theme="1"/>
      <name val="Arial"/>
    </font>
    <font>
      <color theme="1"/>
      <name val="Arial"/>
    </font>
    <font>
      <sz val="10.0"/>
      <color theme="1"/>
      <name val="Arial"/>
    </font>
    <font>
      <b/>
      <sz val="20.0"/>
      <color theme="1"/>
      <name val="Times New Roman"/>
    </font>
    <font>
      <sz val="16.0"/>
      <color theme="1"/>
      <name val="Times New Roman"/>
    </font>
    <font>
      <sz val="11.0"/>
      <color theme="1"/>
      <name val="Times New Roman"/>
    </font>
    <font>
      <b/>
      <sz val="12.0"/>
      <color theme="1"/>
      <name val="Times New Roman"/>
    </font>
    <font>
      <sz val="10.0"/>
      <color theme="1"/>
      <name val="Calibri"/>
    </font>
    <font>
      <b/>
      <sz val="18.0"/>
      <color theme="1"/>
      <name val="Times New Roman"/>
    </font>
    <font>
      <b/>
      <sz val="10.0"/>
      <color theme="1"/>
      <name val="Arial"/>
    </font>
    <font>
      <sz val="11.0"/>
      <color rgb="FF000000"/>
      <name val="Arial"/>
    </font>
    <font>
      <sz val="11.0"/>
      <color rgb="FF000000"/>
      <name val="Bahnschrift"/>
    </font>
    <font>
      <color rgb="FF000000"/>
      <name val="Arial"/>
    </font>
    <font>
      <b/>
      <sz val="17.0"/>
      <color rgb="FF000000"/>
      <name val="Calibri"/>
    </font>
    <font>
      <b/>
      <sz val="19.0"/>
      <color rgb="FF000000"/>
      <name val="Times New Roman"/>
    </font>
    <font>
      <b/>
      <sz val="17.0"/>
      <color rgb="FF000000"/>
      <name val="Times New Roman"/>
    </font>
    <font>
      <b/>
      <sz val="13.0"/>
      <color rgb="FF000000"/>
      <name val="Times New Roman"/>
    </font>
    <font>
      <sz val="14.0"/>
      <color rgb="FF000000"/>
      <name val="Times New Roman"/>
    </font>
    <font>
      <sz val="12.0"/>
      <color rgb="FF000000"/>
      <name val="Times New Roman"/>
    </font>
    <font>
      <color rgb="FF000000"/>
      <name val="Times New Roman"/>
    </font>
    <font>
      <sz val="13.0"/>
      <color rgb="FF000000"/>
      <name val="Times New Roman"/>
    </font>
    <font>
      <b/>
      <sz val="12.0"/>
      <color rgb="FF000000"/>
      <name val="Arial"/>
    </font>
    <font>
      <b/>
      <color rgb="FF000000"/>
      <name val="Arial"/>
    </font>
    <font>
      <b/>
      <color rgb="FF000000"/>
      <name val="Times New Roman"/>
    </font>
    <font>
      <b/>
      <sz val="17.0"/>
      <color theme="1"/>
      <name val="Times New Roman"/>
    </font>
    <font>
      <b/>
      <sz val="13.0"/>
      <color theme="1"/>
      <name val="Times New Roman"/>
    </font>
    <font>
      <sz val="12.0"/>
      <color rgb="FF434343"/>
      <name val="Times New Roman"/>
    </font>
    <font>
      <color theme="1"/>
      <name val="Times New Roman"/>
    </font>
    <font>
      <sz val="12.0"/>
      <color rgb="FF000000"/>
      <name val="&quot;Times New Roman&quot;"/>
    </font>
    <font>
      <color theme="1"/>
      <name val="Arial"/>
      <scheme val="minor"/>
    </font>
    <font>
      <sz val="11.0"/>
      <color rgb="FF000000"/>
      <name val="Calibri"/>
    </font>
    <font>
      <u/>
      <sz val="11.0"/>
      <color rgb="FF000000"/>
      <name val="Times New Roman"/>
    </font>
    <font>
      <sz val="11.0"/>
      <color rgb="FF000000"/>
      <name val="Times New Roman"/>
    </font>
    <font>
      <sz val="9.0"/>
      <color rgb="FF000000"/>
      <name val="&quot;lohit kannada&quot;"/>
    </font>
    <font>
      <b/>
      <sz val="9.0"/>
      <color rgb="FF000000"/>
      <name val="Arial"/>
    </font>
    <font>
      <b/>
      <u/>
      <sz val="9.0"/>
      <color rgb="FF000000"/>
      <name val="Times New Roman"/>
    </font>
    <font>
      <sz val="9.0"/>
      <color theme="1"/>
      <name val="Times New Roman"/>
    </font>
  </fonts>
  <fills count="10">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B7B7B7"/>
        <bgColor rgb="FFB7B7B7"/>
      </patternFill>
    </fill>
    <fill>
      <patternFill patternType="solid">
        <fgColor rgb="FFFFE599"/>
        <bgColor rgb="FFFFE599"/>
      </patternFill>
    </fill>
    <fill>
      <patternFill patternType="solid">
        <fgColor rgb="FFF2F2F2"/>
        <bgColor rgb="FFF2F2F2"/>
      </patternFill>
    </fill>
    <fill>
      <patternFill patternType="solid">
        <fgColor rgb="FFFFFF00"/>
        <bgColor rgb="FFFFFF00"/>
      </patternFill>
    </fill>
    <fill>
      <patternFill patternType="solid">
        <fgColor rgb="FFCC4125"/>
        <bgColor rgb="FFCC4125"/>
      </patternFill>
    </fill>
    <fill>
      <patternFill patternType="solid">
        <fgColor rgb="FFF8F9FA"/>
        <bgColor rgb="FFF8F9FA"/>
      </patternFill>
    </fill>
  </fills>
  <borders count="4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rder>
    <border>
      <left/>
      <right/>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000000"/>
      </top>
      <bottom style="medium">
        <color rgb="FF000000"/>
      </bottom>
    </border>
    <border>
      <bottom style="thin">
        <color rgb="FF000000"/>
      </bottom>
    </border>
    <border>
      <left style="thin">
        <color rgb="FF000000"/>
      </left>
      <top/>
      <bottom style="thin">
        <color rgb="FF000000"/>
      </bottom>
    </border>
    <border>
      <right style="thin">
        <color rgb="FF000000"/>
      </right>
      <top/>
      <bottom style="thin">
        <color rgb="FF000000"/>
      </bottom>
    </border>
    <border>
      <left style="medium">
        <color rgb="FF000000"/>
      </left>
      <right/>
      <top/>
      <bottom/>
    </border>
    <border>
      <left style="thin">
        <color rgb="FF000000"/>
      </left>
      <right/>
      <top/>
      <bottom/>
    </border>
    <border>
      <left style="medium">
        <color rgb="FF000000"/>
      </left>
      <right style="medium">
        <color rgb="FF000000"/>
      </right>
      <top/>
      <bottom style="medium">
        <color rgb="FF000000"/>
      </bottom>
    </border>
    <border>
      <left/>
      <right/>
      <top/>
      <bottom style="medium">
        <color rgb="FF000000"/>
      </bottom>
    </border>
    <border>
      <right style="medium">
        <color rgb="FF000000"/>
      </right>
    </border>
    <border>
      <left style="medium">
        <color rgb="FF000000"/>
      </left>
      <right/>
      <top/>
      <bottom style="medium">
        <color rgb="FF000000"/>
      </bottom>
    </border>
    <border>
      <left/>
      <right/>
      <top style="medium">
        <color rgb="FF000000"/>
      </top>
      <bottom style="medium">
        <color rgb="FF000000"/>
      </bottom>
    </border>
    <border>
      <left style="medium">
        <color rgb="FF000000"/>
      </left>
      <right style="medium">
        <color rgb="FF000000"/>
      </right>
      <top/>
      <bottom/>
    </border>
  </borders>
  <cellStyleXfs count="1">
    <xf borderId="0" fillId="0" fontId="0" numFmtId="0" applyAlignment="1" applyFont="1"/>
  </cellStyleXfs>
  <cellXfs count="327">
    <xf borderId="0" fillId="0" fontId="0" numFmtId="0" xfId="0" applyAlignment="1" applyFont="1">
      <alignment readingOrder="0" shrinkToFit="0" vertical="center" wrapText="0"/>
    </xf>
    <xf borderId="0" fillId="0" fontId="1" numFmtId="0" xfId="0" applyAlignment="1" applyFont="1">
      <alignment horizontal="left" vertical="top"/>
    </xf>
    <xf borderId="0" fillId="0" fontId="1" numFmtId="0" xfId="0" applyAlignment="1" applyFont="1">
      <alignment horizontal="left" vertical="bottom"/>
    </xf>
    <xf borderId="1" fillId="0" fontId="2" numFmtId="1" xfId="0" applyAlignment="1" applyBorder="1" applyFont="1" applyNumberFormat="1">
      <alignment vertical="top"/>
    </xf>
    <xf borderId="2" fillId="0" fontId="3" numFmtId="0" xfId="0" applyAlignment="1" applyBorder="1" applyFont="1">
      <alignment vertical="center"/>
    </xf>
    <xf borderId="3" fillId="0" fontId="3" numFmtId="0" xfId="0" applyAlignment="1" applyBorder="1" applyFont="1">
      <alignment vertical="center"/>
    </xf>
    <xf borderId="0" fillId="0" fontId="2" numFmtId="1" xfId="0" applyAlignment="1" applyFont="1" applyNumberFormat="1">
      <alignment vertical="top"/>
    </xf>
    <xf borderId="0" fillId="0" fontId="4" numFmtId="0" xfId="0" applyAlignment="1" applyFont="1">
      <alignment horizontal="left" shrinkToFit="0" vertical="bottom" wrapText="1"/>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4" fillId="2" fontId="7" numFmtId="3" xfId="0" applyAlignment="1" applyBorder="1" applyFill="1" applyFont="1" applyNumberFormat="1">
      <alignment vertical="bottom"/>
    </xf>
    <xf borderId="0" fillId="0" fontId="8" numFmtId="0" xfId="0" applyAlignment="1" applyFont="1">
      <alignment vertical="bottom"/>
    </xf>
    <xf borderId="0" fillId="0" fontId="9" numFmtId="0" xfId="0" applyAlignment="1" applyFont="1">
      <alignment vertical="bottom"/>
    </xf>
    <xf borderId="0" fillId="0" fontId="6" numFmtId="0" xfId="0" applyAlignment="1" applyFont="1">
      <alignment vertical="center"/>
    </xf>
    <xf borderId="0" fillId="0" fontId="10" numFmtId="0" xfId="0" applyAlignment="1" applyFont="1">
      <alignment readingOrder="0" vertical="bottom"/>
    </xf>
    <xf borderId="0" fillId="0" fontId="9" numFmtId="0" xfId="0" applyAlignment="1" applyFont="1">
      <alignment horizontal="center" vertical="top"/>
    </xf>
    <xf borderId="5" fillId="0" fontId="11" numFmtId="0" xfId="0" applyAlignment="1" applyBorder="1" applyFont="1">
      <alignment horizontal="center" vertical="center"/>
    </xf>
    <xf borderId="6" fillId="0" fontId="12" numFmtId="0" xfId="0" applyAlignment="1" applyBorder="1" applyFont="1">
      <alignment horizontal="left" vertical="bottom"/>
    </xf>
    <xf borderId="2" fillId="0" fontId="13" numFmtId="0" xfId="0" applyAlignment="1" applyBorder="1" applyFont="1">
      <alignment horizontal="center" readingOrder="0" vertical="bottom"/>
    </xf>
    <xf borderId="1" fillId="0" fontId="13" numFmtId="0" xfId="0" applyAlignment="1" applyBorder="1" applyFont="1">
      <alignment horizontal="center" readingOrder="0" vertical="bottom"/>
    </xf>
    <xf borderId="1" fillId="0" fontId="13" numFmtId="164" xfId="0" applyAlignment="1" applyBorder="1" applyFont="1" applyNumberFormat="1">
      <alignment horizontal="center" readingOrder="0" vertical="bottom"/>
    </xf>
    <xf borderId="7" fillId="0" fontId="14" numFmtId="164" xfId="0" applyAlignment="1" applyBorder="1" applyFont="1" applyNumberFormat="1">
      <alignment horizontal="center" readingOrder="0" vertical="center"/>
    </xf>
    <xf borderId="8" fillId="0" fontId="3" numFmtId="0" xfId="0" applyAlignment="1" applyBorder="1" applyFont="1">
      <alignment vertical="center"/>
    </xf>
    <xf borderId="5" fillId="0" fontId="15" numFmtId="0" xfId="0" applyAlignment="1" applyBorder="1" applyFont="1">
      <alignment horizontal="center" vertical="center"/>
    </xf>
    <xf borderId="9" fillId="0" fontId="11" numFmtId="0" xfId="0" applyAlignment="1" applyBorder="1" applyFont="1">
      <alignment horizontal="center" vertical="center"/>
    </xf>
    <xf borderId="2"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9" fillId="0" fontId="3" numFmtId="0" xfId="0" applyAlignment="1" applyBorder="1" applyFont="1">
      <alignment vertical="center"/>
    </xf>
    <xf borderId="5" fillId="0" fontId="12" numFmtId="0" xfId="0" applyAlignment="1" applyBorder="1" applyFont="1">
      <alignment horizontal="left" vertical="bottom"/>
    </xf>
    <xf borderId="8" fillId="0" fontId="9" numFmtId="0" xfId="0" applyAlignment="1" applyBorder="1" applyFont="1">
      <alignment horizontal="center" vertical="center"/>
    </xf>
    <xf borderId="5" fillId="0" fontId="9" numFmtId="0" xfId="0" applyAlignment="1" applyBorder="1" applyFont="1">
      <alignment horizontal="center" vertical="center"/>
    </xf>
    <xf borderId="5" fillId="3" fontId="9" numFmtId="0" xfId="0" applyAlignment="1" applyBorder="1" applyFill="1" applyFont="1">
      <alignment horizontal="center" vertical="center"/>
    </xf>
    <xf borderId="10" fillId="0" fontId="11"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6" fillId="2" fontId="16" numFmtId="0" xfId="0" applyAlignment="1" applyBorder="1" applyFont="1">
      <alignment horizontal="center" vertical="center"/>
    </xf>
    <xf borderId="6" fillId="2" fontId="17" numFmtId="0" xfId="0" applyAlignment="1" applyBorder="1" applyFont="1">
      <alignment horizontal="center" vertical="center"/>
    </xf>
    <xf borderId="6" fillId="2" fontId="17" numFmtId="0" xfId="0" applyAlignment="1" applyBorder="1" applyFont="1">
      <alignment vertical="center"/>
    </xf>
    <xf borderId="6" fillId="2" fontId="16" numFmtId="0" xfId="0" applyAlignment="1" applyBorder="1" applyFont="1">
      <alignment horizontal="center" readingOrder="0" shrinkToFit="0" vertical="center" wrapText="1"/>
    </xf>
    <xf borderId="6" fillId="2" fontId="16" numFmtId="0" xfId="0" applyAlignment="1" applyBorder="1" applyFont="1">
      <alignment horizontal="center" shrinkToFit="0" vertical="center" wrapText="1"/>
    </xf>
    <xf borderId="6" fillId="2" fontId="16" numFmtId="1" xfId="0" applyAlignment="1" applyBorder="1" applyFont="1" applyNumberFormat="1">
      <alignment horizontal="center" vertical="center"/>
    </xf>
    <xf borderId="6" fillId="2" fontId="16" numFmtId="1" xfId="0" applyAlignment="1" applyBorder="1" applyFont="1" applyNumberFormat="1">
      <alignment horizontal="center" readingOrder="0" shrinkToFit="0" vertical="center" wrapText="1"/>
    </xf>
    <xf borderId="6" fillId="2" fontId="18" numFmtId="1" xfId="0" applyAlignment="1" applyBorder="1" applyFont="1" applyNumberFormat="1">
      <alignment horizontal="center" vertical="center"/>
    </xf>
    <xf borderId="6" fillId="2" fontId="16" numFmtId="1" xfId="0" applyAlignment="1" applyBorder="1" applyFont="1" applyNumberFormat="1">
      <alignment horizontal="center" shrinkToFit="0" vertical="center" wrapText="1"/>
    </xf>
    <xf borderId="6" fillId="2" fontId="16" numFmtId="3" xfId="0" applyAlignment="1" applyBorder="1" applyFont="1" applyNumberFormat="1">
      <alignment horizontal="center" readingOrder="0" shrinkToFit="0" vertical="center" wrapText="1"/>
    </xf>
    <xf borderId="6" fillId="2" fontId="16" numFmtId="3" xfId="0" applyAlignment="1" applyBorder="1" applyFont="1" applyNumberFormat="1">
      <alignment horizontal="center" shrinkToFit="0" vertical="center" wrapText="1"/>
    </xf>
    <xf borderId="6" fillId="4" fontId="16" numFmtId="3" xfId="0" applyAlignment="1" applyBorder="1" applyFill="1" applyFont="1" applyNumberFormat="1">
      <alignment horizontal="center" shrinkToFit="0" vertical="center" wrapText="1"/>
    </xf>
    <xf borderId="12" fillId="2" fontId="16" numFmtId="0" xfId="0" applyAlignment="1" applyBorder="1" applyFont="1">
      <alignment horizontal="center" readingOrder="0" shrinkToFit="0" vertical="center" wrapText="1"/>
    </xf>
    <xf borderId="6" fillId="2" fontId="17" numFmtId="0" xfId="0" applyAlignment="1" applyBorder="1" applyFont="1">
      <alignment shrinkToFit="0" vertical="center" wrapText="1"/>
    </xf>
    <xf borderId="6" fillId="3" fontId="16" numFmtId="0" xfId="0" applyAlignment="1" applyBorder="1" applyFont="1">
      <alignment horizontal="center" vertical="center"/>
    </xf>
    <xf borderId="6" fillId="3" fontId="17" numFmtId="0" xfId="0" applyAlignment="1" applyBorder="1" applyFont="1">
      <alignment horizontal="center" vertical="center"/>
    </xf>
    <xf borderId="6" fillId="3" fontId="17" numFmtId="0" xfId="0" applyAlignment="1" applyBorder="1" applyFont="1">
      <alignment vertical="center"/>
    </xf>
    <xf borderId="6" fillId="3" fontId="16" numFmtId="0" xfId="0" applyAlignment="1" applyBorder="1" applyFont="1">
      <alignment horizontal="center" readingOrder="0" shrinkToFit="0" vertical="center" wrapText="1"/>
    </xf>
    <xf borderId="12" fillId="3" fontId="16" numFmtId="0" xfId="0" applyAlignment="1" applyBorder="1" applyFont="1">
      <alignment horizontal="center" readingOrder="0" shrinkToFit="0" vertical="center" wrapText="1"/>
    </xf>
    <xf borderId="6" fillId="3" fontId="16" numFmtId="1" xfId="0" applyAlignment="1" applyBorder="1" applyFont="1" applyNumberFormat="1">
      <alignment horizontal="center" readingOrder="0" shrinkToFit="0" vertical="center" wrapText="1"/>
    </xf>
    <xf borderId="6" fillId="3" fontId="16" numFmtId="1" xfId="0" applyAlignment="1" applyBorder="1" applyFont="1" applyNumberFormat="1">
      <alignment horizontal="center" shrinkToFit="0" vertical="center" wrapText="1"/>
    </xf>
    <xf borderId="6" fillId="3" fontId="16" numFmtId="3" xfId="0" applyAlignment="1" applyBorder="1" applyFont="1" applyNumberFormat="1">
      <alignment horizontal="center" readingOrder="0" shrinkToFit="0" vertical="center" wrapText="1"/>
    </xf>
    <xf borderId="6" fillId="5" fontId="16" numFmtId="0" xfId="0" applyAlignment="1" applyBorder="1" applyFill="1" applyFont="1">
      <alignment horizontal="center" vertical="center"/>
    </xf>
    <xf borderId="6" fillId="5" fontId="17" numFmtId="0" xfId="0" applyAlignment="1" applyBorder="1" applyFont="1">
      <alignment horizontal="center" vertical="center"/>
    </xf>
    <xf borderId="6" fillId="5" fontId="17" numFmtId="0" xfId="0" applyAlignment="1" applyBorder="1" applyFont="1">
      <alignment vertical="center"/>
    </xf>
    <xf borderId="6" fillId="5" fontId="16" numFmtId="0" xfId="0" applyAlignment="1" applyBorder="1" applyFont="1">
      <alignment horizontal="center" readingOrder="0" shrinkToFit="0" vertical="center" wrapText="1"/>
    </xf>
    <xf borderId="6" fillId="5" fontId="16" numFmtId="0" xfId="0" applyAlignment="1" applyBorder="1" applyFont="1">
      <alignment horizontal="center" shrinkToFit="0" vertical="center" wrapText="1"/>
    </xf>
    <xf borderId="12" fillId="5" fontId="16" numFmtId="0" xfId="0" applyAlignment="1" applyBorder="1" applyFont="1">
      <alignment horizontal="center" readingOrder="0" shrinkToFit="0" vertical="center" wrapText="1"/>
    </xf>
    <xf borderId="6" fillId="5" fontId="16" numFmtId="1" xfId="0" applyAlignment="1" applyBorder="1" applyFont="1" applyNumberFormat="1">
      <alignment horizontal="center" vertical="center"/>
    </xf>
    <xf borderId="6" fillId="5" fontId="16" numFmtId="1" xfId="0" applyAlignment="1" applyBorder="1" applyFont="1" applyNumberFormat="1">
      <alignment horizontal="center" readingOrder="0" shrinkToFit="0" vertical="center" wrapText="1"/>
    </xf>
    <xf borderId="6" fillId="5" fontId="18" numFmtId="1" xfId="0" applyAlignment="1" applyBorder="1" applyFont="1" applyNumberFormat="1">
      <alignment horizontal="center" vertical="center"/>
    </xf>
    <xf borderId="6" fillId="5" fontId="16" numFmtId="1" xfId="0" applyAlignment="1" applyBorder="1" applyFont="1" applyNumberFormat="1">
      <alignment horizontal="center" shrinkToFit="0" vertical="center" wrapText="1"/>
    </xf>
    <xf borderId="6" fillId="5" fontId="16" numFmtId="3" xfId="0" applyAlignment="1" applyBorder="1" applyFont="1" applyNumberFormat="1">
      <alignment horizontal="center" readingOrder="0" shrinkToFit="0" vertical="center" wrapText="1"/>
    </xf>
    <xf borderId="6" fillId="5" fontId="16" numFmtId="3" xfId="0" applyAlignment="1" applyBorder="1" applyFont="1" applyNumberFormat="1">
      <alignment horizontal="center" shrinkToFit="0" vertical="center" wrapText="1"/>
    </xf>
    <xf borderId="10" fillId="2" fontId="16" numFmtId="0" xfId="0" applyAlignment="1" applyBorder="1" applyFont="1">
      <alignment horizontal="center" readingOrder="0" shrinkToFit="0" vertical="center" wrapText="1"/>
    </xf>
    <xf borderId="10" fillId="2" fontId="16" numFmtId="3"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3" fillId="3" fontId="9" numFmtId="3" xfId="0" applyAlignment="1" applyBorder="1" applyFont="1" applyNumberFormat="1">
      <alignment horizontal="center" readingOrder="0" vertical="center"/>
    </xf>
    <xf borderId="14" fillId="0" fontId="3" numFmtId="0" xfId="0" applyAlignment="1" applyBorder="1" applyFont="1">
      <alignment vertical="center"/>
    </xf>
    <xf borderId="0" fillId="0" fontId="9" numFmtId="0" xfId="0" applyAlignment="1" applyFont="1">
      <alignment horizontal="center" vertical="bottom"/>
    </xf>
    <xf borderId="0" fillId="0" fontId="13" numFmtId="0" xfId="0" applyAlignment="1" applyFont="1">
      <alignment horizontal="center" vertical="center"/>
    </xf>
    <xf borderId="0" fillId="0" fontId="1" numFmtId="0" xfId="0" applyAlignment="1" applyFont="1">
      <alignment horizontal="center" vertical="bottom"/>
    </xf>
    <xf borderId="15" fillId="0" fontId="1" numFmtId="1" xfId="0" applyAlignment="1" applyBorder="1" applyFont="1" applyNumberFormat="1">
      <alignment horizontal="center" shrinkToFit="0" vertical="center" wrapText="1"/>
    </xf>
    <xf borderId="0" fillId="0" fontId="8" numFmtId="0" xfId="0" applyAlignment="1" applyFont="1">
      <alignment horizontal="center" vertical="bottom"/>
    </xf>
    <xf borderId="4" fillId="2" fontId="19" numFmtId="0" xfId="0" applyAlignment="1" applyBorder="1" applyFont="1">
      <alignment horizontal="center" shrinkToFit="0" vertical="center" wrapText="1"/>
    </xf>
    <xf borderId="0" fillId="6" fontId="1" numFmtId="3" xfId="0" applyAlignment="1" applyFill="1" applyFont="1" applyNumberFormat="1">
      <alignment horizontal="left" vertical="bottom"/>
    </xf>
    <xf borderId="16" fillId="6" fontId="1" numFmtId="3" xfId="0" applyAlignment="1" applyBorder="1" applyFont="1" applyNumberFormat="1">
      <alignment horizontal="left" vertical="bottom"/>
    </xf>
    <xf borderId="0" fillId="0" fontId="9" numFmtId="0" xfId="0" applyAlignment="1" applyFont="1">
      <alignment horizontal="right" vertical="center"/>
    </xf>
    <xf borderId="0" fillId="0" fontId="20" numFmtId="0" xfId="0" applyAlignment="1" applyFont="1">
      <alignment vertical="center"/>
    </xf>
    <xf borderId="0" fillId="0" fontId="9" numFmtId="0" xfId="0" applyAlignment="1" applyFont="1">
      <alignment horizontal="left" vertical="top"/>
    </xf>
    <xf borderId="0" fillId="0" fontId="6" numFmtId="0" xfId="0" applyAlignment="1" applyFont="1">
      <alignment horizontal="center" vertical="center"/>
    </xf>
    <xf borderId="0" fillId="0" fontId="1" numFmtId="3" xfId="0" applyAlignment="1" applyFont="1" applyNumberFormat="1">
      <alignment horizontal="left" vertical="bottom"/>
    </xf>
    <xf borderId="0" fillId="0" fontId="12" numFmtId="0" xfId="0" applyAlignment="1" applyFont="1">
      <alignment horizontal="center" vertical="bottom"/>
    </xf>
    <xf borderId="0" fillId="0" fontId="9" numFmtId="0" xfId="0" applyAlignment="1" applyFont="1">
      <alignment horizontal="center" vertical="center"/>
    </xf>
    <xf borderId="6" fillId="0" fontId="21" numFmtId="0" xfId="0" applyAlignment="1" applyBorder="1" applyFont="1">
      <alignment vertical="center"/>
    </xf>
    <xf borderId="6" fillId="2" fontId="17" numFmtId="0" xfId="0" applyAlignment="1" applyBorder="1" applyFont="1">
      <alignment horizontal="center" vertical="top"/>
    </xf>
    <xf borderId="6" fillId="2" fontId="17" numFmtId="0" xfId="0" applyAlignment="1" applyBorder="1" applyFont="1">
      <alignment vertical="top"/>
    </xf>
    <xf borderId="6" fillId="0" fontId="22" numFmtId="0" xfId="0" applyAlignment="1" applyBorder="1" applyFont="1">
      <alignment vertical="center"/>
    </xf>
    <xf borderId="6" fillId="7" fontId="22" numFmtId="0" xfId="0" applyAlignment="1" applyBorder="1" applyFill="1" applyFont="1">
      <alignment readingOrder="0" vertical="center"/>
    </xf>
    <xf borderId="6" fillId="7" fontId="22" numFmtId="0" xfId="0" applyAlignment="1" applyBorder="1" applyFont="1">
      <alignment readingOrder="0" shrinkToFit="0" vertical="center" wrapText="1"/>
    </xf>
    <xf borderId="6" fillId="0" fontId="22" numFmtId="0" xfId="0" applyAlignment="1" applyBorder="1" applyFont="1">
      <alignment shrinkToFit="0" vertical="center" wrapText="1"/>
    </xf>
    <xf borderId="6" fillId="8" fontId="22" numFmtId="0" xfId="0" applyAlignment="1" applyBorder="1" applyFill="1" applyFont="1">
      <alignment readingOrder="0" vertical="center"/>
    </xf>
    <xf borderId="6" fillId="8" fontId="22" numFmtId="0" xfId="0" applyAlignment="1" applyBorder="1" applyFont="1">
      <alignment readingOrder="0" shrinkToFit="0" vertical="center" wrapText="1"/>
    </xf>
    <xf borderId="6" fillId="2" fontId="17" numFmtId="0" xfId="0" applyAlignment="1" applyBorder="1" applyFont="1">
      <alignment shrinkToFit="0" vertical="top" wrapText="1"/>
    </xf>
    <xf borderId="0" fillId="0" fontId="20" numFmtId="0" xfId="0" applyAlignment="1" applyFont="1">
      <alignment horizontal="center" vertical="center"/>
    </xf>
    <xf borderId="0" fillId="0" fontId="23" numFmtId="0" xfId="0" applyAlignment="1" applyFont="1">
      <alignment vertical="center"/>
    </xf>
    <xf borderId="17" fillId="0" fontId="23" numFmtId="0" xfId="0" applyAlignment="1" applyBorder="1" applyFont="1">
      <alignment horizontal="center" vertical="center"/>
    </xf>
    <xf borderId="18" fillId="0" fontId="3" numFmtId="0" xfId="0" applyAlignment="1" applyBorder="1" applyFont="1">
      <alignment vertical="center"/>
    </xf>
    <xf borderId="0" fillId="0" fontId="24" numFmtId="0" xfId="0" applyAlignment="1" applyFont="1">
      <alignment horizontal="center" vertical="center"/>
    </xf>
    <xf borderId="0" fillId="0" fontId="25" numFmtId="0" xfId="0" applyAlignment="1" applyFont="1">
      <alignment horizontal="center" vertical="center"/>
    </xf>
    <xf borderId="0" fillId="0" fontId="26" numFmtId="0" xfId="0" applyAlignment="1" applyFont="1">
      <alignment vertical="center"/>
    </xf>
    <xf borderId="0" fillId="0" fontId="27" numFmtId="0" xfId="0" applyAlignment="1" applyFont="1">
      <alignment horizontal="center" vertical="center"/>
    </xf>
    <xf borderId="0" fillId="0" fontId="27" numFmtId="0" xfId="0" applyAlignment="1" applyFont="1">
      <alignment readingOrder="0" vertical="center"/>
    </xf>
    <xf borderId="0" fillId="0" fontId="27" numFmtId="0" xfId="0" applyAlignment="1" applyFont="1">
      <alignment vertical="center"/>
    </xf>
    <xf borderId="19" fillId="0"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21" fillId="0" fontId="3" numFmtId="0" xfId="0" applyAlignment="1" applyBorder="1" applyFont="1">
      <alignment vertical="center"/>
    </xf>
    <xf borderId="20" fillId="0" fontId="23" numFmtId="0" xfId="0" applyAlignment="1" applyBorder="1" applyFont="1">
      <alignment vertical="center"/>
    </xf>
    <xf borderId="20" fillId="0" fontId="18" numFmtId="0" xfId="0" applyAlignment="1" applyBorder="1" applyFont="1">
      <alignment horizontal="center" shrinkToFit="0" vertical="center" wrapText="1"/>
    </xf>
    <xf borderId="20" fillId="0" fontId="28" numFmtId="0" xfId="0" applyAlignment="1" applyBorder="1" applyFont="1">
      <alignment shrinkToFit="0" vertical="center" wrapText="1"/>
    </xf>
    <xf borderId="20" fillId="0" fontId="18" numFmtId="0" xfId="0" applyAlignment="1" applyBorder="1" applyFont="1">
      <alignment horizontal="center" vertical="center"/>
    </xf>
    <xf borderId="20" fillId="0" fontId="18" numFmtId="0" xfId="0" applyAlignment="1" applyBorder="1" applyFont="1">
      <alignment horizontal="center" readingOrder="0" shrinkToFit="0" vertical="center" wrapText="1"/>
    </xf>
    <xf borderId="20" fillId="0" fontId="18" numFmtId="9" xfId="0" applyAlignment="1" applyBorder="1" applyFont="1" applyNumberFormat="1">
      <alignment horizontal="center" readingOrder="0" shrinkToFit="0" vertical="center" wrapText="1"/>
    </xf>
    <xf borderId="20" fillId="0" fontId="18" numFmtId="0" xfId="0" applyAlignment="1" applyBorder="1" applyFont="1">
      <alignment shrinkToFit="0" vertical="center" wrapText="1"/>
    </xf>
    <xf borderId="20" fillId="0" fontId="18" numFmtId="0" xfId="0" applyAlignment="1" applyBorder="1" applyFont="1">
      <alignment horizontal="center" readingOrder="0" vertical="center"/>
    </xf>
    <xf borderId="20" fillId="0" fontId="18" numFmtId="9" xfId="0" applyAlignment="1" applyBorder="1" applyFont="1" applyNumberFormat="1">
      <alignment horizontal="center" readingOrder="0" vertical="center"/>
    </xf>
    <xf borderId="20" fillId="0" fontId="18" numFmtId="0" xfId="0" applyAlignment="1" applyBorder="1" applyFont="1">
      <alignment readingOrder="0" shrinkToFit="0" vertical="center" wrapText="1"/>
    </xf>
    <xf borderId="20" fillId="0" fontId="18" numFmtId="164" xfId="0" applyAlignment="1" applyBorder="1" applyFont="1" applyNumberFormat="1">
      <alignment horizontal="center" readingOrder="0" vertical="center"/>
    </xf>
    <xf borderId="22" fillId="0" fontId="20" numFmtId="0" xfId="0" applyAlignment="1" applyBorder="1" applyFont="1">
      <alignment horizontal="center" shrinkToFit="0" vertical="center" wrapText="1"/>
    </xf>
    <xf borderId="23" fillId="0" fontId="3" numFmtId="0" xfId="0" applyAlignment="1" applyBorder="1" applyFont="1">
      <alignment vertical="center"/>
    </xf>
    <xf borderId="24" fillId="0" fontId="3" numFmtId="0" xfId="0" applyAlignment="1" applyBorder="1" applyFont="1">
      <alignment vertical="center"/>
    </xf>
    <xf borderId="22" fillId="0" fontId="20" numFmtId="0" xfId="0" applyAlignment="1" applyBorder="1" applyFont="1">
      <alignment shrinkToFit="0" vertical="center" wrapText="1"/>
    </xf>
    <xf borderId="25" fillId="0" fontId="27" numFmtId="0" xfId="0" applyAlignment="1" applyBorder="1" applyFont="1">
      <alignment horizontal="right" shrinkToFit="0" vertical="center" wrapText="1"/>
    </xf>
    <xf borderId="26" fillId="0" fontId="3" numFmtId="0" xfId="0" applyAlignment="1" applyBorder="1" applyFont="1">
      <alignment vertical="center"/>
    </xf>
    <xf borderId="27" fillId="0" fontId="3" numFmtId="0" xfId="0" applyAlignment="1" applyBorder="1" applyFont="1">
      <alignment vertical="center"/>
    </xf>
    <xf borderId="25" fillId="0" fontId="20" numFmtId="0" xfId="0" applyAlignment="1" applyBorder="1" applyFont="1">
      <alignment horizontal="right" shrinkToFit="0" vertical="center" wrapText="1"/>
    </xf>
    <xf borderId="0" fillId="0" fontId="29" numFmtId="0" xfId="0" applyAlignment="1" applyFont="1">
      <alignment horizontal="center" shrinkToFit="0" vertical="center" wrapText="1"/>
    </xf>
    <xf borderId="0" fillId="0" fontId="25" numFmtId="0" xfId="0" applyAlignment="1" applyFont="1">
      <alignment horizontal="center" shrinkToFit="0" vertical="center" wrapText="1"/>
    </xf>
    <xf borderId="0" fillId="0" fontId="20" numFmtId="0" xfId="0" applyAlignment="1" applyFont="1">
      <alignment horizontal="center" readingOrder="0" vertical="center"/>
    </xf>
    <xf borderId="5" fillId="0" fontId="20" numFmtId="0" xfId="0" applyAlignment="1" applyBorder="1" applyFont="1">
      <alignment horizontal="center" shrinkToFit="0" vertical="center" wrapText="1"/>
    </xf>
    <xf borderId="6" fillId="0" fontId="20" numFmtId="0" xfId="0" applyAlignment="1" applyBorder="1" applyFont="1">
      <alignment horizontal="center" shrinkToFit="0" vertical="center" wrapText="1"/>
    </xf>
    <xf borderId="6" fillId="0" fontId="20" numFmtId="0" xfId="0" applyAlignment="1" applyBorder="1" applyFont="1">
      <alignment horizontal="center" readingOrder="0" shrinkToFit="0" vertical="center" wrapText="1"/>
    </xf>
    <xf borderId="6" fillId="0" fontId="30" numFmtId="0" xfId="0" applyAlignment="1" applyBorder="1" applyFont="1">
      <alignment horizontal="center" vertical="center"/>
    </xf>
    <xf borderId="6" fillId="0" fontId="23" numFmtId="0" xfId="0" applyAlignment="1" applyBorder="1" applyFont="1">
      <alignment vertical="center"/>
    </xf>
    <xf borderId="6" fillId="0" fontId="23" numFmtId="0" xfId="0" applyAlignment="1" applyBorder="1" applyFont="1">
      <alignment horizontal="center" vertical="bottom"/>
    </xf>
    <xf borderId="6" fillId="0" fontId="26" numFmtId="0" xfId="0" applyAlignment="1" applyBorder="1" applyFont="1">
      <alignment horizontal="center" readingOrder="0" shrinkToFit="0" vertical="center" wrapText="1"/>
    </xf>
    <xf borderId="10" fillId="0" fontId="31" numFmtId="0" xfId="0" applyAlignment="1" applyBorder="1" applyFont="1">
      <alignment horizontal="center" readingOrder="0" shrinkToFit="0" vertical="center" wrapText="0"/>
    </xf>
    <xf borderId="0" fillId="0" fontId="23" numFmtId="0" xfId="0" applyAlignment="1" applyFont="1">
      <alignment horizontal="right" vertical="center"/>
    </xf>
    <xf borderId="10" fillId="0" fontId="32" numFmtId="0" xfId="0" applyAlignment="1" applyBorder="1" applyFont="1">
      <alignment horizontal="center" readingOrder="0" shrinkToFit="0" vertical="center" wrapText="0"/>
    </xf>
    <xf borderId="10" fillId="0" fontId="26" numFmtId="0" xfId="0" applyAlignment="1" applyBorder="1" applyFont="1">
      <alignment horizontal="center" readingOrder="0" vertical="center"/>
    </xf>
    <xf borderId="6" fillId="3" fontId="17" numFmtId="0" xfId="0" applyAlignment="1" applyBorder="1" applyFont="1">
      <alignment horizontal="center" vertical="top"/>
    </xf>
    <xf borderId="6" fillId="3" fontId="17" numFmtId="0" xfId="0" applyAlignment="1" applyBorder="1" applyFont="1">
      <alignment vertical="top"/>
    </xf>
    <xf borderId="6" fillId="3" fontId="23" numFmtId="0" xfId="0" applyAlignment="1" applyBorder="1" applyFont="1">
      <alignment horizontal="center" vertical="bottom"/>
    </xf>
    <xf borderId="6" fillId="2" fontId="23" numFmtId="0" xfId="0" applyAlignment="1" applyBorder="1" applyFont="1">
      <alignment horizontal="center" vertical="bottom"/>
    </xf>
    <xf borderId="10" fillId="0" fontId="20" numFmtId="0" xfId="0" applyAlignment="1" applyBorder="1" applyFont="1">
      <alignment horizontal="center" readingOrder="0" vertical="center"/>
    </xf>
    <xf borderId="6" fillId="0" fontId="26" numFmtId="0" xfId="0" applyAlignment="1" applyBorder="1" applyFont="1">
      <alignment horizontal="center" shrinkToFit="0" vertical="center" wrapText="1"/>
    </xf>
    <xf borderId="25" fillId="0" fontId="27" numFmtId="0" xfId="0" applyAlignment="1" applyBorder="1" applyFont="1">
      <alignment shrinkToFit="0" vertical="center" wrapText="1"/>
    </xf>
    <xf borderId="27" fillId="0" fontId="20" numFmtId="0" xfId="0" applyAlignment="1" applyBorder="1" applyFont="1">
      <alignment horizontal="center" shrinkToFit="0" vertical="center" wrapText="1"/>
    </xf>
    <xf borderId="26" fillId="0" fontId="20" numFmtId="0" xfId="0" applyAlignment="1" applyBorder="1" applyFont="1">
      <alignment horizontal="center" shrinkToFit="0" vertical="center" wrapText="1"/>
    </xf>
    <xf borderId="0" fillId="0" fontId="20" numFmtId="0" xfId="0" applyAlignment="1" applyFont="1">
      <alignment horizontal="center" shrinkToFit="0" vertical="center" wrapText="1"/>
    </xf>
    <xf borderId="17" fillId="0" fontId="27" numFmtId="0" xfId="0" applyAlignment="1" applyBorder="1" applyFont="1">
      <alignment shrinkToFit="0" vertical="center" wrapText="1"/>
    </xf>
    <xf borderId="28" fillId="0" fontId="3" numFmtId="0" xfId="0" applyAlignment="1" applyBorder="1" applyFont="1">
      <alignment vertical="center"/>
    </xf>
    <xf borderId="17" fillId="0" fontId="20" numFmtId="0" xfId="0" applyAlignment="1" applyBorder="1" applyFont="1">
      <alignment shrinkToFit="0" vertical="center" wrapText="1"/>
    </xf>
    <xf borderId="0" fillId="0" fontId="33" numFmtId="0" xfId="0" applyAlignment="1" applyFont="1">
      <alignment shrinkToFit="0" vertical="center" wrapText="0"/>
    </xf>
    <xf borderId="0" fillId="0" fontId="34" numFmtId="0" xfId="0" applyAlignment="1" applyFont="1">
      <alignment horizontal="right" shrinkToFit="0" vertical="bottom" wrapText="0"/>
    </xf>
    <xf borderId="0" fillId="0" fontId="6" numFmtId="0" xfId="0" applyAlignment="1" applyFont="1">
      <alignment horizontal="right" shrinkToFit="0" vertical="bottom" wrapText="0"/>
    </xf>
    <xf borderId="0" fillId="0" fontId="33" numFmtId="0" xfId="0" applyAlignment="1" applyFont="1">
      <alignment shrinkToFit="0" vertical="bottom" wrapText="0"/>
    </xf>
    <xf borderId="0" fillId="0" fontId="35" numFmtId="0" xfId="0" applyAlignment="1" applyFont="1">
      <alignment horizontal="center" shrinkToFit="0" vertical="bottom" wrapText="0"/>
    </xf>
    <xf borderId="0" fillId="0" fontId="36" numFmtId="0" xfId="0" applyAlignment="1" applyFont="1">
      <alignment horizontal="center" shrinkToFit="0" vertical="bottom" wrapText="0"/>
    </xf>
    <xf borderId="0" fillId="0" fontId="37" numFmtId="0" xfId="0" applyAlignment="1" applyFont="1">
      <alignment horizontal="center" shrinkToFit="0" vertical="bottom" wrapText="0"/>
    </xf>
    <xf borderId="29" fillId="0" fontId="33" numFmtId="0" xfId="0" applyAlignment="1" applyBorder="1" applyFont="1">
      <alignment shrinkToFit="0" vertical="bottom" wrapText="0"/>
    </xf>
    <xf borderId="29" fillId="0" fontId="3" numFmtId="0" xfId="0" applyAlignment="1" applyBorder="1" applyFont="1">
      <alignment vertical="center"/>
    </xf>
    <xf borderId="6" fillId="2" fontId="5" numFmtId="0" xfId="0" applyAlignment="1" applyBorder="1" applyFont="1">
      <alignment horizontal="center" vertical="bottom"/>
    </xf>
    <xf borderId="29" fillId="2" fontId="5" numFmtId="0" xfId="0" applyAlignment="1" applyBorder="1" applyFont="1">
      <alignment horizontal="center" shrinkToFit="0" vertical="bottom" wrapText="1"/>
    </xf>
    <xf borderId="9" fillId="2" fontId="5" numFmtId="0" xfId="0" applyAlignment="1" applyBorder="1" applyFont="1">
      <alignment horizontal="center" vertical="bottom"/>
    </xf>
    <xf borderId="0" fillId="0" fontId="38" numFmtId="0" xfId="0" applyAlignment="1" applyFont="1">
      <alignment shrinkToFit="0" vertical="bottom" wrapText="0"/>
    </xf>
    <xf borderId="6" fillId="0" fontId="12" numFmtId="0" xfId="0" applyAlignment="1" applyBorder="1" applyFont="1">
      <alignment horizontal="right" shrinkToFit="0" vertical="bottom" wrapText="0"/>
    </xf>
    <xf borderId="6" fillId="2" fontId="39" numFmtId="0" xfId="0" applyAlignment="1" applyBorder="1" applyFont="1">
      <alignment horizontal="center" shrinkToFit="0" vertical="center" wrapText="0"/>
    </xf>
    <xf borderId="6" fillId="2" fontId="39" numFmtId="0" xfId="0" applyAlignment="1" applyBorder="1" applyFont="1">
      <alignment shrinkToFit="0" vertical="center" wrapText="0"/>
    </xf>
    <xf borderId="29" fillId="2" fontId="40" numFmtId="3" xfId="0" applyAlignment="1" applyBorder="1" applyFont="1" applyNumberFormat="1">
      <alignment horizontal="center" vertical="center"/>
    </xf>
    <xf borderId="5" fillId="0" fontId="41" numFmtId="0" xfId="0" applyAlignment="1" applyBorder="1" applyFont="1">
      <alignment horizontal="center" shrinkToFit="0" vertical="center" wrapText="0"/>
    </xf>
    <xf borderId="14" fillId="0" fontId="41" numFmtId="0" xfId="0" applyAlignment="1" applyBorder="1" applyFont="1">
      <alignment horizontal="left" shrinkToFit="0" vertical="bottom" wrapText="1"/>
    </xf>
    <xf borderId="6" fillId="0" fontId="42" numFmtId="0" xfId="0" applyAlignment="1" applyBorder="1" applyFont="1">
      <alignment horizontal="right" shrinkToFit="0" vertical="bottom" wrapText="0"/>
    </xf>
    <xf borderId="14" fillId="0" fontId="41" numFmtId="0" xfId="0" applyAlignment="1" applyBorder="1" applyFont="1">
      <alignment horizontal="left" shrinkToFit="0" vertical="bottom" wrapText="0"/>
    </xf>
    <xf borderId="9" fillId="0" fontId="22" numFmtId="0" xfId="0" applyAlignment="1" applyBorder="1" applyFont="1">
      <alignment horizontal="center" shrinkToFit="0" vertical="center" wrapText="0"/>
    </xf>
    <xf borderId="6" fillId="0" fontId="22" numFmtId="0" xfId="0" applyAlignment="1" applyBorder="1" applyFont="1">
      <alignment horizontal="center" shrinkToFit="0" vertical="center" wrapText="0"/>
    </xf>
    <xf borderId="0" fillId="0" fontId="33" numFmtId="3" xfId="0" applyAlignment="1" applyFont="1" applyNumberFormat="1">
      <alignment shrinkToFit="0" vertical="bottom" wrapText="0"/>
    </xf>
    <xf borderId="0" fillId="0" fontId="43" numFmtId="0" xfId="0" applyAlignment="1" applyFont="1">
      <alignment shrinkToFit="0" vertical="bottom" wrapText="0"/>
    </xf>
    <xf borderId="0" fillId="0" fontId="44" numFmtId="0" xfId="0" applyAlignment="1" applyFont="1">
      <alignment horizontal="center" shrinkToFit="0" vertical="bottom" wrapText="0"/>
    </xf>
    <xf borderId="6" fillId="2" fontId="12" numFmtId="0" xfId="0" applyAlignment="1" applyBorder="1" applyFont="1">
      <alignment horizontal="center" vertical="bottom"/>
    </xf>
    <xf borderId="6" fillId="2" fontId="40" numFmtId="3" xfId="0" applyAlignment="1" applyBorder="1" applyFont="1" applyNumberFormat="1">
      <alignment horizontal="center" vertical="center"/>
    </xf>
    <xf borderId="6" fillId="0" fontId="41" numFmtId="0" xfId="0" applyAlignment="1" applyBorder="1" applyFont="1">
      <alignment horizontal="left" shrinkToFit="0" vertical="bottom" wrapText="1"/>
    </xf>
    <xf borderId="6" fillId="0" fontId="41" numFmtId="0" xfId="0" applyAlignment="1" applyBorder="1" applyFont="1">
      <alignment horizontal="left" shrinkToFit="0" vertical="bottom" wrapText="0"/>
    </xf>
    <xf borderId="6" fillId="0" fontId="33" numFmtId="0" xfId="0" applyAlignment="1" applyBorder="1" applyFont="1">
      <alignment shrinkToFit="0" vertical="bottom" wrapText="0"/>
    </xf>
    <xf borderId="6" fillId="0" fontId="44" numFmtId="0" xfId="0" applyAlignment="1" applyBorder="1" applyFont="1">
      <alignment horizontal="center" shrinkToFit="0" vertical="bottom" wrapText="0"/>
    </xf>
    <xf borderId="6" fillId="0" fontId="33" numFmtId="0" xfId="0" applyAlignment="1" applyBorder="1" applyFont="1">
      <alignment readingOrder="0" shrinkToFit="0" vertical="bottom" wrapText="0"/>
    </xf>
    <xf borderId="6" fillId="0" fontId="41" numFmtId="0" xfId="0" applyAlignment="1" applyBorder="1" applyFont="1">
      <alignment shrinkToFit="0" vertical="bottom" wrapText="0"/>
    </xf>
    <xf borderId="6" fillId="0" fontId="33" numFmtId="0" xfId="0" applyAlignment="1" applyBorder="1" applyFont="1">
      <alignment horizontal="center" shrinkToFit="0" vertical="bottom" wrapText="0"/>
    </xf>
    <xf borderId="0" fillId="0" fontId="22" numFmtId="0" xfId="0" applyAlignment="1" applyFont="1">
      <alignment vertical="center"/>
    </xf>
    <xf borderId="0" fillId="0" fontId="22" numFmtId="0" xfId="0" applyAlignment="1" applyFont="1">
      <alignment vertical="bottom"/>
    </xf>
    <xf borderId="6" fillId="0" fontId="20" numFmtId="0" xfId="0" applyAlignment="1" applyBorder="1" applyFont="1">
      <alignment horizontal="right" vertical="bottom"/>
    </xf>
    <xf borderId="0" fillId="0" fontId="24" numFmtId="0" xfId="0" applyAlignment="1" applyFont="1">
      <alignment horizontal="center" vertical="bottom"/>
    </xf>
    <xf borderId="0" fillId="0" fontId="45" numFmtId="0" xfId="0" applyAlignment="1" applyFont="1">
      <alignment horizontal="center" vertical="bottom"/>
    </xf>
    <xf borderId="0" fillId="0" fontId="46" numFmtId="0" xfId="0" applyAlignment="1" applyFont="1">
      <alignment horizontal="center" vertical="bottom"/>
    </xf>
    <xf borderId="6" fillId="0" fontId="21" numFmtId="0" xfId="0" applyAlignment="1" applyBorder="1" applyFont="1">
      <alignment vertical="bottom"/>
    </xf>
    <xf borderId="6" fillId="0" fontId="21" numFmtId="0" xfId="0" applyAlignment="1" applyBorder="1" applyFont="1">
      <alignment shrinkToFit="0" vertical="bottom" wrapText="1"/>
    </xf>
    <xf borderId="6" fillId="2" fontId="17" numFmtId="0" xfId="0" applyAlignment="1" applyBorder="1" applyFont="1">
      <alignment horizontal="center" vertical="center"/>
    </xf>
    <xf borderId="6" fillId="2" fontId="17" numFmtId="0" xfId="0" applyAlignment="1" applyBorder="1" applyFont="1">
      <alignment shrinkToFit="0" vertical="center" wrapText="1"/>
    </xf>
    <xf borderId="6" fillId="9" fontId="47" numFmtId="0" xfId="0" applyAlignment="1" applyBorder="1" applyFill="1" applyFont="1">
      <alignment horizontal="center" vertical="center"/>
    </xf>
    <xf borderId="6" fillId="2" fontId="48" numFmtId="3" xfId="0" applyAlignment="1" applyBorder="1" applyFont="1" applyNumberFormat="1">
      <alignment horizontal="center" readingOrder="0" shrinkToFit="0" vertical="center" wrapText="1"/>
    </xf>
    <xf borderId="6" fillId="0" fontId="22" numFmtId="0" xfId="0" applyAlignment="1" applyBorder="1" applyFont="1">
      <alignment readingOrder="0" shrinkToFit="0" vertical="bottom" wrapText="1"/>
    </xf>
    <xf borderId="6" fillId="9" fontId="47" numFmtId="0" xfId="0" applyAlignment="1" applyBorder="1" applyFont="1">
      <alignment horizontal="center" readingOrder="0" vertical="center"/>
    </xf>
    <xf borderId="6" fillId="0" fontId="22" numFmtId="0" xfId="0" applyAlignment="1" applyBorder="1" applyFont="1">
      <alignment vertical="bottom"/>
    </xf>
    <xf borderId="6" fillId="2" fontId="49" numFmtId="0" xfId="0" applyAlignment="1" applyBorder="1" applyFont="1">
      <alignment horizontal="center" readingOrder="0" shrinkToFit="0" vertical="center" wrapText="0"/>
    </xf>
    <xf borderId="6" fillId="2" fontId="49" numFmtId="0" xfId="0" applyAlignment="1" applyBorder="1" applyFont="1">
      <alignment readingOrder="0" shrinkToFit="0" vertical="center" wrapText="0"/>
    </xf>
    <xf borderId="0" fillId="0" fontId="50" numFmtId="0" xfId="0" applyAlignment="1" applyFont="1">
      <alignment readingOrder="0" vertical="center"/>
    </xf>
    <xf borderId="6" fillId="0" fontId="22" numFmtId="0" xfId="0" applyAlignment="1" applyBorder="1" applyFont="1">
      <alignment shrinkToFit="0" vertical="bottom" wrapText="1"/>
    </xf>
    <xf borderId="0" fillId="0" fontId="27" numFmtId="0" xfId="0" applyAlignment="1" applyFont="1">
      <alignment vertical="bottom"/>
    </xf>
    <xf borderId="0" fillId="0" fontId="1" numFmtId="165" xfId="0" applyAlignment="1" applyFont="1" applyNumberFormat="1">
      <alignment horizontal="left" vertical="top"/>
    </xf>
    <xf borderId="0" fillId="0" fontId="9" numFmtId="1" xfId="0" applyAlignment="1" applyFont="1" applyNumberFormat="1">
      <alignment horizontal="left" vertical="top"/>
    </xf>
    <xf borderId="0" fillId="0" fontId="9" numFmtId="0" xfId="0" applyAlignment="1" applyFont="1">
      <alignment horizontal="center" shrinkToFit="0" vertical="bottom" wrapText="1"/>
    </xf>
    <xf borderId="0" fillId="0" fontId="9" numFmtId="0" xfId="0" applyAlignment="1" applyFont="1">
      <alignment shrinkToFit="0" vertical="bottom" wrapText="1"/>
    </xf>
    <xf borderId="0" fillId="0" fontId="9" numFmtId="165" xfId="0" applyAlignment="1" applyFont="1" applyNumberFormat="1">
      <alignment horizontal="center" vertical="top"/>
    </xf>
    <xf borderId="0" fillId="0" fontId="9" numFmtId="1" xfId="0" applyAlignment="1" applyFont="1" applyNumberFormat="1">
      <alignment horizontal="center" vertical="top"/>
    </xf>
    <xf borderId="0" fillId="0" fontId="9" numFmtId="0" xfId="0" applyAlignment="1" applyFont="1">
      <alignment horizontal="left" vertical="bottom"/>
    </xf>
    <xf borderId="0" fillId="0" fontId="13" numFmtId="0" xfId="0" applyAlignment="1" applyFont="1">
      <alignment vertical="bottom"/>
    </xf>
    <xf borderId="5" fillId="0" fontId="9" numFmtId="0" xfId="0" applyAlignment="1" applyBorder="1" applyFont="1">
      <alignment horizontal="left" vertical="bottom"/>
    </xf>
    <xf borderId="5" fillId="0" fontId="9" numFmtId="0" xfId="0" applyAlignment="1" applyBorder="1" applyFont="1">
      <alignment horizontal="center" vertical="bottom"/>
    </xf>
    <xf borderId="6" fillId="0" fontId="9" numFmtId="0" xfId="0" applyAlignment="1" applyBorder="1" applyFont="1">
      <alignment horizontal="left" vertical="bottom"/>
    </xf>
    <xf borderId="1" fillId="0" fontId="51" numFmtId="0" xfId="0" applyAlignment="1" applyBorder="1" applyFont="1">
      <alignment horizontal="center" vertical="bottom"/>
    </xf>
    <xf borderId="1" fillId="0" fontId="51" numFmtId="0" xfId="0" applyAlignment="1" applyBorder="1" applyFont="1">
      <alignment horizontal="center" shrinkToFit="0" vertical="center" wrapText="1"/>
    </xf>
    <xf borderId="5" fillId="0" fontId="52" numFmtId="0" xfId="0" applyAlignment="1" applyBorder="1" applyFont="1">
      <alignment horizontal="center" vertical="bottom"/>
    </xf>
    <xf borderId="1" fillId="0" fontId="51" numFmtId="0" xfId="0" applyAlignment="1" applyBorder="1" applyFont="1">
      <alignment vertical="bottom"/>
    </xf>
    <xf borderId="5" fillId="0" fontId="53" numFmtId="0" xfId="0" applyAlignment="1" applyBorder="1" applyFont="1">
      <alignment horizontal="center" vertical="bottom"/>
    </xf>
    <xf borderId="5" fillId="3" fontId="53" numFmtId="0" xfId="0" applyAlignment="1" applyBorder="1" applyFont="1">
      <alignment horizontal="center" vertical="bottom"/>
    </xf>
    <xf borderId="5" fillId="3" fontId="53" numFmtId="165" xfId="0" applyAlignment="1" applyBorder="1" applyFont="1" applyNumberFormat="1">
      <alignment horizontal="center" vertical="bottom"/>
    </xf>
    <xf borderId="5" fillId="3" fontId="53" numFmtId="1" xfId="0" applyAlignment="1" applyBorder="1" applyFont="1" applyNumberFormat="1">
      <alignment horizontal="center" vertical="bottom"/>
    </xf>
    <xf borderId="6" fillId="2" fontId="53" numFmtId="0" xfId="0" applyAlignment="1" applyBorder="1" applyFont="1">
      <alignment horizontal="center" vertical="center"/>
    </xf>
    <xf borderId="6" fillId="0" fontId="1" numFmtId="0" xfId="0" applyAlignment="1" applyBorder="1" applyFont="1">
      <alignment horizontal="center" vertical="center"/>
    </xf>
    <xf borderId="6" fillId="2" fontId="1" numFmtId="0" xfId="0" applyAlignment="1" applyBorder="1" applyFont="1">
      <alignment horizontal="left" vertical="center"/>
    </xf>
    <xf borderId="6" fillId="0" fontId="1" numFmtId="0" xfId="0" applyAlignment="1" applyBorder="1" applyFont="1">
      <alignment horizontal="center" vertical="bottom"/>
    </xf>
    <xf borderId="6" fillId="0" fontId="1" numFmtId="1" xfId="0" applyAlignment="1" applyBorder="1" applyFont="1" applyNumberFormat="1">
      <alignment horizontal="center" vertical="bottom"/>
    </xf>
    <xf borderId="6" fillId="2" fontId="1" numFmtId="0" xfId="0" applyAlignment="1" applyBorder="1" applyFont="1">
      <alignment horizontal="center" vertical="bottom"/>
    </xf>
    <xf borderId="6" fillId="3" fontId="1" numFmtId="0" xfId="0" applyAlignment="1" applyBorder="1" applyFont="1">
      <alignment horizontal="center" vertical="bottom"/>
    </xf>
    <xf borderId="6" fillId="2" fontId="54" numFmtId="3" xfId="0" applyAlignment="1" applyBorder="1" applyFont="1" applyNumberFormat="1">
      <alignment horizontal="center" vertical="center"/>
    </xf>
    <xf borderId="6" fillId="3" fontId="54" numFmtId="0" xfId="0" applyAlignment="1" applyBorder="1" applyFont="1">
      <alignment horizontal="center" vertical="bottom"/>
    </xf>
    <xf borderId="6" fillId="3" fontId="1" numFmtId="1" xfId="0" applyAlignment="1" applyBorder="1" applyFont="1" applyNumberFormat="1">
      <alignment horizontal="center" vertical="bottom"/>
    </xf>
    <xf borderId="6" fillId="3" fontId="1" numFmtId="0" xfId="0" applyAlignment="1" applyBorder="1" applyFont="1">
      <alignment horizontal="center" vertical="center"/>
    </xf>
    <xf borderId="6" fillId="2" fontId="1" numFmtId="0" xfId="0" applyAlignment="1" applyBorder="1" applyFont="1">
      <alignment horizontal="center" vertical="center"/>
    </xf>
    <xf borderId="6" fillId="6" fontId="1" numFmtId="3" xfId="0" applyAlignment="1" applyBorder="1" applyFont="1" applyNumberFormat="1">
      <alignment horizontal="center" vertical="center"/>
    </xf>
    <xf borderId="6" fillId="2" fontId="1" numFmtId="0" xfId="0" applyAlignment="1" applyBorder="1" applyFont="1">
      <alignment horizontal="left" shrinkToFit="0" vertical="center" wrapText="1"/>
    </xf>
    <xf borderId="6" fillId="3" fontId="54" numFmtId="3" xfId="0" applyAlignment="1" applyBorder="1" applyFont="1" applyNumberFormat="1">
      <alignment horizontal="center" vertical="center"/>
    </xf>
    <xf borderId="6" fillId="3" fontId="54" numFmtId="0" xfId="0" applyAlignment="1" applyBorder="1" applyFont="1">
      <alignment horizontal="center" vertical="center"/>
    </xf>
    <xf borderId="13" fillId="0" fontId="13" numFmtId="0" xfId="0" applyAlignment="1" applyBorder="1" applyFont="1">
      <alignment horizontal="center" vertical="center"/>
    </xf>
    <xf borderId="29" fillId="0" fontId="9" numFmtId="0" xfId="0" applyAlignment="1" applyBorder="1" applyFont="1">
      <alignment horizontal="center" vertical="bottom"/>
    </xf>
    <xf borderId="13" fillId="0" fontId="9" numFmtId="0" xfId="0" applyAlignment="1" applyBorder="1" applyFont="1">
      <alignment horizontal="center" vertical="bottom"/>
    </xf>
    <xf borderId="30" fillId="2" fontId="55" numFmtId="0" xfId="0" applyAlignment="1" applyBorder="1" applyFont="1">
      <alignment horizontal="center" vertical="bottom"/>
    </xf>
    <xf borderId="31" fillId="0" fontId="3" numFmtId="0" xfId="0" applyAlignment="1" applyBorder="1" applyFont="1">
      <alignment vertical="center"/>
    </xf>
    <xf borderId="13" fillId="0" fontId="9" numFmtId="0" xfId="0" applyAlignment="1" applyBorder="1" applyFont="1">
      <alignment horizontal="center" shrinkToFit="0" vertical="bottom" wrapText="1"/>
    </xf>
    <xf borderId="12" fillId="6" fontId="9" numFmtId="3" xfId="0" applyAlignment="1" applyBorder="1" applyFont="1" applyNumberFormat="1">
      <alignment horizontal="center" vertical="center"/>
    </xf>
    <xf borderId="0" fillId="0" fontId="9" numFmtId="165" xfId="0" applyAlignment="1" applyFont="1" applyNumberFormat="1">
      <alignment horizontal="center" vertical="bottom"/>
    </xf>
    <xf borderId="4" fillId="6" fontId="1" numFmtId="3" xfId="0" applyAlignment="1" applyBorder="1" applyFont="1" applyNumberFormat="1">
      <alignment horizontal="left" vertical="bottom"/>
    </xf>
    <xf borderId="0" fillId="0" fontId="9" numFmtId="165" xfId="0" applyAlignment="1" applyFont="1" applyNumberFormat="1">
      <alignment horizontal="left" vertical="top"/>
    </xf>
    <xf borderId="1" fillId="0" fontId="13" numFmtId="0" xfId="0" applyAlignment="1" applyBorder="1" applyFont="1">
      <alignment horizontal="center" vertical="bottom"/>
    </xf>
    <xf borderId="1" fillId="0" fontId="13" numFmtId="0" xfId="0" applyAlignment="1" applyBorder="1" applyFont="1">
      <alignment horizontal="center" shrinkToFit="0" vertical="center" wrapText="1"/>
    </xf>
    <xf borderId="5" fillId="0" fontId="56" numFmtId="0" xfId="0" applyAlignment="1" applyBorder="1" applyFont="1">
      <alignment horizontal="center" vertical="bottom"/>
    </xf>
    <xf borderId="1" fillId="0" fontId="13" numFmtId="0" xfId="0" applyAlignment="1" applyBorder="1" applyFont="1">
      <alignment vertical="bottom"/>
    </xf>
    <xf borderId="5" fillId="3" fontId="9" numFmtId="0" xfId="0" applyAlignment="1" applyBorder="1" applyFont="1">
      <alignment horizontal="center" vertical="bottom"/>
    </xf>
    <xf borderId="5" fillId="3" fontId="1" numFmtId="0" xfId="0" applyAlignment="1" applyBorder="1" applyFont="1">
      <alignment horizontal="center" vertical="bottom"/>
    </xf>
    <xf borderId="5" fillId="3" fontId="1" numFmtId="165" xfId="0" applyAlignment="1" applyBorder="1" applyFont="1" applyNumberFormat="1">
      <alignment horizontal="center" vertical="bottom"/>
    </xf>
    <xf borderId="5" fillId="3" fontId="1" numFmtId="1" xfId="0" applyAlignment="1" applyBorder="1" applyFont="1" applyNumberFormat="1">
      <alignment horizontal="center" vertical="bottom"/>
    </xf>
    <xf borderId="5" fillId="0" fontId="1" numFmtId="0" xfId="0" applyAlignment="1" applyBorder="1" applyFont="1">
      <alignment horizontal="center" vertical="bottom"/>
    </xf>
    <xf borderId="6" fillId="2" fontId="51" numFmtId="0" xfId="0" applyAlignment="1" applyBorder="1" applyFont="1">
      <alignment horizontal="center" vertical="center"/>
    </xf>
    <xf borderId="6" fillId="2" fontId="7" numFmtId="0" xfId="0" applyAlignment="1" applyBorder="1" applyFont="1">
      <alignment horizontal="left" vertical="center"/>
    </xf>
    <xf borderId="6" fillId="0" fontId="8" numFmtId="0" xfId="0" applyAlignment="1" applyBorder="1" applyFont="1">
      <alignment horizontal="center" vertical="center"/>
    </xf>
    <xf borderId="6" fillId="3" fontId="1" numFmtId="3" xfId="0" applyAlignment="1" applyBorder="1" applyFont="1" applyNumberFormat="1">
      <alignment horizontal="center" vertical="center"/>
    </xf>
    <xf borderId="32" fillId="2" fontId="51" numFmtId="0" xfId="0" applyAlignment="1" applyBorder="1" applyFont="1">
      <alignment horizontal="center" vertical="center"/>
    </xf>
    <xf borderId="9" fillId="0" fontId="1" numFmtId="0" xfId="0" applyAlignment="1" applyBorder="1" applyFont="1">
      <alignment horizontal="center" vertical="center"/>
    </xf>
    <xf borderId="33" fillId="2" fontId="7" numFmtId="0" xfId="0" applyAlignment="1" applyBorder="1" applyFont="1">
      <alignment horizontal="left" vertical="center"/>
    </xf>
    <xf borderId="12" fillId="3" fontId="1" numFmtId="0" xfId="0" applyAlignment="1" applyBorder="1" applyFont="1">
      <alignment horizontal="center" vertical="center"/>
    </xf>
    <xf borderId="12" fillId="3" fontId="1" numFmtId="0" xfId="0" applyAlignment="1" applyBorder="1" applyFont="1">
      <alignment horizontal="center" vertical="bottom"/>
    </xf>
    <xf borderId="12" fillId="3" fontId="1" numFmtId="1" xfId="0" applyAlignment="1" applyBorder="1" applyFont="1" applyNumberFormat="1">
      <alignment horizontal="center" vertical="bottom"/>
    </xf>
    <xf borderId="12" fillId="3" fontId="1" numFmtId="0" xfId="0" applyAlignment="1" applyBorder="1" applyFont="1">
      <alignment horizontal="center" shrinkToFit="0" vertical="center" wrapText="1"/>
    </xf>
    <xf borderId="12" fillId="3" fontId="54" numFmtId="3" xfId="0" applyAlignment="1" applyBorder="1" applyFont="1" applyNumberFormat="1">
      <alignment horizontal="center" vertical="center"/>
    </xf>
    <xf borderId="12" fillId="3" fontId="54" numFmtId="0" xfId="0" applyAlignment="1" applyBorder="1" applyFont="1">
      <alignment horizontal="center" vertical="bottom"/>
    </xf>
    <xf borderId="12" fillId="3" fontId="1" numFmtId="3" xfId="0" applyAlignment="1" applyBorder="1" applyFont="1" applyNumberFormat="1">
      <alignment horizontal="center" vertical="center"/>
    </xf>
    <xf borderId="1" fillId="0" fontId="13" numFmtId="0" xfId="0" applyAlignment="1" applyBorder="1" applyFont="1">
      <alignment horizontal="center" vertical="center"/>
    </xf>
    <xf borderId="0" fillId="0" fontId="1" numFmtId="0" xfId="0" applyAlignment="1" applyFont="1">
      <alignment horizontal="left" vertical="center"/>
    </xf>
    <xf borderId="0" fillId="0" fontId="1" numFmtId="165" xfId="0" applyAlignment="1" applyFont="1" applyNumberFormat="1">
      <alignment horizontal="left" vertical="center"/>
    </xf>
    <xf borderId="0" fillId="0" fontId="9" numFmtId="1" xfId="0" applyAlignment="1" applyFont="1" applyNumberFormat="1">
      <alignment horizontal="left" vertical="center"/>
    </xf>
    <xf borderId="0" fillId="0" fontId="5" numFmtId="0" xfId="0" applyAlignment="1" applyFont="1">
      <alignment horizontal="center" shrinkToFit="0" vertical="center" wrapText="1"/>
    </xf>
    <xf borderId="0" fillId="0" fontId="7" numFmtId="0" xfId="0" applyAlignment="1" applyFont="1">
      <alignment vertical="center"/>
    </xf>
    <xf borderId="0" fillId="0" fontId="9" numFmtId="0" xfId="0" applyAlignment="1" applyFont="1">
      <alignment shrinkToFit="0" vertical="center" wrapText="1"/>
    </xf>
    <xf borderId="4" fillId="2" fontId="7" numFmtId="3" xfId="0" applyAlignment="1" applyBorder="1" applyFont="1" applyNumberFormat="1">
      <alignment vertical="center"/>
    </xf>
    <xf borderId="0" fillId="0" fontId="8" numFmtId="0" xfId="0" applyAlignment="1" applyFont="1">
      <alignment vertical="center"/>
    </xf>
    <xf borderId="0" fillId="0" fontId="9" numFmtId="165" xfId="0" applyAlignment="1" applyFont="1" applyNumberFormat="1">
      <alignment horizontal="center" vertical="center"/>
    </xf>
    <xf borderId="0" fillId="0" fontId="9" numFmtId="1" xfId="0" applyAlignment="1" applyFont="1" applyNumberFormat="1">
      <alignment horizontal="center" vertical="center"/>
    </xf>
    <xf borderId="0" fillId="0" fontId="9" numFmtId="0" xfId="0" applyAlignment="1" applyFont="1">
      <alignment horizontal="left" vertical="center"/>
    </xf>
    <xf borderId="0" fillId="0" fontId="13" numFmtId="0" xfId="0" applyAlignment="1" applyFont="1">
      <alignment vertical="center"/>
    </xf>
    <xf borderId="5" fillId="0" fontId="9" numFmtId="0" xfId="0" applyAlignment="1" applyBorder="1" applyFont="1">
      <alignment horizontal="left" vertical="center"/>
    </xf>
    <xf borderId="6" fillId="0" fontId="9" numFmtId="0" xfId="0" applyAlignment="1" applyBorder="1" applyFont="1">
      <alignment horizontal="left" vertical="center"/>
    </xf>
    <xf borderId="1" fillId="0" fontId="13" numFmtId="0" xfId="0" applyAlignment="1" applyBorder="1" applyFont="1">
      <alignment vertical="center"/>
    </xf>
    <xf borderId="5" fillId="3" fontId="9" numFmtId="165" xfId="0" applyAlignment="1" applyBorder="1" applyFont="1" applyNumberFormat="1">
      <alignment horizontal="center" vertical="center"/>
    </xf>
    <xf borderId="5" fillId="3" fontId="9" numFmtId="1" xfId="0" applyAlignment="1" applyBorder="1" applyFont="1" applyNumberFormat="1">
      <alignment horizontal="center" vertical="center"/>
    </xf>
    <xf borderId="34" fillId="2" fontId="7" numFmtId="0" xfId="0" applyAlignment="1" applyBorder="1" applyFont="1">
      <alignment horizontal="center" vertical="center"/>
    </xf>
    <xf borderId="27" fillId="0" fontId="1" numFmtId="0" xfId="0" applyAlignment="1" applyBorder="1" applyFont="1">
      <alignment horizontal="center" vertical="center"/>
    </xf>
    <xf borderId="35" fillId="2" fontId="1" numFmtId="0" xfId="0" applyAlignment="1" applyBorder="1" applyFont="1">
      <alignment horizontal="left" vertical="center"/>
    </xf>
    <xf borderId="6" fillId="0" fontId="1" numFmtId="1" xfId="0" applyAlignment="1" applyBorder="1" applyFont="1" applyNumberFormat="1">
      <alignment horizontal="center" vertical="center"/>
    </xf>
    <xf borderId="6" fillId="2" fontId="1" numFmtId="3" xfId="0" applyAlignment="1" applyBorder="1" applyFont="1" applyNumberFormat="1">
      <alignment horizontal="center" vertical="center"/>
    </xf>
    <xf borderId="6" fillId="3" fontId="1" numFmtId="1" xfId="0" applyAlignment="1" applyBorder="1" applyFont="1" applyNumberFormat="1">
      <alignment horizontal="center" vertical="center"/>
    </xf>
    <xf borderId="35" fillId="2" fontId="1" numFmtId="0" xfId="0" applyAlignment="1" applyBorder="1" applyFont="1">
      <alignment horizontal="left" shrinkToFit="0" vertical="center" wrapText="1"/>
    </xf>
    <xf borderId="36" fillId="0" fontId="1" numFmtId="0" xfId="0" applyAlignment="1" applyBorder="1" applyFont="1">
      <alignment horizontal="center" vertical="center"/>
    </xf>
    <xf borderId="37" fillId="2" fontId="7" numFmtId="0" xfId="0" applyAlignment="1" applyBorder="1" applyFont="1">
      <alignment horizontal="center" vertical="center"/>
    </xf>
    <xf borderId="21" fillId="0" fontId="1" numFmtId="0" xfId="0" applyAlignment="1" applyBorder="1" applyFont="1">
      <alignment horizontal="center" vertical="center"/>
    </xf>
    <xf borderId="20" fillId="2" fontId="7" numFmtId="0" xfId="0" applyAlignment="1" applyBorder="1" applyFont="1">
      <alignment horizontal="center" vertical="center"/>
    </xf>
    <xf borderId="18" fillId="0" fontId="1" numFmtId="0" xfId="0" applyAlignment="1" applyBorder="1" applyFont="1">
      <alignment horizontal="center" vertical="center"/>
    </xf>
    <xf borderId="38" fillId="2" fontId="1" numFmtId="0" xfId="0" applyAlignment="1" applyBorder="1" applyFont="1">
      <alignment horizontal="left" shrinkToFit="0" vertical="center" wrapText="1"/>
    </xf>
    <xf borderId="6" fillId="3" fontId="57" numFmtId="3" xfId="0" applyAlignment="1" applyBorder="1" applyFont="1" applyNumberFormat="1">
      <alignment horizontal="center" vertical="center"/>
    </xf>
    <xf borderId="39" fillId="2" fontId="7" numFmtId="0" xfId="0" applyAlignment="1" applyBorder="1" applyFont="1">
      <alignment horizontal="center" vertical="center"/>
    </xf>
    <xf borderId="4" fillId="2" fontId="1" numFmtId="0" xfId="0" applyAlignment="1" applyBorder="1" applyFont="1">
      <alignment horizontal="left" vertical="center"/>
    </xf>
    <xf borderId="29" fillId="0" fontId="9" numFmtId="0" xfId="0" applyAlignment="1" applyBorder="1" applyFont="1">
      <alignment horizontal="center" vertical="center"/>
    </xf>
    <xf borderId="13" fillId="0" fontId="9" numFmtId="0" xfId="0" applyAlignment="1" applyBorder="1" applyFont="1">
      <alignment horizontal="center" vertical="center"/>
    </xf>
    <xf borderId="30" fillId="2" fontId="55" numFmtId="0" xfId="0" applyAlignment="1" applyBorder="1" applyFont="1">
      <alignment horizontal="center" vertical="center"/>
    </xf>
    <xf borderId="13" fillId="0" fontId="9" numFmtId="0" xfId="0" applyAlignment="1" applyBorder="1" applyFont="1">
      <alignment horizontal="center" shrinkToFit="0" vertical="center" wrapText="1"/>
    </xf>
    <xf borderId="0" fillId="0" fontId="1" numFmtId="0" xfId="0" applyAlignment="1" applyFont="1">
      <alignment horizontal="center" vertical="center"/>
    </xf>
    <xf borderId="0" fillId="0" fontId="8" numFmtId="0" xfId="0" applyAlignment="1" applyFont="1">
      <alignment horizontal="center" vertical="center"/>
    </xf>
    <xf borderId="4" fillId="6" fontId="1" numFmtId="3" xfId="0" applyAlignment="1" applyBorder="1" applyFont="1" applyNumberFormat="1">
      <alignment horizontal="left" vertical="center"/>
    </xf>
    <xf borderId="0" fillId="0" fontId="1" numFmtId="3" xfId="0" applyAlignment="1" applyFont="1" applyNumberFormat="1">
      <alignment horizontal="left" vertical="center"/>
    </xf>
    <xf borderId="0" fillId="0" fontId="9" numFmtId="165" xfId="0" applyAlignment="1" applyFont="1" applyNumberFormat="1">
      <alignment horizontal="lef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0</xdr:row>
      <xdr:rowOff>123825</xdr:rowOff>
    </xdr:from>
    <xdr:ext cx="65722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638175</xdr:colOff>
      <xdr:row>3</xdr:row>
      <xdr:rowOff>66675</xdr:rowOff>
    </xdr:from>
    <xdr:ext cx="65722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0</xdr:row>
      <xdr:rowOff>123825</xdr:rowOff>
    </xdr:from>
    <xdr:ext cx="771525"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1</xdr:row>
      <xdr:rowOff>28575</xdr:rowOff>
    </xdr:from>
    <xdr:ext cx="1000125" cy="742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3.25"/>
    <col customWidth="1" min="3" max="3" width="23.13"/>
    <col customWidth="1" min="4" max="4" width="5.25"/>
    <col customWidth="1" min="5" max="6" width="5.88"/>
    <col customWidth="1" min="7" max="7" width="5.0"/>
    <col customWidth="1" min="8" max="8" width="3.88"/>
    <col customWidth="1" min="9" max="9" width="5.63"/>
    <col customWidth="1" min="10" max="10" width="4.13"/>
    <col customWidth="1" min="11" max="11" width="5.88"/>
    <col customWidth="1" min="12" max="12" width="4.75"/>
    <col customWidth="1" min="13" max="13" width="5.63"/>
    <col customWidth="1" min="14" max="14" width="3.88"/>
    <col customWidth="1" min="15" max="16" width="5.0"/>
    <col customWidth="1" min="17" max="17" width="4.5"/>
    <col customWidth="1" min="18" max="22" width="4.88"/>
  </cols>
  <sheetData>
    <row r="1" ht="12.75" customHeight="1">
      <c r="A1" s="1"/>
      <c r="B1" s="1"/>
      <c r="C1" s="2"/>
      <c r="D1" s="1"/>
      <c r="E1" s="1"/>
      <c r="F1" s="1"/>
      <c r="G1" s="1"/>
      <c r="H1" s="1"/>
      <c r="I1" s="1"/>
      <c r="J1" s="1"/>
      <c r="K1" s="1"/>
      <c r="L1" s="1"/>
      <c r="M1" s="3" t="s">
        <v>0</v>
      </c>
      <c r="N1" s="4"/>
      <c r="O1" s="4"/>
      <c r="P1" s="4"/>
      <c r="Q1" s="4"/>
      <c r="R1" s="4"/>
      <c r="S1" s="4"/>
      <c r="T1" s="5"/>
      <c r="U1" s="6"/>
      <c r="V1" s="6"/>
    </row>
    <row r="2" ht="21.75" customHeight="1">
      <c r="A2" s="7" t="s">
        <v>1</v>
      </c>
      <c r="U2" s="7"/>
      <c r="V2" s="7"/>
    </row>
    <row r="3" ht="21.75" customHeight="1">
      <c r="A3" s="8" t="s">
        <v>2</v>
      </c>
      <c r="U3" s="8"/>
      <c r="V3" s="8"/>
    </row>
    <row r="4" ht="11.25" customHeight="1">
      <c r="A4" s="9" t="s">
        <v>3</v>
      </c>
      <c r="U4" s="9"/>
      <c r="V4" s="9"/>
    </row>
    <row r="5" ht="6.0" customHeight="1">
      <c r="A5" s="10"/>
      <c r="B5" s="10"/>
      <c r="D5" s="10"/>
      <c r="E5" s="10"/>
      <c r="F5" s="10"/>
      <c r="G5" s="10"/>
      <c r="H5" s="10"/>
      <c r="I5" s="10"/>
      <c r="J5" s="10"/>
      <c r="K5" s="11"/>
      <c r="L5" s="10"/>
      <c r="M5" s="10"/>
      <c r="N5" s="12"/>
      <c r="O5" s="12"/>
      <c r="P5" s="12"/>
      <c r="Q5" s="12"/>
      <c r="R5" s="13"/>
      <c r="S5" s="13"/>
      <c r="T5" s="13"/>
      <c r="U5" s="13"/>
      <c r="V5" s="13"/>
    </row>
    <row r="6" ht="20.25" customHeight="1">
      <c r="A6" s="10"/>
      <c r="B6" s="10"/>
      <c r="C6" s="14" t="s">
        <v>4</v>
      </c>
      <c r="D6" s="12"/>
      <c r="E6" s="10"/>
      <c r="F6" s="10"/>
      <c r="G6" s="10"/>
      <c r="H6" s="9" t="s">
        <v>5</v>
      </c>
      <c r="I6" s="10"/>
      <c r="J6" s="10"/>
      <c r="K6" s="11"/>
      <c r="M6" s="10"/>
      <c r="N6" s="10"/>
      <c r="O6" s="15" t="s">
        <v>6</v>
      </c>
      <c r="R6" s="16"/>
      <c r="S6" s="16"/>
      <c r="T6" s="16"/>
      <c r="U6" s="16"/>
      <c r="V6" s="16"/>
    </row>
    <row r="7" ht="14.25" customHeight="1">
      <c r="A7" s="17" t="s">
        <v>7</v>
      </c>
      <c r="B7" s="17" t="s">
        <v>8</v>
      </c>
      <c r="C7" s="18" t="s">
        <v>9</v>
      </c>
      <c r="D7" s="19">
        <v>36.0</v>
      </c>
      <c r="E7" s="5"/>
      <c r="F7" s="20">
        <v>30.0</v>
      </c>
      <c r="G7" s="5"/>
      <c r="H7" s="20">
        <v>55.0</v>
      </c>
      <c r="I7" s="5"/>
      <c r="J7" s="20">
        <v>44.0</v>
      </c>
      <c r="K7" s="5"/>
      <c r="L7" s="20">
        <v>11.0</v>
      </c>
      <c r="M7" s="5"/>
      <c r="N7" s="20">
        <v>22.0</v>
      </c>
      <c r="O7" s="5"/>
      <c r="P7" s="20">
        <v>7.0</v>
      </c>
      <c r="Q7" s="5"/>
      <c r="R7" s="21">
        <v>46337.0</v>
      </c>
      <c r="S7" s="5"/>
      <c r="T7" s="22">
        <v>46336.0</v>
      </c>
      <c r="U7" s="23"/>
      <c r="V7" s="24" t="s">
        <v>10</v>
      </c>
    </row>
    <row r="8" ht="22.5" customHeight="1">
      <c r="A8" s="25"/>
      <c r="B8" s="25"/>
      <c r="C8" s="18" t="s">
        <v>11</v>
      </c>
      <c r="D8" s="26" t="s">
        <v>12</v>
      </c>
      <c r="E8" s="5"/>
      <c r="F8" s="27" t="s">
        <v>13</v>
      </c>
      <c r="G8" s="5"/>
      <c r="H8" s="27" t="s">
        <v>14</v>
      </c>
      <c r="I8" s="5"/>
      <c r="J8" s="27" t="s">
        <v>15</v>
      </c>
      <c r="K8" s="5"/>
      <c r="L8" s="27" t="s">
        <v>16</v>
      </c>
      <c r="M8" s="5"/>
      <c r="N8" s="27" t="s">
        <v>17</v>
      </c>
      <c r="O8" s="5"/>
      <c r="P8" s="27" t="s">
        <v>18</v>
      </c>
      <c r="Q8" s="5"/>
      <c r="R8" s="27" t="s">
        <v>19</v>
      </c>
      <c r="S8" s="5"/>
      <c r="T8" s="27" t="s">
        <v>20</v>
      </c>
      <c r="U8" s="5"/>
      <c r="V8" s="28"/>
    </row>
    <row r="9" ht="11.25" customHeight="1">
      <c r="A9" s="25"/>
      <c r="B9" s="25"/>
      <c r="C9" s="29" t="s">
        <v>21</v>
      </c>
      <c r="D9" s="30" t="s">
        <v>22</v>
      </c>
      <c r="E9" s="31" t="s">
        <v>23</v>
      </c>
      <c r="F9" s="31" t="s">
        <v>22</v>
      </c>
      <c r="G9" s="31" t="s">
        <v>23</v>
      </c>
      <c r="H9" s="31" t="s">
        <v>22</v>
      </c>
      <c r="I9" s="32" t="s">
        <v>23</v>
      </c>
      <c r="J9" s="31" t="s">
        <v>22</v>
      </c>
      <c r="K9" s="31" t="s">
        <v>23</v>
      </c>
      <c r="L9" s="31" t="s">
        <v>22</v>
      </c>
      <c r="M9" s="31" t="s">
        <v>23</v>
      </c>
      <c r="N9" s="31" t="s">
        <v>22</v>
      </c>
      <c r="O9" s="31" t="s">
        <v>23</v>
      </c>
      <c r="P9" s="31" t="s">
        <v>22</v>
      </c>
      <c r="Q9" s="31" t="s">
        <v>23</v>
      </c>
      <c r="R9" s="31" t="s">
        <v>22</v>
      </c>
      <c r="S9" s="31" t="s">
        <v>23</v>
      </c>
      <c r="T9" s="31" t="s">
        <v>22</v>
      </c>
      <c r="U9" s="31" t="s">
        <v>23</v>
      </c>
      <c r="V9" s="28"/>
    </row>
    <row r="10" ht="9.0" customHeight="1">
      <c r="A10" s="33"/>
      <c r="B10" s="33"/>
      <c r="C10" s="34"/>
      <c r="D10" s="35"/>
      <c r="E10" s="28"/>
      <c r="F10" s="28"/>
      <c r="G10" s="34"/>
      <c r="H10" s="28"/>
      <c r="I10" s="28"/>
      <c r="J10" s="28"/>
      <c r="K10" s="28"/>
      <c r="L10" s="28"/>
      <c r="M10" s="28"/>
      <c r="N10" s="28"/>
      <c r="O10" s="34"/>
      <c r="P10" s="28"/>
      <c r="Q10" s="34"/>
      <c r="R10" s="28"/>
      <c r="S10" s="34"/>
      <c r="T10" s="28"/>
      <c r="U10" s="34"/>
      <c r="V10" s="34"/>
    </row>
    <row r="11" ht="22.5" customHeight="1">
      <c r="A11" s="36">
        <v>1.0</v>
      </c>
      <c r="B11" s="37" t="s">
        <v>24</v>
      </c>
      <c r="C11" s="38" t="s">
        <v>25</v>
      </c>
      <c r="D11" s="39">
        <v>19.0</v>
      </c>
      <c r="E11" s="40">
        <f t="shared" ref="E11:E67" si="1">ROUNDUP((D11/36)*100,0)</f>
        <v>53</v>
      </c>
      <c r="F11" s="39">
        <v>15.0</v>
      </c>
      <c r="G11" s="41">
        <f t="shared" ref="G11:G67" si="2">(F11/30)*100</f>
        <v>50</v>
      </c>
      <c r="H11" s="42">
        <v>27.0</v>
      </c>
      <c r="I11" s="43">
        <f t="shared" ref="I11:I67" si="3">(H11/55)*100</f>
        <v>49.09090909</v>
      </c>
      <c r="J11" s="39">
        <v>31.0</v>
      </c>
      <c r="K11" s="40">
        <f t="shared" ref="K11:K67" si="4">ROUNDUP((J11/44)*100,0)</f>
        <v>71</v>
      </c>
      <c r="L11" s="39">
        <v>10.0</v>
      </c>
      <c r="M11" s="44">
        <f t="shared" ref="M11:M67" si="5">(L11/11)*100</f>
        <v>90.90909091</v>
      </c>
      <c r="N11" s="39">
        <v>15.0</v>
      </c>
      <c r="O11" s="44">
        <f t="shared" ref="O11:O67" si="6">(N11/22)*100</f>
        <v>68.18181818</v>
      </c>
      <c r="P11" s="42">
        <v>6.0</v>
      </c>
      <c r="Q11" s="44">
        <f t="shared" ref="Q11:Q67" si="7">(P11/7)*100</f>
        <v>85.71428571</v>
      </c>
      <c r="R11" s="45">
        <v>6.0</v>
      </c>
      <c r="S11" s="46">
        <f t="shared" ref="S11:S67" si="8">(R11/11)*100</f>
        <v>54.54545455</v>
      </c>
      <c r="T11" s="45">
        <v>6.0</v>
      </c>
      <c r="U11" s="46">
        <f t="shared" ref="U11:U38" si="9">ROUNDUP((T11/11)*100,0)</f>
        <v>55</v>
      </c>
      <c r="V11" s="47">
        <f t="shared" ref="V11:V67" si="10">average(E11,G11,I11,K11,M11,O11,Q11,S11,U11)</f>
        <v>64.16017316</v>
      </c>
    </row>
    <row r="12" ht="20.25" customHeight="1">
      <c r="A12" s="36">
        <v>2.0</v>
      </c>
      <c r="B12" s="37" t="s">
        <v>26</v>
      </c>
      <c r="C12" s="38" t="s">
        <v>27</v>
      </c>
      <c r="D12" s="39">
        <v>22.0</v>
      </c>
      <c r="E12" s="40">
        <f t="shared" si="1"/>
        <v>62</v>
      </c>
      <c r="F12" s="48">
        <v>23.0</v>
      </c>
      <c r="G12" s="41">
        <f t="shared" si="2"/>
        <v>76.66666667</v>
      </c>
      <c r="H12" s="42">
        <v>42.0</v>
      </c>
      <c r="I12" s="43">
        <f t="shared" si="3"/>
        <v>76.36363636</v>
      </c>
      <c r="J12" s="39">
        <v>40.0</v>
      </c>
      <c r="K12" s="40">
        <f t="shared" si="4"/>
        <v>91</v>
      </c>
      <c r="L12" s="39">
        <v>8.0</v>
      </c>
      <c r="M12" s="44">
        <f t="shared" si="5"/>
        <v>72.72727273</v>
      </c>
      <c r="N12" s="39">
        <v>16.0</v>
      </c>
      <c r="O12" s="44">
        <f t="shared" si="6"/>
        <v>72.72727273</v>
      </c>
      <c r="P12" s="42">
        <v>6.0</v>
      </c>
      <c r="Q12" s="44">
        <f t="shared" si="7"/>
        <v>85.71428571</v>
      </c>
      <c r="R12" s="45">
        <v>3.0</v>
      </c>
      <c r="S12" s="46">
        <f t="shared" si="8"/>
        <v>27.27272727</v>
      </c>
      <c r="T12" s="45">
        <v>11.0</v>
      </c>
      <c r="U12" s="46">
        <f t="shared" si="9"/>
        <v>100</v>
      </c>
      <c r="V12" s="47">
        <f t="shared" si="10"/>
        <v>73.83020683</v>
      </c>
    </row>
    <row r="13" ht="18.0" customHeight="1">
      <c r="A13" s="36">
        <v>3.0</v>
      </c>
      <c r="B13" s="37" t="s">
        <v>28</v>
      </c>
      <c r="C13" s="38" t="s">
        <v>29</v>
      </c>
      <c r="D13" s="39">
        <v>36.0</v>
      </c>
      <c r="E13" s="40">
        <f t="shared" si="1"/>
        <v>100</v>
      </c>
      <c r="F13" s="48">
        <v>27.0</v>
      </c>
      <c r="G13" s="41">
        <f t="shared" si="2"/>
        <v>90</v>
      </c>
      <c r="H13" s="42">
        <v>47.0</v>
      </c>
      <c r="I13" s="43">
        <f t="shared" si="3"/>
        <v>85.45454545</v>
      </c>
      <c r="J13" s="39">
        <v>40.0</v>
      </c>
      <c r="K13" s="40">
        <f t="shared" si="4"/>
        <v>91</v>
      </c>
      <c r="L13" s="39">
        <v>11.0</v>
      </c>
      <c r="M13" s="44">
        <f t="shared" si="5"/>
        <v>100</v>
      </c>
      <c r="N13" s="39">
        <v>18.0</v>
      </c>
      <c r="O13" s="44">
        <f t="shared" si="6"/>
        <v>81.81818182</v>
      </c>
      <c r="P13" s="42">
        <v>7.0</v>
      </c>
      <c r="Q13" s="44">
        <f t="shared" si="7"/>
        <v>100</v>
      </c>
      <c r="R13" s="45">
        <v>9.0</v>
      </c>
      <c r="S13" s="46">
        <f t="shared" si="8"/>
        <v>81.81818182</v>
      </c>
      <c r="T13" s="45">
        <v>11.0</v>
      </c>
      <c r="U13" s="46">
        <f t="shared" si="9"/>
        <v>100</v>
      </c>
      <c r="V13" s="47">
        <f t="shared" si="10"/>
        <v>92.23232323</v>
      </c>
    </row>
    <row r="14" ht="18.0" customHeight="1">
      <c r="A14" s="36">
        <v>4.0</v>
      </c>
      <c r="B14" s="37" t="s">
        <v>30</v>
      </c>
      <c r="C14" s="38" t="s">
        <v>31</v>
      </c>
      <c r="D14" s="39">
        <v>36.0</v>
      </c>
      <c r="E14" s="40">
        <f t="shared" si="1"/>
        <v>100</v>
      </c>
      <c r="F14" s="48">
        <v>27.0</v>
      </c>
      <c r="G14" s="41">
        <f t="shared" si="2"/>
        <v>90</v>
      </c>
      <c r="H14" s="42">
        <v>51.0</v>
      </c>
      <c r="I14" s="43">
        <f t="shared" si="3"/>
        <v>92.72727273</v>
      </c>
      <c r="J14" s="39">
        <v>38.0</v>
      </c>
      <c r="K14" s="40">
        <f t="shared" si="4"/>
        <v>87</v>
      </c>
      <c r="L14" s="39">
        <v>10.0</v>
      </c>
      <c r="M14" s="44">
        <f t="shared" si="5"/>
        <v>90.90909091</v>
      </c>
      <c r="N14" s="39">
        <v>21.0</v>
      </c>
      <c r="O14" s="44">
        <f t="shared" si="6"/>
        <v>95.45454545</v>
      </c>
      <c r="P14" s="42">
        <v>7.0</v>
      </c>
      <c r="Q14" s="44">
        <f t="shared" si="7"/>
        <v>100</v>
      </c>
      <c r="R14" s="45">
        <v>7.0</v>
      </c>
      <c r="S14" s="46">
        <f t="shared" si="8"/>
        <v>63.63636364</v>
      </c>
      <c r="T14" s="45">
        <v>11.0</v>
      </c>
      <c r="U14" s="46">
        <f t="shared" si="9"/>
        <v>100</v>
      </c>
      <c r="V14" s="47">
        <f t="shared" si="10"/>
        <v>91.08080808</v>
      </c>
    </row>
    <row r="15" ht="18.0" customHeight="1">
      <c r="A15" s="36">
        <v>5.0</v>
      </c>
      <c r="B15" s="37" t="s">
        <v>32</v>
      </c>
      <c r="C15" s="38" t="s">
        <v>33</v>
      </c>
      <c r="D15" s="39">
        <v>28.0</v>
      </c>
      <c r="E15" s="40">
        <f t="shared" si="1"/>
        <v>78</v>
      </c>
      <c r="F15" s="48">
        <v>26.0</v>
      </c>
      <c r="G15" s="41">
        <f t="shared" si="2"/>
        <v>86.66666667</v>
      </c>
      <c r="H15" s="42">
        <v>43.0</v>
      </c>
      <c r="I15" s="43">
        <f t="shared" si="3"/>
        <v>78.18181818</v>
      </c>
      <c r="J15" s="39">
        <v>37.0</v>
      </c>
      <c r="K15" s="40">
        <f t="shared" si="4"/>
        <v>85</v>
      </c>
      <c r="L15" s="39">
        <v>10.0</v>
      </c>
      <c r="M15" s="44">
        <f t="shared" si="5"/>
        <v>90.90909091</v>
      </c>
      <c r="N15" s="39">
        <v>21.0</v>
      </c>
      <c r="O15" s="44">
        <f t="shared" si="6"/>
        <v>95.45454545</v>
      </c>
      <c r="P15" s="42">
        <v>3.0</v>
      </c>
      <c r="Q15" s="44">
        <f t="shared" si="7"/>
        <v>42.85714286</v>
      </c>
      <c r="R15" s="45">
        <v>10.0</v>
      </c>
      <c r="S15" s="46">
        <f t="shared" si="8"/>
        <v>90.90909091</v>
      </c>
      <c r="T15" s="45">
        <v>11.0</v>
      </c>
      <c r="U15" s="46">
        <f t="shared" si="9"/>
        <v>100</v>
      </c>
      <c r="V15" s="47">
        <f t="shared" si="10"/>
        <v>83.10870611</v>
      </c>
    </row>
    <row r="16" ht="18.0" customHeight="1">
      <c r="A16" s="36">
        <v>6.0</v>
      </c>
      <c r="B16" s="37" t="s">
        <v>34</v>
      </c>
      <c r="C16" s="38" t="s">
        <v>35</v>
      </c>
      <c r="D16" s="39">
        <v>24.0</v>
      </c>
      <c r="E16" s="40">
        <f t="shared" si="1"/>
        <v>67</v>
      </c>
      <c r="F16" s="48">
        <v>19.0</v>
      </c>
      <c r="G16" s="41">
        <f t="shared" si="2"/>
        <v>63.33333333</v>
      </c>
      <c r="H16" s="42">
        <v>35.0</v>
      </c>
      <c r="I16" s="43">
        <f t="shared" si="3"/>
        <v>63.63636364</v>
      </c>
      <c r="J16" s="39">
        <v>33.0</v>
      </c>
      <c r="K16" s="40">
        <f t="shared" si="4"/>
        <v>75</v>
      </c>
      <c r="L16" s="39">
        <v>9.0</v>
      </c>
      <c r="M16" s="44">
        <f t="shared" si="5"/>
        <v>81.81818182</v>
      </c>
      <c r="N16" s="39">
        <v>14.0</v>
      </c>
      <c r="O16" s="44">
        <f t="shared" si="6"/>
        <v>63.63636364</v>
      </c>
      <c r="P16" s="42">
        <v>4.0</v>
      </c>
      <c r="Q16" s="44">
        <f t="shared" si="7"/>
        <v>57.14285714</v>
      </c>
      <c r="R16" s="45">
        <v>4.0</v>
      </c>
      <c r="S16" s="46">
        <f t="shared" si="8"/>
        <v>36.36363636</v>
      </c>
      <c r="T16" s="45">
        <v>5.0</v>
      </c>
      <c r="U16" s="46">
        <f t="shared" si="9"/>
        <v>46</v>
      </c>
      <c r="V16" s="47">
        <f t="shared" si="10"/>
        <v>61.54785955</v>
      </c>
    </row>
    <row r="17" ht="18.0" customHeight="1">
      <c r="A17" s="36">
        <v>7.0</v>
      </c>
      <c r="B17" s="37" t="s">
        <v>36</v>
      </c>
      <c r="C17" s="38" t="s">
        <v>37</v>
      </c>
      <c r="D17" s="39">
        <v>23.0</v>
      </c>
      <c r="E17" s="40">
        <f t="shared" si="1"/>
        <v>64</v>
      </c>
      <c r="F17" s="48">
        <v>20.0</v>
      </c>
      <c r="G17" s="41">
        <f t="shared" si="2"/>
        <v>66.66666667</v>
      </c>
      <c r="H17" s="42">
        <v>32.0</v>
      </c>
      <c r="I17" s="43">
        <f t="shared" si="3"/>
        <v>58.18181818</v>
      </c>
      <c r="J17" s="39">
        <v>30.0</v>
      </c>
      <c r="K17" s="40">
        <f t="shared" si="4"/>
        <v>69</v>
      </c>
      <c r="L17" s="39">
        <v>8.0</v>
      </c>
      <c r="M17" s="44">
        <f t="shared" si="5"/>
        <v>72.72727273</v>
      </c>
      <c r="N17" s="39">
        <v>16.0</v>
      </c>
      <c r="O17" s="44">
        <f t="shared" si="6"/>
        <v>72.72727273</v>
      </c>
      <c r="P17" s="42">
        <v>6.0</v>
      </c>
      <c r="Q17" s="44">
        <f t="shared" si="7"/>
        <v>85.71428571</v>
      </c>
      <c r="R17" s="45">
        <v>5.0</v>
      </c>
      <c r="S17" s="46">
        <f t="shared" si="8"/>
        <v>45.45454545</v>
      </c>
      <c r="T17" s="45">
        <v>7.0</v>
      </c>
      <c r="U17" s="46">
        <f t="shared" si="9"/>
        <v>64</v>
      </c>
      <c r="V17" s="47">
        <f t="shared" si="10"/>
        <v>66.4968735</v>
      </c>
    </row>
    <row r="18" ht="18.0" customHeight="1">
      <c r="A18" s="36">
        <v>8.0</v>
      </c>
      <c r="B18" s="37" t="s">
        <v>38</v>
      </c>
      <c r="C18" s="38" t="s">
        <v>39</v>
      </c>
      <c r="D18" s="39">
        <v>28.0</v>
      </c>
      <c r="E18" s="40">
        <f t="shared" si="1"/>
        <v>78</v>
      </c>
      <c r="F18" s="48">
        <v>22.0</v>
      </c>
      <c r="G18" s="41">
        <f t="shared" si="2"/>
        <v>73.33333333</v>
      </c>
      <c r="H18" s="42">
        <v>43.0</v>
      </c>
      <c r="I18" s="43">
        <f t="shared" si="3"/>
        <v>78.18181818</v>
      </c>
      <c r="J18" s="39">
        <v>35.0</v>
      </c>
      <c r="K18" s="40">
        <f t="shared" si="4"/>
        <v>80</v>
      </c>
      <c r="L18" s="39">
        <v>8.0</v>
      </c>
      <c r="M18" s="44">
        <f t="shared" si="5"/>
        <v>72.72727273</v>
      </c>
      <c r="N18" s="39">
        <v>18.0</v>
      </c>
      <c r="O18" s="44">
        <f t="shared" si="6"/>
        <v>81.81818182</v>
      </c>
      <c r="P18" s="42">
        <v>7.0</v>
      </c>
      <c r="Q18" s="44">
        <f t="shared" si="7"/>
        <v>100</v>
      </c>
      <c r="R18" s="45">
        <v>5.0</v>
      </c>
      <c r="S18" s="46">
        <f t="shared" si="8"/>
        <v>45.45454545</v>
      </c>
      <c r="T18" s="45">
        <v>8.0</v>
      </c>
      <c r="U18" s="46">
        <f t="shared" si="9"/>
        <v>73</v>
      </c>
      <c r="V18" s="47">
        <f t="shared" si="10"/>
        <v>75.83501684</v>
      </c>
    </row>
    <row r="19" ht="18.0" customHeight="1">
      <c r="A19" s="36">
        <v>9.0</v>
      </c>
      <c r="B19" s="37" t="s">
        <v>40</v>
      </c>
      <c r="C19" s="38" t="s">
        <v>41</v>
      </c>
      <c r="D19" s="39">
        <v>25.0</v>
      </c>
      <c r="E19" s="40">
        <f t="shared" si="1"/>
        <v>70</v>
      </c>
      <c r="F19" s="48">
        <v>25.0</v>
      </c>
      <c r="G19" s="41">
        <f t="shared" si="2"/>
        <v>83.33333333</v>
      </c>
      <c r="H19" s="42">
        <v>42.0</v>
      </c>
      <c r="I19" s="43">
        <f t="shared" si="3"/>
        <v>76.36363636</v>
      </c>
      <c r="J19" s="39">
        <v>40.0</v>
      </c>
      <c r="K19" s="40">
        <f t="shared" si="4"/>
        <v>91</v>
      </c>
      <c r="L19" s="39">
        <v>8.0</v>
      </c>
      <c r="M19" s="44">
        <f t="shared" si="5"/>
        <v>72.72727273</v>
      </c>
      <c r="N19" s="39">
        <v>20.0</v>
      </c>
      <c r="O19" s="44">
        <f t="shared" si="6"/>
        <v>90.90909091</v>
      </c>
      <c r="P19" s="42">
        <v>7.0</v>
      </c>
      <c r="Q19" s="44">
        <f t="shared" si="7"/>
        <v>100</v>
      </c>
      <c r="R19" s="45">
        <v>6.0</v>
      </c>
      <c r="S19" s="46">
        <f t="shared" si="8"/>
        <v>54.54545455</v>
      </c>
      <c r="T19" s="45">
        <v>9.0</v>
      </c>
      <c r="U19" s="46">
        <f t="shared" si="9"/>
        <v>82</v>
      </c>
      <c r="V19" s="47">
        <f t="shared" si="10"/>
        <v>80.0976431</v>
      </c>
    </row>
    <row r="20" ht="18.0" customHeight="1">
      <c r="A20" s="36">
        <v>10.0</v>
      </c>
      <c r="B20" s="37" t="s">
        <v>42</v>
      </c>
      <c r="C20" s="38" t="s">
        <v>43</v>
      </c>
      <c r="D20" s="39">
        <v>32.0</v>
      </c>
      <c r="E20" s="40">
        <f t="shared" si="1"/>
        <v>89</v>
      </c>
      <c r="F20" s="48">
        <v>23.0</v>
      </c>
      <c r="G20" s="41">
        <f t="shared" si="2"/>
        <v>76.66666667</v>
      </c>
      <c r="H20" s="42">
        <v>49.0</v>
      </c>
      <c r="I20" s="43">
        <f t="shared" si="3"/>
        <v>89.09090909</v>
      </c>
      <c r="J20" s="39">
        <v>39.0</v>
      </c>
      <c r="K20" s="40">
        <f t="shared" si="4"/>
        <v>89</v>
      </c>
      <c r="L20" s="39">
        <v>10.0</v>
      </c>
      <c r="M20" s="44">
        <f t="shared" si="5"/>
        <v>90.90909091</v>
      </c>
      <c r="N20" s="39">
        <v>19.0</v>
      </c>
      <c r="O20" s="44">
        <f t="shared" si="6"/>
        <v>86.36363636</v>
      </c>
      <c r="P20" s="42">
        <v>5.0</v>
      </c>
      <c r="Q20" s="44">
        <f t="shared" si="7"/>
        <v>71.42857143</v>
      </c>
      <c r="R20" s="45">
        <v>9.0</v>
      </c>
      <c r="S20" s="46">
        <f t="shared" si="8"/>
        <v>81.81818182</v>
      </c>
      <c r="T20" s="45">
        <v>10.0</v>
      </c>
      <c r="U20" s="46">
        <f t="shared" si="9"/>
        <v>91</v>
      </c>
      <c r="V20" s="47">
        <f t="shared" si="10"/>
        <v>85.03078403</v>
      </c>
    </row>
    <row r="21" ht="18.0" customHeight="1">
      <c r="A21" s="36">
        <v>11.0</v>
      </c>
      <c r="B21" s="37" t="s">
        <v>44</v>
      </c>
      <c r="C21" s="38" t="s">
        <v>45</v>
      </c>
      <c r="D21" s="39">
        <v>24.0</v>
      </c>
      <c r="E21" s="40">
        <f t="shared" si="1"/>
        <v>67</v>
      </c>
      <c r="F21" s="48">
        <v>24.0</v>
      </c>
      <c r="G21" s="41">
        <f t="shared" si="2"/>
        <v>80</v>
      </c>
      <c r="H21" s="42">
        <v>45.0</v>
      </c>
      <c r="I21" s="43">
        <f t="shared" si="3"/>
        <v>81.81818182</v>
      </c>
      <c r="J21" s="39">
        <v>38.0</v>
      </c>
      <c r="K21" s="40">
        <f t="shared" si="4"/>
        <v>87</v>
      </c>
      <c r="L21" s="39">
        <v>8.0</v>
      </c>
      <c r="M21" s="44">
        <f t="shared" si="5"/>
        <v>72.72727273</v>
      </c>
      <c r="N21" s="39">
        <v>18.0</v>
      </c>
      <c r="O21" s="44">
        <f t="shared" si="6"/>
        <v>81.81818182</v>
      </c>
      <c r="P21" s="42">
        <v>7.0</v>
      </c>
      <c r="Q21" s="44">
        <f t="shared" si="7"/>
        <v>100</v>
      </c>
      <c r="R21" s="45">
        <v>9.0</v>
      </c>
      <c r="S21" s="46">
        <f t="shared" si="8"/>
        <v>81.81818182</v>
      </c>
      <c r="T21" s="45">
        <v>10.0</v>
      </c>
      <c r="U21" s="46">
        <f t="shared" si="9"/>
        <v>91</v>
      </c>
      <c r="V21" s="47">
        <f t="shared" si="10"/>
        <v>82.57575758</v>
      </c>
    </row>
    <row r="22" ht="18.0" customHeight="1">
      <c r="A22" s="36">
        <v>12.0</v>
      </c>
      <c r="B22" s="37" t="s">
        <v>46</v>
      </c>
      <c r="C22" s="38" t="s">
        <v>47</v>
      </c>
      <c r="D22" s="39">
        <v>35.0</v>
      </c>
      <c r="E22" s="40">
        <f t="shared" si="1"/>
        <v>98</v>
      </c>
      <c r="F22" s="48">
        <v>25.0</v>
      </c>
      <c r="G22" s="41">
        <f t="shared" si="2"/>
        <v>83.33333333</v>
      </c>
      <c r="H22" s="42">
        <v>54.0</v>
      </c>
      <c r="I22" s="43">
        <f t="shared" si="3"/>
        <v>98.18181818</v>
      </c>
      <c r="J22" s="39">
        <v>42.0</v>
      </c>
      <c r="K22" s="40">
        <f t="shared" si="4"/>
        <v>96</v>
      </c>
      <c r="L22" s="39">
        <v>11.0</v>
      </c>
      <c r="M22" s="44">
        <f t="shared" si="5"/>
        <v>100</v>
      </c>
      <c r="N22" s="39">
        <v>21.0</v>
      </c>
      <c r="O22" s="44">
        <f t="shared" si="6"/>
        <v>95.45454545</v>
      </c>
      <c r="P22" s="42">
        <v>5.0</v>
      </c>
      <c r="Q22" s="44">
        <f t="shared" si="7"/>
        <v>71.42857143</v>
      </c>
      <c r="R22" s="45">
        <v>10.0</v>
      </c>
      <c r="S22" s="46">
        <f t="shared" si="8"/>
        <v>90.90909091</v>
      </c>
      <c r="T22" s="45">
        <v>11.0</v>
      </c>
      <c r="U22" s="46">
        <f t="shared" si="9"/>
        <v>100</v>
      </c>
      <c r="V22" s="47">
        <f t="shared" si="10"/>
        <v>92.58970659</v>
      </c>
    </row>
    <row r="23" ht="18.0" customHeight="1">
      <c r="A23" s="36">
        <v>13.0</v>
      </c>
      <c r="B23" s="37" t="s">
        <v>48</v>
      </c>
      <c r="C23" s="38" t="s">
        <v>49</v>
      </c>
      <c r="D23" s="39">
        <v>31.0</v>
      </c>
      <c r="E23" s="40">
        <f t="shared" si="1"/>
        <v>87</v>
      </c>
      <c r="F23" s="48">
        <v>26.0</v>
      </c>
      <c r="G23" s="41">
        <f t="shared" si="2"/>
        <v>86.66666667</v>
      </c>
      <c r="H23" s="42">
        <v>48.0</v>
      </c>
      <c r="I23" s="43">
        <f t="shared" si="3"/>
        <v>87.27272727</v>
      </c>
      <c r="J23" s="39">
        <v>38.0</v>
      </c>
      <c r="K23" s="40">
        <f t="shared" si="4"/>
        <v>87</v>
      </c>
      <c r="L23" s="39">
        <v>10.0</v>
      </c>
      <c r="M23" s="44">
        <f t="shared" si="5"/>
        <v>90.90909091</v>
      </c>
      <c r="N23" s="39">
        <v>21.0</v>
      </c>
      <c r="O23" s="44">
        <f t="shared" si="6"/>
        <v>95.45454545</v>
      </c>
      <c r="P23" s="42">
        <v>7.0</v>
      </c>
      <c r="Q23" s="44">
        <f t="shared" si="7"/>
        <v>100</v>
      </c>
      <c r="R23" s="45">
        <v>10.0</v>
      </c>
      <c r="S23" s="46">
        <f t="shared" si="8"/>
        <v>90.90909091</v>
      </c>
      <c r="T23" s="45">
        <v>10.0</v>
      </c>
      <c r="U23" s="46">
        <f t="shared" si="9"/>
        <v>91</v>
      </c>
      <c r="V23" s="47">
        <f t="shared" si="10"/>
        <v>90.69023569</v>
      </c>
    </row>
    <row r="24" ht="18.0" customHeight="1">
      <c r="A24" s="36">
        <v>14.0</v>
      </c>
      <c r="B24" s="37" t="s">
        <v>50</v>
      </c>
      <c r="C24" s="38" t="s">
        <v>51</v>
      </c>
      <c r="D24" s="39">
        <v>31.0</v>
      </c>
      <c r="E24" s="40">
        <f t="shared" si="1"/>
        <v>87</v>
      </c>
      <c r="F24" s="48">
        <v>26.0</v>
      </c>
      <c r="G24" s="41">
        <f t="shared" si="2"/>
        <v>86.66666667</v>
      </c>
      <c r="H24" s="42">
        <v>49.0</v>
      </c>
      <c r="I24" s="43">
        <f t="shared" si="3"/>
        <v>89.09090909</v>
      </c>
      <c r="J24" s="39">
        <v>43.0</v>
      </c>
      <c r="K24" s="40">
        <f t="shared" si="4"/>
        <v>98</v>
      </c>
      <c r="L24" s="39">
        <v>9.0</v>
      </c>
      <c r="M24" s="44">
        <f t="shared" si="5"/>
        <v>81.81818182</v>
      </c>
      <c r="N24" s="39">
        <v>22.0</v>
      </c>
      <c r="O24" s="44">
        <f t="shared" si="6"/>
        <v>100</v>
      </c>
      <c r="P24" s="42">
        <v>7.0</v>
      </c>
      <c r="Q24" s="44">
        <f t="shared" si="7"/>
        <v>100</v>
      </c>
      <c r="R24" s="45">
        <v>7.0</v>
      </c>
      <c r="S24" s="46">
        <f t="shared" si="8"/>
        <v>63.63636364</v>
      </c>
      <c r="T24" s="45">
        <v>9.0</v>
      </c>
      <c r="U24" s="46">
        <f t="shared" si="9"/>
        <v>82</v>
      </c>
      <c r="V24" s="47">
        <f t="shared" si="10"/>
        <v>87.57912458</v>
      </c>
    </row>
    <row r="25" ht="18.0" customHeight="1">
      <c r="A25" s="36">
        <v>15.0</v>
      </c>
      <c r="B25" s="37" t="s">
        <v>52</v>
      </c>
      <c r="C25" s="38" t="s">
        <v>53</v>
      </c>
      <c r="D25" s="39">
        <v>31.0</v>
      </c>
      <c r="E25" s="40">
        <f t="shared" si="1"/>
        <v>87</v>
      </c>
      <c r="F25" s="48">
        <v>22.0</v>
      </c>
      <c r="G25" s="41">
        <f t="shared" si="2"/>
        <v>73.33333333</v>
      </c>
      <c r="H25" s="42">
        <v>42.0</v>
      </c>
      <c r="I25" s="43">
        <f t="shared" si="3"/>
        <v>76.36363636</v>
      </c>
      <c r="J25" s="39">
        <v>37.0</v>
      </c>
      <c r="K25" s="40">
        <f t="shared" si="4"/>
        <v>85</v>
      </c>
      <c r="L25" s="39">
        <v>9.0</v>
      </c>
      <c r="M25" s="44">
        <f t="shared" si="5"/>
        <v>81.81818182</v>
      </c>
      <c r="N25" s="39">
        <v>15.0</v>
      </c>
      <c r="O25" s="44">
        <f t="shared" si="6"/>
        <v>68.18181818</v>
      </c>
      <c r="P25" s="42">
        <v>5.0</v>
      </c>
      <c r="Q25" s="44">
        <f t="shared" si="7"/>
        <v>71.42857143</v>
      </c>
      <c r="R25" s="45">
        <v>10.0</v>
      </c>
      <c r="S25" s="46">
        <f t="shared" si="8"/>
        <v>90.90909091</v>
      </c>
      <c r="T25" s="45">
        <v>10.0</v>
      </c>
      <c r="U25" s="46">
        <f t="shared" si="9"/>
        <v>91</v>
      </c>
      <c r="V25" s="47">
        <f t="shared" si="10"/>
        <v>80.55940356</v>
      </c>
    </row>
    <row r="26" ht="18.0" customHeight="1">
      <c r="A26" s="36">
        <v>16.0</v>
      </c>
      <c r="B26" s="37" t="s">
        <v>54</v>
      </c>
      <c r="C26" s="38" t="s">
        <v>55</v>
      </c>
      <c r="D26" s="39">
        <v>17.0</v>
      </c>
      <c r="E26" s="40">
        <f t="shared" si="1"/>
        <v>48</v>
      </c>
      <c r="F26" s="48">
        <v>17.0</v>
      </c>
      <c r="G26" s="41">
        <f t="shared" si="2"/>
        <v>56.66666667</v>
      </c>
      <c r="H26" s="42">
        <v>32.0</v>
      </c>
      <c r="I26" s="43">
        <f t="shared" si="3"/>
        <v>58.18181818</v>
      </c>
      <c r="J26" s="39">
        <v>34.0</v>
      </c>
      <c r="K26" s="40">
        <f t="shared" si="4"/>
        <v>78</v>
      </c>
      <c r="L26" s="39">
        <v>8.0</v>
      </c>
      <c r="M26" s="44">
        <f t="shared" si="5"/>
        <v>72.72727273</v>
      </c>
      <c r="N26" s="39">
        <v>14.0</v>
      </c>
      <c r="O26" s="44">
        <f t="shared" si="6"/>
        <v>63.63636364</v>
      </c>
      <c r="P26" s="42">
        <v>4.0</v>
      </c>
      <c r="Q26" s="44">
        <f t="shared" si="7"/>
        <v>57.14285714</v>
      </c>
      <c r="R26" s="45">
        <v>5.0</v>
      </c>
      <c r="S26" s="46">
        <f t="shared" si="8"/>
        <v>45.45454545</v>
      </c>
      <c r="T26" s="45">
        <v>7.0</v>
      </c>
      <c r="U26" s="46">
        <f t="shared" si="9"/>
        <v>64</v>
      </c>
      <c r="V26" s="47">
        <f t="shared" si="10"/>
        <v>60.42328042</v>
      </c>
    </row>
    <row r="27" ht="18.0" customHeight="1">
      <c r="A27" s="36">
        <v>17.0</v>
      </c>
      <c r="B27" s="37" t="s">
        <v>56</v>
      </c>
      <c r="C27" s="38" t="s">
        <v>57</v>
      </c>
      <c r="D27" s="39">
        <v>30.0</v>
      </c>
      <c r="E27" s="40">
        <f t="shared" si="1"/>
        <v>84</v>
      </c>
      <c r="F27" s="48">
        <v>25.0</v>
      </c>
      <c r="G27" s="41">
        <f t="shared" si="2"/>
        <v>83.33333333</v>
      </c>
      <c r="H27" s="42">
        <v>42.0</v>
      </c>
      <c r="I27" s="43">
        <f t="shared" si="3"/>
        <v>76.36363636</v>
      </c>
      <c r="J27" s="39">
        <v>40.0</v>
      </c>
      <c r="K27" s="40">
        <f t="shared" si="4"/>
        <v>91</v>
      </c>
      <c r="L27" s="39">
        <v>10.0</v>
      </c>
      <c r="M27" s="44">
        <f t="shared" si="5"/>
        <v>90.90909091</v>
      </c>
      <c r="N27" s="39">
        <v>17.0</v>
      </c>
      <c r="O27" s="44">
        <f t="shared" si="6"/>
        <v>77.27272727</v>
      </c>
      <c r="P27" s="42">
        <v>7.0</v>
      </c>
      <c r="Q27" s="44">
        <f t="shared" si="7"/>
        <v>100</v>
      </c>
      <c r="R27" s="45">
        <v>9.0</v>
      </c>
      <c r="S27" s="46">
        <f t="shared" si="8"/>
        <v>81.81818182</v>
      </c>
      <c r="T27" s="45">
        <v>11.0</v>
      </c>
      <c r="U27" s="46">
        <f t="shared" si="9"/>
        <v>100</v>
      </c>
      <c r="V27" s="47">
        <f t="shared" si="10"/>
        <v>87.18855219</v>
      </c>
    </row>
    <row r="28" ht="18.0" customHeight="1">
      <c r="A28" s="36">
        <v>18.0</v>
      </c>
      <c r="B28" s="37" t="s">
        <v>58</v>
      </c>
      <c r="C28" s="38" t="s">
        <v>59</v>
      </c>
      <c r="D28" s="39">
        <v>31.0</v>
      </c>
      <c r="E28" s="40">
        <f t="shared" si="1"/>
        <v>87</v>
      </c>
      <c r="F28" s="48">
        <v>23.0</v>
      </c>
      <c r="G28" s="41">
        <f t="shared" si="2"/>
        <v>76.66666667</v>
      </c>
      <c r="H28" s="42">
        <v>48.0</v>
      </c>
      <c r="I28" s="43">
        <f t="shared" si="3"/>
        <v>87.27272727</v>
      </c>
      <c r="J28" s="39">
        <v>39.0</v>
      </c>
      <c r="K28" s="40">
        <f t="shared" si="4"/>
        <v>89</v>
      </c>
      <c r="L28" s="39">
        <v>10.0</v>
      </c>
      <c r="M28" s="44">
        <f t="shared" si="5"/>
        <v>90.90909091</v>
      </c>
      <c r="N28" s="39">
        <v>17.0</v>
      </c>
      <c r="O28" s="44">
        <f t="shared" si="6"/>
        <v>77.27272727</v>
      </c>
      <c r="P28" s="42">
        <v>5.0</v>
      </c>
      <c r="Q28" s="44">
        <f t="shared" si="7"/>
        <v>71.42857143</v>
      </c>
      <c r="R28" s="45">
        <v>10.0</v>
      </c>
      <c r="S28" s="46">
        <f t="shared" si="8"/>
        <v>90.90909091</v>
      </c>
      <c r="T28" s="45">
        <v>10.0</v>
      </c>
      <c r="U28" s="46">
        <f t="shared" si="9"/>
        <v>91</v>
      </c>
      <c r="V28" s="47">
        <f t="shared" si="10"/>
        <v>84.60654161</v>
      </c>
    </row>
    <row r="29" ht="18.0" customHeight="1">
      <c r="A29" s="36">
        <v>19.0</v>
      </c>
      <c r="B29" s="37" t="s">
        <v>60</v>
      </c>
      <c r="C29" s="38" t="s">
        <v>61</v>
      </c>
      <c r="D29" s="39">
        <v>26.0</v>
      </c>
      <c r="E29" s="40">
        <f t="shared" si="1"/>
        <v>73</v>
      </c>
      <c r="F29" s="48">
        <v>26.0</v>
      </c>
      <c r="G29" s="41">
        <f t="shared" si="2"/>
        <v>86.66666667</v>
      </c>
      <c r="H29" s="42">
        <v>42.0</v>
      </c>
      <c r="I29" s="43">
        <f t="shared" si="3"/>
        <v>76.36363636</v>
      </c>
      <c r="J29" s="39">
        <v>36.0</v>
      </c>
      <c r="K29" s="40">
        <f t="shared" si="4"/>
        <v>82</v>
      </c>
      <c r="L29" s="39">
        <v>8.0</v>
      </c>
      <c r="M29" s="44">
        <f t="shared" si="5"/>
        <v>72.72727273</v>
      </c>
      <c r="N29" s="39">
        <v>18.0</v>
      </c>
      <c r="O29" s="44">
        <f t="shared" si="6"/>
        <v>81.81818182</v>
      </c>
      <c r="P29" s="42">
        <v>7.0</v>
      </c>
      <c r="Q29" s="44">
        <f t="shared" si="7"/>
        <v>100</v>
      </c>
      <c r="R29" s="45">
        <v>6.0</v>
      </c>
      <c r="S29" s="46">
        <f t="shared" si="8"/>
        <v>54.54545455</v>
      </c>
      <c r="T29" s="45">
        <v>10.0</v>
      </c>
      <c r="U29" s="46">
        <f t="shared" si="9"/>
        <v>91</v>
      </c>
      <c r="V29" s="47">
        <f t="shared" si="10"/>
        <v>79.79124579</v>
      </c>
    </row>
    <row r="30" ht="18.0" customHeight="1">
      <c r="A30" s="36">
        <v>20.0</v>
      </c>
      <c r="B30" s="37" t="s">
        <v>62</v>
      </c>
      <c r="C30" s="38" t="s">
        <v>63</v>
      </c>
      <c r="D30" s="39">
        <v>27.0</v>
      </c>
      <c r="E30" s="40">
        <f t="shared" si="1"/>
        <v>75</v>
      </c>
      <c r="F30" s="48">
        <v>23.0</v>
      </c>
      <c r="G30" s="41">
        <f t="shared" si="2"/>
        <v>76.66666667</v>
      </c>
      <c r="H30" s="42">
        <v>38.0</v>
      </c>
      <c r="I30" s="43">
        <f t="shared" si="3"/>
        <v>69.09090909</v>
      </c>
      <c r="J30" s="39">
        <v>36.0</v>
      </c>
      <c r="K30" s="40">
        <f t="shared" si="4"/>
        <v>82</v>
      </c>
      <c r="L30" s="39">
        <v>9.0</v>
      </c>
      <c r="M30" s="44">
        <f t="shared" si="5"/>
        <v>81.81818182</v>
      </c>
      <c r="N30" s="39">
        <v>16.0</v>
      </c>
      <c r="O30" s="44">
        <f t="shared" si="6"/>
        <v>72.72727273</v>
      </c>
      <c r="P30" s="42">
        <v>3.0</v>
      </c>
      <c r="Q30" s="44">
        <f t="shared" si="7"/>
        <v>42.85714286</v>
      </c>
      <c r="R30" s="45">
        <v>10.0</v>
      </c>
      <c r="S30" s="46">
        <f t="shared" si="8"/>
        <v>90.90909091</v>
      </c>
      <c r="T30" s="45">
        <v>8.0</v>
      </c>
      <c r="U30" s="46">
        <f t="shared" si="9"/>
        <v>73</v>
      </c>
      <c r="V30" s="47">
        <f t="shared" si="10"/>
        <v>73.78547379</v>
      </c>
    </row>
    <row r="31" ht="18.0" customHeight="1">
      <c r="A31" s="36">
        <v>21.0</v>
      </c>
      <c r="B31" s="37" t="s">
        <v>64</v>
      </c>
      <c r="C31" s="38" t="s">
        <v>65</v>
      </c>
      <c r="D31" s="39">
        <v>32.0</v>
      </c>
      <c r="E31" s="40">
        <f t="shared" si="1"/>
        <v>89</v>
      </c>
      <c r="F31" s="48">
        <v>28.0</v>
      </c>
      <c r="G31" s="41">
        <f t="shared" si="2"/>
        <v>93.33333333</v>
      </c>
      <c r="H31" s="42">
        <v>47.0</v>
      </c>
      <c r="I31" s="43">
        <f t="shared" si="3"/>
        <v>85.45454545</v>
      </c>
      <c r="J31" s="39">
        <v>40.0</v>
      </c>
      <c r="K31" s="40">
        <f t="shared" si="4"/>
        <v>91</v>
      </c>
      <c r="L31" s="39">
        <v>11.0</v>
      </c>
      <c r="M31" s="44">
        <f t="shared" si="5"/>
        <v>100</v>
      </c>
      <c r="N31" s="39">
        <v>20.0</v>
      </c>
      <c r="O31" s="44">
        <f t="shared" si="6"/>
        <v>90.90909091</v>
      </c>
      <c r="P31" s="42">
        <v>5.0</v>
      </c>
      <c r="Q31" s="44">
        <f t="shared" si="7"/>
        <v>71.42857143</v>
      </c>
      <c r="R31" s="45">
        <v>10.0</v>
      </c>
      <c r="S31" s="46">
        <f t="shared" si="8"/>
        <v>90.90909091</v>
      </c>
      <c r="T31" s="45">
        <v>11.0</v>
      </c>
      <c r="U31" s="46">
        <f t="shared" si="9"/>
        <v>100</v>
      </c>
      <c r="V31" s="47">
        <f t="shared" si="10"/>
        <v>90.22607023</v>
      </c>
    </row>
    <row r="32" ht="18.0" customHeight="1">
      <c r="A32" s="36">
        <v>22.0</v>
      </c>
      <c r="B32" s="37" t="s">
        <v>66</v>
      </c>
      <c r="C32" s="38" t="s">
        <v>67</v>
      </c>
      <c r="D32" s="39">
        <v>24.0</v>
      </c>
      <c r="E32" s="40">
        <f t="shared" si="1"/>
        <v>67</v>
      </c>
      <c r="F32" s="48">
        <v>24.0</v>
      </c>
      <c r="G32" s="41">
        <f t="shared" si="2"/>
        <v>80</v>
      </c>
      <c r="H32" s="42">
        <v>38.0</v>
      </c>
      <c r="I32" s="43">
        <f t="shared" si="3"/>
        <v>69.09090909</v>
      </c>
      <c r="J32" s="39">
        <v>38.0</v>
      </c>
      <c r="K32" s="40">
        <f t="shared" si="4"/>
        <v>87</v>
      </c>
      <c r="L32" s="39">
        <v>8.0</v>
      </c>
      <c r="M32" s="44">
        <f t="shared" si="5"/>
        <v>72.72727273</v>
      </c>
      <c r="N32" s="39">
        <v>19.0</v>
      </c>
      <c r="O32" s="44">
        <f t="shared" si="6"/>
        <v>86.36363636</v>
      </c>
      <c r="P32" s="42">
        <v>5.0</v>
      </c>
      <c r="Q32" s="44">
        <f t="shared" si="7"/>
        <v>71.42857143</v>
      </c>
      <c r="R32" s="45">
        <v>10.0</v>
      </c>
      <c r="S32" s="46">
        <f t="shared" si="8"/>
        <v>90.90909091</v>
      </c>
      <c r="T32" s="45">
        <v>10.0</v>
      </c>
      <c r="U32" s="46">
        <f t="shared" si="9"/>
        <v>91</v>
      </c>
      <c r="V32" s="47">
        <f t="shared" si="10"/>
        <v>79.5021645</v>
      </c>
    </row>
    <row r="33" ht="18.0" customHeight="1">
      <c r="A33" s="36">
        <v>23.0</v>
      </c>
      <c r="B33" s="37" t="s">
        <v>68</v>
      </c>
      <c r="C33" s="38" t="s">
        <v>69</v>
      </c>
      <c r="D33" s="39">
        <v>34.0</v>
      </c>
      <c r="E33" s="40">
        <f t="shared" si="1"/>
        <v>95</v>
      </c>
      <c r="F33" s="48">
        <v>30.0</v>
      </c>
      <c r="G33" s="41">
        <f t="shared" si="2"/>
        <v>100</v>
      </c>
      <c r="H33" s="42">
        <v>52.0</v>
      </c>
      <c r="I33" s="43">
        <f t="shared" si="3"/>
        <v>94.54545455</v>
      </c>
      <c r="J33" s="39">
        <v>44.0</v>
      </c>
      <c r="K33" s="40">
        <f t="shared" si="4"/>
        <v>100</v>
      </c>
      <c r="L33" s="39">
        <v>11.0</v>
      </c>
      <c r="M33" s="44">
        <f t="shared" si="5"/>
        <v>100</v>
      </c>
      <c r="N33" s="39">
        <v>22.0</v>
      </c>
      <c r="O33" s="44">
        <f t="shared" si="6"/>
        <v>100</v>
      </c>
      <c r="P33" s="42">
        <v>5.0</v>
      </c>
      <c r="Q33" s="44">
        <f t="shared" si="7"/>
        <v>71.42857143</v>
      </c>
      <c r="R33" s="45">
        <v>11.0</v>
      </c>
      <c r="S33" s="46">
        <f t="shared" si="8"/>
        <v>100</v>
      </c>
      <c r="T33" s="45">
        <v>11.0</v>
      </c>
      <c r="U33" s="46">
        <f t="shared" si="9"/>
        <v>100</v>
      </c>
      <c r="V33" s="47">
        <f t="shared" si="10"/>
        <v>95.66378066</v>
      </c>
    </row>
    <row r="34" ht="18.0" customHeight="1">
      <c r="A34" s="36">
        <v>24.0</v>
      </c>
      <c r="B34" s="37" t="s">
        <v>70</v>
      </c>
      <c r="C34" s="38" t="s">
        <v>71</v>
      </c>
      <c r="D34" s="39">
        <v>26.0</v>
      </c>
      <c r="E34" s="40">
        <f t="shared" si="1"/>
        <v>73</v>
      </c>
      <c r="F34" s="48">
        <v>25.0</v>
      </c>
      <c r="G34" s="41">
        <f t="shared" si="2"/>
        <v>83.33333333</v>
      </c>
      <c r="H34" s="42">
        <v>42.0</v>
      </c>
      <c r="I34" s="43">
        <f t="shared" si="3"/>
        <v>76.36363636</v>
      </c>
      <c r="J34" s="39">
        <v>40.0</v>
      </c>
      <c r="K34" s="40">
        <f t="shared" si="4"/>
        <v>91</v>
      </c>
      <c r="L34" s="39">
        <v>9.0</v>
      </c>
      <c r="M34" s="44">
        <f t="shared" si="5"/>
        <v>81.81818182</v>
      </c>
      <c r="N34" s="39">
        <v>18.0</v>
      </c>
      <c r="O34" s="44">
        <f t="shared" si="6"/>
        <v>81.81818182</v>
      </c>
      <c r="P34" s="42">
        <v>7.0</v>
      </c>
      <c r="Q34" s="44">
        <f t="shared" si="7"/>
        <v>100</v>
      </c>
      <c r="R34" s="45">
        <v>10.0</v>
      </c>
      <c r="S34" s="46">
        <f t="shared" si="8"/>
        <v>90.90909091</v>
      </c>
      <c r="T34" s="45">
        <v>9.0</v>
      </c>
      <c r="U34" s="46">
        <f t="shared" si="9"/>
        <v>82</v>
      </c>
      <c r="V34" s="47">
        <f t="shared" si="10"/>
        <v>84.47138047</v>
      </c>
    </row>
    <row r="35" ht="18.0" customHeight="1">
      <c r="A35" s="36">
        <v>25.0</v>
      </c>
      <c r="B35" s="37" t="s">
        <v>72</v>
      </c>
      <c r="C35" s="38" t="s">
        <v>73</v>
      </c>
      <c r="D35" s="39">
        <v>28.0</v>
      </c>
      <c r="E35" s="40">
        <f t="shared" si="1"/>
        <v>78</v>
      </c>
      <c r="F35" s="48">
        <v>24.0</v>
      </c>
      <c r="G35" s="41">
        <f t="shared" si="2"/>
        <v>80</v>
      </c>
      <c r="H35" s="42">
        <v>38.0</v>
      </c>
      <c r="I35" s="43">
        <f t="shared" si="3"/>
        <v>69.09090909</v>
      </c>
      <c r="J35" s="39">
        <v>40.0</v>
      </c>
      <c r="K35" s="40">
        <f t="shared" si="4"/>
        <v>91</v>
      </c>
      <c r="L35" s="39">
        <v>10.0</v>
      </c>
      <c r="M35" s="44">
        <f t="shared" si="5"/>
        <v>90.90909091</v>
      </c>
      <c r="N35" s="39">
        <v>17.0</v>
      </c>
      <c r="O35" s="44">
        <f t="shared" si="6"/>
        <v>77.27272727</v>
      </c>
      <c r="P35" s="42">
        <v>7.0</v>
      </c>
      <c r="Q35" s="44">
        <f t="shared" si="7"/>
        <v>100</v>
      </c>
      <c r="R35" s="45">
        <v>9.0</v>
      </c>
      <c r="S35" s="46">
        <f t="shared" si="8"/>
        <v>81.81818182</v>
      </c>
      <c r="T35" s="45">
        <v>11.0</v>
      </c>
      <c r="U35" s="46">
        <f t="shared" si="9"/>
        <v>100</v>
      </c>
      <c r="V35" s="47">
        <f t="shared" si="10"/>
        <v>85.34343434</v>
      </c>
    </row>
    <row r="36" ht="18.0" customHeight="1">
      <c r="A36" s="36">
        <v>26.0</v>
      </c>
      <c r="B36" s="37" t="s">
        <v>74</v>
      </c>
      <c r="C36" s="38" t="s">
        <v>75</v>
      </c>
      <c r="D36" s="39">
        <v>25.0</v>
      </c>
      <c r="E36" s="40">
        <f t="shared" si="1"/>
        <v>70</v>
      </c>
      <c r="F36" s="48">
        <v>22.0</v>
      </c>
      <c r="G36" s="41">
        <f t="shared" si="2"/>
        <v>73.33333333</v>
      </c>
      <c r="H36" s="42">
        <v>45.0</v>
      </c>
      <c r="I36" s="43">
        <f t="shared" si="3"/>
        <v>81.81818182</v>
      </c>
      <c r="J36" s="39">
        <v>35.0</v>
      </c>
      <c r="K36" s="40">
        <f t="shared" si="4"/>
        <v>80</v>
      </c>
      <c r="L36" s="39">
        <v>9.0</v>
      </c>
      <c r="M36" s="44">
        <f t="shared" si="5"/>
        <v>81.81818182</v>
      </c>
      <c r="N36" s="39">
        <v>17.0</v>
      </c>
      <c r="O36" s="44">
        <f t="shared" si="6"/>
        <v>77.27272727</v>
      </c>
      <c r="P36" s="42">
        <v>6.0</v>
      </c>
      <c r="Q36" s="44">
        <f t="shared" si="7"/>
        <v>85.71428571</v>
      </c>
      <c r="R36" s="45">
        <v>9.0</v>
      </c>
      <c r="S36" s="46">
        <f t="shared" si="8"/>
        <v>81.81818182</v>
      </c>
      <c r="T36" s="45">
        <v>10.0</v>
      </c>
      <c r="U36" s="46">
        <f t="shared" si="9"/>
        <v>91</v>
      </c>
      <c r="V36" s="47">
        <f t="shared" si="10"/>
        <v>80.30832131</v>
      </c>
    </row>
    <row r="37" ht="18.0" customHeight="1">
      <c r="A37" s="36">
        <v>27.0</v>
      </c>
      <c r="B37" s="37" t="s">
        <v>76</v>
      </c>
      <c r="C37" s="38" t="s">
        <v>77</v>
      </c>
      <c r="D37" s="39">
        <v>30.0</v>
      </c>
      <c r="E37" s="40">
        <f t="shared" si="1"/>
        <v>84</v>
      </c>
      <c r="F37" s="48">
        <v>23.0</v>
      </c>
      <c r="G37" s="41">
        <f t="shared" si="2"/>
        <v>76.66666667</v>
      </c>
      <c r="H37" s="42">
        <v>43.0</v>
      </c>
      <c r="I37" s="43">
        <f t="shared" si="3"/>
        <v>78.18181818</v>
      </c>
      <c r="J37" s="39">
        <v>39.0</v>
      </c>
      <c r="K37" s="40">
        <f t="shared" si="4"/>
        <v>89</v>
      </c>
      <c r="L37" s="39">
        <v>10.0</v>
      </c>
      <c r="M37" s="44">
        <f t="shared" si="5"/>
        <v>90.90909091</v>
      </c>
      <c r="N37" s="39">
        <v>17.0</v>
      </c>
      <c r="O37" s="44">
        <f t="shared" si="6"/>
        <v>77.27272727</v>
      </c>
      <c r="P37" s="42">
        <v>5.0</v>
      </c>
      <c r="Q37" s="44">
        <f t="shared" si="7"/>
        <v>71.42857143</v>
      </c>
      <c r="R37" s="45">
        <v>8.0</v>
      </c>
      <c r="S37" s="46">
        <f t="shared" si="8"/>
        <v>72.72727273</v>
      </c>
      <c r="T37" s="45">
        <v>10.0</v>
      </c>
      <c r="U37" s="46">
        <f t="shared" si="9"/>
        <v>91</v>
      </c>
      <c r="V37" s="47">
        <f t="shared" si="10"/>
        <v>81.24290524</v>
      </c>
    </row>
    <row r="38" ht="14.25" customHeight="1">
      <c r="A38" s="36">
        <v>28.0</v>
      </c>
      <c r="B38" s="37" t="s">
        <v>78</v>
      </c>
      <c r="C38" s="38" t="s">
        <v>79</v>
      </c>
      <c r="D38" s="39">
        <v>29.0</v>
      </c>
      <c r="E38" s="40">
        <f t="shared" si="1"/>
        <v>81</v>
      </c>
      <c r="F38" s="48">
        <v>26.0</v>
      </c>
      <c r="G38" s="41">
        <f t="shared" si="2"/>
        <v>86.66666667</v>
      </c>
      <c r="H38" s="42">
        <v>44.0</v>
      </c>
      <c r="I38" s="43">
        <f t="shared" si="3"/>
        <v>80</v>
      </c>
      <c r="J38" s="39">
        <v>39.0</v>
      </c>
      <c r="K38" s="40">
        <f t="shared" si="4"/>
        <v>89</v>
      </c>
      <c r="L38" s="39">
        <v>9.0</v>
      </c>
      <c r="M38" s="44">
        <f t="shared" si="5"/>
        <v>81.81818182</v>
      </c>
      <c r="N38" s="39">
        <v>19.0</v>
      </c>
      <c r="O38" s="44">
        <f t="shared" si="6"/>
        <v>86.36363636</v>
      </c>
      <c r="P38" s="42">
        <v>6.0</v>
      </c>
      <c r="Q38" s="44">
        <f t="shared" si="7"/>
        <v>85.71428571</v>
      </c>
      <c r="R38" s="45">
        <v>11.0</v>
      </c>
      <c r="S38" s="46">
        <f t="shared" si="8"/>
        <v>100</v>
      </c>
      <c r="T38" s="45">
        <v>11.0</v>
      </c>
      <c r="U38" s="46">
        <f t="shared" si="9"/>
        <v>100</v>
      </c>
      <c r="V38" s="47">
        <f t="shared" si="10"/>
        <v>87.84030784</v>
      </c>
    </row>
    <row r="39" ht="18.0" customHeight="1">
      <c r="A39" s="36">
        <v>29.0</v>
      </c>
      <c r="B39" s="37" t="s">
        <v>80</v>
      </c>
      <c r="C39" s="38" t="s">
        <v>81</v>
      </c>
      <c r="D39" s="39">
        <v>20.0</v>
      </c>
      <c r="E39" s="40">
        <f t="shared" si="1"/>
        <v>56</v>
      </c>
      <c r="F39" s="48">
        <v>18.0</v>
      </c>
      <c r="G39" s="41">
        <f t="shared" si="2"/>
        <v>60</v>
      </c>
      <c r="H39" s="42">
        <v>34.0</v>
      </c>
      <c r="I39" s="43">
        <f t="shared" si="3"/>
        <v>61.81818182</v>
      </c>
      <c r="J39" s="39">
        <v>31.0</v>
      </c>
      <c r="K39" s="40">
        <f t="shared" si="4"/>
        <v>71</v>
      </c>
      <c r="L39" s="39">
        <v>8.0</v>
      </c>
      <c r="M39" s="44">
        <f t="shared" si="5"/>
        <v>72.72727273</v>
      </c>
      <c r="N39" s="39">
        <v>14.0</v>
      </c>
      <c r="O39" s="44">
        <f t="shared" si="6"/>
        <v>63.63636364</v>
      </c>
      <c r="P39" s="42">
        <v>7.0</v>
      </c>
      <c r="Q39" s="44">
        <f t="shared" si="7"/>
        <v>100</v>
      </c>
      <c r="R39" s="45">
        <v>7.0</v>
      </c>
      <c r="S39" s="46">
        <f t="shared" si="8"/>
        <v>63.63636364</v>
      </c>
      <c r="T39" s="45">
        <v>5.0</v>
      </c>
      <c r="U39" s="46">
        <f t="shared" ref="U39:U67" si="11">ROUNDUP((T39/10)*100,0)</f>
        <v>50</v>
      </c>
      <c r="V39" s="47">
        <f t="shared" si="10"/>
        <v>66.53535354</v>
      </c>
    </row>
    <row r="40" ht="18.0" customHeight="1">
      <c r="A40" s="36">
        <v>30.0</v>
      </c>
      <c r="B40" s="37" t="s">
        <v>82</v>
      </c>
      <c r="C40" s="38" t="s">
        <v>83</v>
      </c>
      <c r="D40" s="39">
        <v>31.0</v>
      </c>
      <c r="E40" s="40">
        <f t="shared" si="1"/>
        <v>87</v>
      </c>
      <c r="F40" s="48">
        <v>25.0</v>
      </c>
      <c r="G40" s="41">
        <f t="shared" si="2"/>
        <v>83.33333333</v>
      </c>
      <c r="H40" s="42">
        <v>44.0</v>
      </c>
      <c r="I40" s="43">
        <f t="shared" si="3"/>
        <v>80</v>
      </c>
      <c r="J40" s="39">
        <v>39.0</v>
      </c>
      <c r="K40" s="40">
        <f t="shared" si="4"/>
        <v>89</v>
      </c>
      <c r="L40" s="39">
        <v>8.0</v>
      </c>
      <c r="M40" s="44">
        <f t="shared" si="5"/>
        <v>72.72727273</v>
      </c>
      <c r="N40" s="39">
        <v>18.0</v>
      </c>
      <c r="O40" s="44">
        <f t="shared" si="6"/>
        <v>81.81818182</v>
      </c>
      <c r="P40" s="42">
        <v>7.0</v>
      </c>
      <c r="Q40" s="44">
        <f t="shared" si="7"/>
        <v>100</v>
      </c>
      <c r="R40" s="45">
        <v>9.0</v>
      </c>
      <c r="S40" s="46">
        <f t="shared" si="8"/>
        <v>81.81818182</v>
      </c>
      <c r="T40" s="45">
        <v>8.0</v>
      </c>
      <c r="U40" s="46">
        <f t="shared" si="11"/>
        <v>80</v>
      </c>
      <c r="V40" s="47">
        <f t="shared" si="10"/>
        <v>83.96632997</v>
      </c>
    </row>
    <row r="41" ht="18.0" customHeight="1">
      <c r="A41" s="36">
        <v>31.0</v>
      </c>
      <c r="B41" s="37" t="s">
        <v>84</v>
      </c>
      <c r="C41" s="38" t="s">
        <v>85</v>
      </c>
      <c r="D41" s="39">
        <v>31.0</v>
      </c>
      <c r="E41" s="40">
        <f t="shared" si="1"/>
        <v>87</v>
      </c>
      <c r="F41" s="48">
        <v>27.0</v>
      </c>
      <c r="G41" s="41">
        <f t="shared" si="2"/>
        <v>90</v>
      </c>
      <c r="H41" s="42">
        <v>50.0</v>
      </c>
      <c r="I41" s="43">
        <f t="shared" si="3"/>
        <v>90.90909091</v>
      </c>
      <c r="J41" s="39">
        <v>44.0</v>
      </c>
      <c r="K41" s="40">
        <f t="shared" si="4"/>
        <v>100</v>
      </c>
      <c r="L41" s="39">
        <v>9.0</v>
      </c>
      <c r="M41" s="44">
        <f t="shared" si="5"/>
        <v>81.81818182</v>
      </c>
      <c r="N41" s="39">
        <v>22.0</v>
      </c>
      <c r="O41" s="44">
        <f t="shared" si="6"/>
        <v>100</v>
      </c>
      <c r="P41" s="42">
        <v>7.0</v>
      </c>
      <c r="Q41" s="44">
        <f t="shared" si="7"/>
        <v>100</v>
      </c>
      <c r="R41" s="45">
        <v>10.0</v>
      </c>
      <c r="S41" s="46">
        <f t="shared" si="8"/>
        <v>90.90909091</v>
      </c>
      <c r="T41" s="45">
        <v>10.0</v>
      </c>
      <c r="U41" s="46">
        <f t="shared" si="11"/>
        <v>100</v>
      </c>
      <c r="V41" s="47">
        <f t="shared" si="10"/>
        <v>93.4040404</v>
      </c>
    </row>
    <row r="42" ht="18.0" customHeight="1">
      <c r="A42" s="36">
        <v>32.0</v>
      </c>
      <c r="B42" s="37" t="s">
        <v>86</v>
      </c>
      <c r="C42" s="38" t="s">
        <v>87</v>
      </c>
      <c r="D42" s="39">
        <v>33.0</v>
      </c>
      <c r="E42" s="40">
        <f t="shared" si="1"/>
        <v>92</v>
      </c>
      <c r="F42" s="48">
        <v>24.0</v>
      </c>
      <c r="G42" s="41">
        <f t="shared" si="2"/>
        <v>80</v>
      </c>
      <c r="H42" s="42">
        <v>43.0</v>
      </c>
      <c r="I42" s="43">
        <f t="shared" si="3"/>
        <v>78.18181818</v>
      </c>
      <c r="J42" s="39">
        <v>41.0</v>
      </c>
      <c r="K42" s="40">
        <f t="shared" si="4"/>
        <v>94</v>
      </c>
      <c r="L42" s="39">
        <v>10.0</v>
      </c>
      <c r="M42" s="44">
        <f t="shared" si="5"/>
        <v>90.90909091</v>
      </c>
      <c r="N42" s="39">
        <v>17.0</v>
      </c>
      <c r="O42" s="44">
        <f t="shared" si="6"/>
        <v>77.27272727</v>
      </c>
      <c r="P42" s="42">
        <v>7.0</v>
      </c>
      <c r="Q42" s="44">
        <f t="shared" si="7"/>
        <v>100</v>
      </c>
      <c r="R42" s="45">
        <v>8.0</v>
      </c>
      <c r="S42" s="46">
        <f t="shared" si="8"/>
        <v>72.72727273</v>
      </c>
      <c r="T42" s="45">
        <v>10.0</v>
      </c>
      <c r="U42" s="46">
        <f t="shared" si="11"/>
        <v>100</v>
      </c>
      <c r="V42" s="47">
        <f t="shared" si="10"/>
        <v>87.23232323</v>
      </c>
    </row>
    <row r="43" ht="18.0" customHeight="1">
      <c r="A43" s="36">
        <v>33.0</v>
      </c>
      <c r="B43" s="37" t="s">
        <v>88</v>
      </c>
      <c r="C43" s="38" t="s">
        <v>89</v>
      </c>
      <c r="D43" s="39">
        <v>32.0</v>
      </c>
      <c r="E43" s="40">
        <f t="shared" si="1"/>
        <v>89</v>
      </c>
      <c r="F43" s="48">
        <v>23.0</v>
      </c>
      <c r="G43" s="41">
        <f t="shared" si="2"/>
        <v>76.66666667</v>
      </c>
      <c r="H43" s="42">
        <v>44.0</v>
      </c>
      <c r="I43" s="43">
        <f t="shared" si="3"/>
        <v>80</v>
      </c>
      <c r="J43" s="39">
        <v>37.0</v>
      </c>
      <c r="K43" s="40">
        <f t="shared" si="4"/>
        <v>85</v>
      </c>
      <c r="L43" s="39">
        <v>11.0</v>
      </c>
      <c r="M43" s="44">
        <f t="shared" si="5"/>
        <v>100</v>
      </c>
      <c r="N43" s="39">
        <v>16.0</v>
      </c>
      <c r="O43" s="44">
        <f t="shared" si="6"/>
        <v>72.72727273</v>
      </c>
      <c r="P43" s="42">
        <v>6.0</v>
      </c>
      <c r="Q43" s="44">
        <f t="shared" si="7"/>
        <v>85.71428571</v>
      </c>
      <c r="R43" s="45">
        <v>11.0</v>
      </c>
      <c r="S43" s="46">
        <f t="shared" si="8"/>
        <v>100</v>
      </c>
      <c r="T43" s="45">
        <v>9.0</v>
      </c>
      <c r="U43" s="46">
        <f t="shared" si="11"/>
        <v>90</v>
      </c>
      <c r="V43" s="47">
        <f t="shared" si="10"/>
        <v>86.56758057</v>
      </c>
    </row>
    <row r="44" ht="18.0" customHeight="1">
      <c r="A44" s="36">
        <v>34.0</v>
      </c>
      <c r="B44" s="37" t="s">
        <v>90</v>
      </c>
      <c r="C44" s="38" t="s">
        <v>91</v>
      </c>
      <c r="D44" s="39">
        <v>32.0</v>
      </c>
      <c r="E44" s="40">
        <f t="shared" si="1"/>
        <v>89</v>
      </c>
      <c r="F44" s="48">
        <v>25.0</v>
      </c>
      <c r="G44" s="41">
        <f t="shared" si="2"/>
        <v>83.33333333</v>
      </c>
      <c r="H44" s="42">
        <v>47.0</v>
      </c>
      <c r="I44" s="43">
        <f t="shared" si="3"/>
        <v>85.45454545</v>
      </c>
      <c r="J44" s="39">
        <v>41.0</v>
      </c>
      <c r="K44" s="40">
        <f t="shared" si="4"/>
        <v>94</v>
      </c>
      <c r="L44" s="39">
        <v>11.0</v>
      </c>
      <c r="M44" s="44">
        <f t="shared" si="5"/>
        <v>100</v>
      </c>
      <c r="N44" s="39">
        <v>17.0</v>
      </c>
      <c r="O44" s="44">
        <f t="shared" si="6"/>
        <v>77.27272727</v>
      </c>
      <c r="P44" s="42">
        <v>5.0</v>
      </c>
      <c r="Q44" s="44">
        <f t="shared" si="7"/>
        <v>71.42857143</v>
      </c>
      <c r="R44" s="45">
        <v>10.0</v>
      </c>
      <c r="S44" s="46">
        <f t="shared" si="8"/>
        <v>90.90909091</v>
      </c>
      <c r="T44" s="45">
        <v>10.0</v>
      </c>
      <c r="U44" s="46">
        <f t="shared" si="11"/>
        <v>100</v>
      </c>
      <c r="V44" s="47">
        <f t="shared" si="10"/>
        <v>87.93314093</v>
      </c>
    </row>
    <row r="45" ht="18.0" customHeight="1">
      <c r="A45" s="36">
        <v>35.0</v>
      </c>
      <c r="B45" s="37" t="s">
        <v>92</v>
      </c>
      <c r="C45" s="38" t="s">
        <v>93</v>
      </c>
      <c r="D45" s="39">
        <v>18.0</v>
      </c>
      <c r="E45" s="40">
        <f t="shared" si="1"/>
        <v>50</v>
      </c>
      <c r="F45" s="48">
        <v>21.0</v>
      </c>
      <c r="G45" s="41">
        <f t="shared" si="2"/>
        <v>70</v>
      </c>
      <c r="H45" s="42">
        <v>35.0</v>
      </c>
      <c r="I45" s="43">
        <f t="shared" si="3"/>
        <v>63.63636364</v>
      </c>
      <c r="J45" s="39">
        <v>38.0</v>
      </c>
      <c r="K45" s="40">
        <f t="shared" si="4"/>
        <v>87</v>
      </c>
      <c r="L45" s="39">
        <v>4.0</v>
      </c>
      <c r="M45" s="44">
        <f t="shared" si="5"/>
        <v>36.36363636</v>
      </c>
      <c r="N45" s="39">
        <v>16.0</v>
      </c>
      <c r="O45" s="44">
        <f t="shared" si="6"/>
        <v>72.72727273</v>
      </c>
      <c r="P45" s="42">
        <v>6.0</v>
      </c>
      <c r="Q45" s="44">
        <f t="shared" si="7"/>
        <v>85.71428571</v>
      </c>
      <c r="R45" s="45">
        <v>3.0</v>
      </c>
      <c r="S45" s="46">
        <f t="shared" si="8"/>
        <v>27.27272727</v>
      </c>
      <c r="T45" s="45">
        <v>6.0</v>
      </c>
      <c r="U45" s="46">
        <f t="shared" si="11"/>
        <v>60</v>
      </c>
      <c r="V45" s="47">
        <f t="shared" si="10"/>
        <v>61.41269841</v>
      </c>
    </row>
    <row r="46" ht="18.0" customHeight="1">
      <c r="A46" s="36">
        <v>36.0</v>
      </c>
      <c r="B46" s="37" t="s">
        <v>94</v>
      </c>
      <c r="C46" s="49" t="s">
        <v>95</v>
      </c>
      <c r="D46" s="39">
        <v>34.0</v>
      </c>
      <c r="E46" s="40">
        <f t="shared" si="1"/>
        <v>95</v>
      </c>
      <c r="F46" s="48">
        <v>26.0</v>
      </c>
      <c r="G46" s="41">
        <f t="shared" si="2"/>
        <v>86.66666667</v>
      </c>
      <c r="H46" s="42">
        <v>48.0</v>
      </c>
      <c r="I46" s="43">
        <f t="shared" si="3"/>
        <v>87.27272727</v>
      </c>
      <c r="J46" s="39">
        <v>40.0</v>
      </c>
      <c r="K46" s="40">
        <f t="shared" si="4"/>
        <v>91</v>
      </c>
      <c r="L46" s="39">
        <v>9.0</v>
      </c>
      <c r="M46" s="44">
        <f t="shared" si="5"/>
        <v>81.81818182</v>
      </c>
      <c r="N46" s="39">
        <v>19.0</v>
      </c>
      <c r="O46" s="44">
        <f t="shared" si="6"/>
        <v>86.36363636</v>
      </c>
      <c r="P46" s="42">
        <v>3.0</v>
      </c>
      <c r="Q46" s="44">
        <f t="shared" si="7"/>
        <v>42.85714286</v>
      </c>
      <c r="R46" s="45">
        <v>11.0</v>
      </c>
      <c r="S46" s="46">
        <f t="shared" si="8"/>
        <v>100</v>
      </c>
      <c r="T46" s="45">
        <v>9.0</v>
      </c>
      <c r="U46" s="46">
        <f t="shared" si="11"/>
        <v>90</v>
      </c>
      <c r="V46" s="47">
        <f t="shared" si="10"/>
        <v>84.55315055</v>
      </c>
    </row>
    <row r="47" ht="18.0" customHeight="1">
      <c r="A47" s="36">
        <v>37.0</v>
      </c>
      <c r="B47" s="37" t="s">
        <v>96</v>
      </c>
      <c r="C47" s="38" t="s">
        <v>97</v>
      </c>
      <c r="D47" s="39">
        <v>33.0</v>
      </c>
      <c r="E47" s="40">
        <f t="shared" si="1"/>
        <v>92</v>
      </c>
      <c r="F47" s="48">
        <v>28.0</v>
      </c>
      <c r="G47" s="41">
        <f t="shared" si="2"/>
        <v>93.33333333</v>
      </c>
      <c r="H47" s="42">
        <v>47.0</v>
      </c>
      <c r="I47" s="43">
        <f t="shared" si="3"/>
        <v>85.45454545</v>
      </c>
      <c r="J47" s="39">
        <v>41.0</v>
      </c>
      <c r="K47" s="40">
        <f t="shared" si="4"/>
        <v>94</v>
      </c>
      <c r="L47" s="39">
        <v>11.0</v>
      </c>
      <c r="M47" s="44">
        <f t="shared" si="5"/>
        <v>100</v>
      </c>
      <c r="N47" s="39">
        <v>20.0</v>
      </c>
      <c r="O47" s="44">
        <f t="shared" si="6"/>
        <v>90.90909091</v>
      </c>
      <c r="P47" s="42">
        <v>7.0</v>
      </c>
      <c r="Q47" s="44">
        <f t="shared" si="7"/>
        <v>100</v>
      </c>
      <c r="R47" s="45">
        <v>11.0</v>
      </c>
      <c r="S47" s="46">
        <f t="shared" si="8"/>
        <v>100</v>
      </c>
      <c r="T47" s="45">
        <v>10.0</v>
      </c>
      <c r="U47" s="46">
        <f t="shared" si="11"/>
        <v>100</v>
      </c>
      <c r="V47" s="47">
        <f t="shared" si="10"/>
        <v>95.07744108</v>
      </c>
    </row>
    <row r="48" ht="18.0" customHeight="1">
      <c r="A48" s="36">
        <v>38.0</v>
      </c>
      <c r="B48" s="37" t="s">
        <v>98</v>
      </c>
      <c r="C48" s="38" t="s">
        <v>99</v>
      </c>
      <c r="D48" s="39">
        <v>22.0</v>
      </c>
      <c r="E48" s="40">
        <f t="shared" si="1"/>
        <v>62</v>
      </c>
      <c r="F48" s="48">
        <v>18.0</v>
      </c>
      <c r="G48" s="41">
        <f t="shared" si="2"/>
        <v>60</v>
      </c>
      <c r="H48" s="42">
        <v>35.0</v>
      </c>
      <c r="I48" s="43">
        <f t="shared" si="3"/>
        <v>63.63636364</v>
      </c>
      <c r="J48" s="39">
        <v>40.0</v>
      </c>
      <c r="K48" s="40">
        <f t="shared" si="4"/>
        <v>91</v>
      </c>
      <c r="L48" s="39">
        <v>8.0</v>
      </c>
      <c r="M48" s="44">
        <f t="shared" si="5"/>
        <v>72.72727273</v>
      </c>
      <c r="N48" s="39">
        <v>16.0</v>
      </c>
      <c r="O48" s="44">
        <f t="shared" si="6"/>
        <v>72.72727273</v>
      </c>
      <c r="P48" s="42">
        <v>2.0</v>
      </c>
      <c r="Q48" s="44">
        <f t="shared" si="7"/>
        <v>28.57142857</v>
      </c>
      <c r="R48" s="45">
        <v>8.0</v>
      </c>
      <c r="S48" s="46">
        <f t="shared" si="8"/>
        <v>72.72727273</v>
      </c>
      <c r="T48" s="45">
        <v>6.0</v>
      </c>
      <c r="U48" s="46">
        <f t="shared" si="11"/>
        <v>60</v>
      </c>
      <c r="V48" s="47">
        <f t="shared" si="10"/>
        <v>64.82106782</v>
      </c>
    </row>
    <row r="49" ht="18.0" customHeight="1">
      <c r="A49" s="36">
        <v>39.0</v>
      </c>
      <c r="B49" s="37" t="s">
        <v>100</v>
      </c>
      <c r="C49" s="38" t="s">
        <v>101</v>
      </c>
      <c r="D49" s="39">
        <v>24.0</v>
      </c>
      <c r="E49" s="40">
        <f t="shared" si="1"/>
        <v>67</v>
      </c>
      <c r="F49" s="48">
        <v>22.0</v>
      </c>
      <c r="G49" s="41">
        <f t="shared" si="2"/>
        <v>73.33333333</v>
      </c>
      <c r="H49" s="42">
        <v>42.0</v>
      </c>
      <c r="I49" s="43">
        <f t="shared" si="3"/>
        <v>76.36363636</v>
      </c>
      <c r="J49" s="39">
        <v>38.0</v>
      </c>
      <c r="K49" s="40">
        <f t="shared" si="4"/>
        <v>87</v>
      </c>
      <c r="L49" s="39">
        <v>10.0</v>
      </c>
      <c r="M49" s="44">
        <f t="shared" si="5"/>
        <v>90.90909091</v>
      </c>
      <c r="N49" s="39">
        <v>19.0</v>
      </c>
      <c r="O49" s="44">
        <f t="shared" si="6"/>
        <v>86.36363636</v>
      </c>
      <c r="P49" s="42">
        <v>7.0</v>
      </c>
      <c r="Q49" s="44">
        <f t="shared" si="7"/>
        <v>100</v>
      </c>
      <c r="R49" s="45">
        <v>11.0</v>
      </c>
      <c r="S49" s="46">
        <f t="shared" si="8"/>
        <v>100</v>
      </c>
      <c r="T49" s="45">
        <v>9.0</v>
      </c>
      <c r="U49" s="46">
        <f t="shared" si="11"/>
        <v>90</v>
      </c>
      <c r="V49" s="47">
        <f t="shared" si="10"/>
        <v>85.66329966</v>
      </c>
    </row>
    <row r="50" ht="18.0" customHeight="1">
      <c r="A50" s="36">
        <v>40.0</v>
      </c>
      <c r="B50" s="37" t="s">
        <v>102</v>
      </c>
      <c r="C50" s="38" t="s">
        <v>103</v>
      </c>
      <c r="D50" s="39">
        <v>25.0</v>
      </c>
      <c r="E50" s="40">
        <f t="shared" si="1"/>
        <v>70</v>
      </c>
      <c r="F50" s="48">
        <v>24.0</v>
      </c>
      <c r="G50" s="41">
        <f t="shared" si="2"/>
        <v>80</v>
      </c>
      <c r="H50" s="42">
        <v>35.0</v>
      </c>
      <c r="I50" s="43">
        <f t="shared" si="3"/>
        <v>63.63636364</v>
      </c>
      <c r="J50" s="39">
        <v>37.0</v>
      </c>
      <c r="K50" s="40">
        <f t="shared" si="4"/>
        <v>85</v>
      </c>
      <c r="L50" s="39">
        <v>9.0</v>
      </c>
      <c r="M50" s="44">
        <f t="shared" si="5"/>
        <v>81.81818182</v>
      </c>
      <c r="N50" s="39">
        <v>17.0</v>
      </c>
      <c r="O50" s="44">
        <f t="shared" si="6"/>
        <v>77.27272727</v>
      </c>
      <c r="P50" s="42">
        <v>5.0</v>
      </c>
      <c r="Q50" s="44">
        <f t="shared" si="7"/>
        <v>71.42857143</v>
      </c>
      <c r="R50" s="45">
        <v>10.0</v>
      </c>
      <c r="S50" s="46">
        <f t="shared" si="8"/>
        <v>90.90909091</v>
      </c>
      <c r="T50" s="45">
        <v>6.0</v>
      </c>
      <c r="U50" s="46">
        <f t="shared" si="11"/>
        <v>60</v>
      </c>
      <c r="V50" s="47">
        <f t="shared" si="10"/>
        <v>75.56277056</v>
      </c>
    </row>
    <row r="51" ht="18.0" customHeight="1">
      <c r="A51" s="36">
        <v>41.0</v>
      </c>
      <c r="B51" s="37" t="s">
        <v>104</v>
      </c>
      <c r="C51" s="38" t="s">
        <v>105</v>
      </c>
      <c r="D51" s="39">
        <v>25.0</v>
      </c>
      <c r="E51" s="40">
        <f t="shared" si="1"/>
        <v>70</v>
      </c>
      <c r="F51" s="48">
        <v>22.0</v>
      </c>
      <c r="G51" s="41">
        <f t="shared" si="2"/>
        <v>73.33333333</v>
      </c>
      <c r="H51" s="42">
        <v>41.0</v>
      </c>
      <c r="I51" s="43">
        <f t="shared" si="3"/>
        <v>74.54545455</v>
      </c>
      <c r="J51" s="39">
        <v>33.0</v>
      </c>
      <c r="K51" s="40">
        <f t="shared" si="4"/>
        <v>75</v>
      </c>
      <c r="L51" s="39">
        <v>10.0</v>
      </c>
      <c r="M51" s="44">
        <f t="shared" si="5"/>
        <v>90.90909091</v>
      </c>
      <c r="N51" s="39">
        <v>18.0</v>
      </c>
      <c r="O51" s="44">
        <f t="shared" si="6"/>
        <v>81.81818182</v>
      </c>
      <c r="P51" s="42">
        <v>5.0</v>
      </c>
      <c r="Q51" s="44">
        <f t="shared" si="7"/>
        <v>71.42857143</v>
      </c>
      <c r="R51" s="45">
        <v>10.0</v>
      </c>
      <c r="S51" s="46">
        <f t="shared" si="8"/>
        <v>90.90909091</v>
      </c>
      <c r="T51" s="45">
        <v>8.0</v>
      </c>
      <c r="U51" s="46">
        <f t="shared" si="11"/>
        <v>80</v>
      </c>
      <c r="V51" s="47">
        <f t="shared" si="10"/>
        <v>78.66041366</v>
      </c>
    </row>
    <row r="52" ht="18.0" customHeight="1">
      <c r="A52" s="36">
        <v>42.0</v>
      </c>
      <c r="B52" s="37" t="s">
        <v>106</v>
      </c>
      <c r="C52" s="38" t="s">
        <v>107</v>
      </c>
      <c r="D52" s="39">
        <v>28.0</v>
      </c>
      <c r="E52" s="40">
        <f t="shared" si="1"/>
        <v>78</v>
      </c>
      <c r="F52" s="48">
        <v>27.0</v>
      </c>
      <c r="G52" s="41">
        <f t="shared" si="2"/>
        <v>90</v>
      </c>
      <c r="H52" s="42">
        <v>37.0</v>
      </c>
      <c r="I52" s="43">
        <f t="shared" si="3"/>
        <v>67.27272727</v>
      </c>
      <c r="J52" s="39">
        <v>35.0</v>
      </c>
      <c r="K52" s="40">
        <f t="shared" si="4"/>
        <v>80</v>
      </c>
      <c r="L52" s="39">
        <v>11.0</v>
      </c>
      <c r="M52" s="44">
        <f t="shared" si="5"/>
        <v>100</v>
      </c>
      <c r="N52" s="39">
        <v>17.0</v>
      </c>
      <c r="O52" s="44">
        <f t="shared" si="6"/>
        <v>77.27272727</v>
      </c>
      <c r="P52" s="42">
        <v>7.0</v>
      </c>
      <c r="Q52" s="44">
        <f t="shared" si="7"/>
        <v>100</v>
      </c>
      <c r="R52" s="45">
        <v>10.0</v>
      </c>
      <c r="S52" s="46">
        <f t="shared" si="8"/>
        <v>90.90909091</v>
      </c>
      <c r="T52" s="45">
        <v>8.0</v>
      </c>
      <c r="U52" s="46">
        <f t="shared" si="11"/>
        <v>80</v>
      </c>
      <c r="V52" s="47">
        <f t="shared" si="10"/>
        <v>84.82828283</v>
      </c>
    </row>
    <row r="53" ht="18.0" customHeight="1">
      <c r="A53" s="36">
        <v>43.0</v>
      </c>
      <c r="B53" s="37" t="s">
        <v>108</v>
      </c>
      <c r="C53" s="38" t="s">
        <v>109</v>
      </c>
      <c r="D53" s="39">
        <v>18.0</v>
      </c>
      <c r="E53" s="40">
        <f t="shared" si="1"/>
        <v>50</v>
      </c>
      <c r="F53" s="48">
        <v>16.0</v>
      </c>
      <c r="G53" s="41">
        <f t="shared" si="2"/>
        <v>53.33333333</v>
      </c>
      <c r="H53" s="42">
        <v>25.0</v>
      </c>
      <c r="I53" s="43">
        <f t="shared" si="3"/>
        <v>45.45454545</v>
      </c>
      <c r="J53" s="39">
        <v>23.0</v>
      </c>
      <c r="K53" s="40">
        <f t="shared" si="4"/>
        <v>53</v>
      </c>
      <c r="L53" s="39">
        <v>6.0</v>
      </c>
      <c r="M53" s="44">
        <f t="shared" si="5"/>
        <v>54.54545455</v>
      </c>
      <c r="N53" s="39">
        <v>14.0</v>
      </c>
      <c r="O53" s="44">
        <f t="shared" si="6"/>
        <v>63.63636364</v>
      </c>
      <c r="P53" s="42">
        <v>4.0</v>
      </c>
      <c r="Q53" s="44">
        <f t="shared" si="7"/>
        <v>57.14285714</v>
      </c>
      <c r="R53" s="45">
        <v>6.0</v>
      </c>
      <c r="S53" s="46">
        <f t="shared" si="8"/>
        <v>54.54545455</v>
      </c>
      <c r="T53" s="45">
        <v>4.0</v>
      </c>
      <c r="U53" s="46">
        <f t="shared" si="11"/>
        <v>40</v>
      </c>
      <c r="V53" s="47">
        <f t="shared" si="10"/>
        <v>52.40644541</v>
      </c>
    </row>
    <row r="54" ht="18.0" customHeight="1">
      <c r="A54" s="36">
        <v>44.0</v>
      </c>
      <c r="B54" s="37" t="s">
        <v>110</v>
      </c>
      <c r="C54" s="38" t="s">
        <v>111</v>
      </c>
      <c r="D54" s="39">
        <v>14.0</v>
      </c>
      <c r="E54" s="40">
        <f t="shared" si="1"/>
        <v>39</v>
      </c>
      <c r="F54" s="48">
        <v>13.0</v>
      </c>
      <c r="G54" s="41">
        <f t="shared" si="2"/>
        <v>43.33333333</v>
      </c>
      <c r="H54" s="42">
        <v>17.0</v>
      </c>
      <c r="I54" s="43">
        <f t="shared" si="3"/>
        <v>30.90909091</v>
      </c>
      <c r="J54" s="39">
        <v>21.0</v>
      </c>
      <c r="K54" s="40">
        <f t="shared" si="4"/>
        <v>48</v>
      </c>
      <c r="L54" s="39">
        <v>2.0</v>
      </c>
      <c r="M54" s="44">
        <f t="shared" si="5"/>
        <v>18.18181818</v>
      </c>
      <c r="N54" s="39">
        <v>9.0</v>
      </c>
      <c r="O54" s="44">
        <f t="shared" si="6"/>
        <v>40.90909091</v>
      </c>
      <c r="P54" s="42">
        <v>7.0</v>
      </c>
      <c r="Q54" s="44">
        <f t="shared" si="7"/>
        <v>100</v>
      </c>
      <c r="R54" s="45">
        <v>2.0</v>
      </c>
      <c r="S54" s="46">
        <f t="shared" si="8"/>
        <v>18.18181818</v>
      </c>
      <c r="T54" s="45">
        <v>2.0</v>
      </c>
      <c r="U54" s="46">
        <f t="shared" si="11"/>
        <v>20</v>
      </c>
      <c r="V54" s="47">
        <f t="shared" si="10"/>
        <v>39.83501684</v>
      </c>
    </row>
    <row r="55" ht="18.0" customHeight="1">
      <c r="A55" s="50">
        <v>45.0</v>
      </c>
      <c r="B55" s="51" t="s">
        <v>112</v>
      </c>
      <c r="C55" s="52" t="s">
        <v>113</v>
      </c>
      <c r="D55" s="53">
        <v>29.0</v>
      </c>
      <c r="E55" s="40">
        <f t="shared" si="1"/>
        <v>81</v>
      </c>
      <c r="F55" s="54">
        <v>21.0</v>
      </c>
      <c r="G55" s="41">
        <f t="shared" si="2"/>
        <v>70</v>
      </c>
      <c r="H55" s="55">
        <v>41.0</v>
      </c>
      <c r="I55" s="43">
        <f t="shared" si="3"/>
        <v>74.54545455</v>
      </c>
      <c r="J55" s="53">
        <v>27.0</v>
      </c>
      <c r="K55" s="40">
        <f t="shared" si="4"/>
        <v>62</v>
      </c>
      <c r="L55" s="53">
        <v>11.0</v>
      </c>
      <c r="M55" s="56">
        <f t="shared" si="5"/>
        <v>100</v>
      </c>
      <c r="N55" s="53">
        <v>16.0</v>
      </c>
      <c r="O55" s="44">
        <f t="shared" si="6"/>
        <v>72.72727273</v>
      </c>
      <c r="P55" s="55">
        <v>3.0</v>
      </c>
      <c r="Q55" s="44">
        <f t="shared" si="7"/>
        <v>42.85714286</v>
      </c>
      <c r="R55" s="57">
        <v>9.0</v>
      </c>
      <c r="S55" s="46">
        <f t="shared" si="8"/>
        <v>81.81818182</v>
      </c>
      <c r="T55" s="57">
        <v>8.0</v>
      </c>
      <c r="U55" s="46">
        <f t="shared" si="11"/>
        <v>80</v>
      </c>
      <c r="V55" s="47">
        <f t="shared" si="10"/>
        <v>73.88311688</v>
      </c>
    </row>
    <row r="56" ht="18.0" customHeight="1">
      <c r="A56" s="36">
        <v>46.0</v>
      </c>
      <c r="B56" s="37" t="s">
        <v>114</v>
      </c>
      <c r="C56" s="38" t="s">
        <v>115</v>
      </c>
      <c r="D56" s="39">
        <v>32.0</v>
      </c>
      <c r="E56" s="40">
        <f t="shared" si="1"/>
        <v>89</v>
      </c>
      <c r="F56" s="48">
        <v>23.0</v>
      </c>
      <c r="G56" s="41">
        <f t="shared" si="2"/>
        <v>76.66666667</v>
      </c>
      <c r="H56" s="42">
        <v>51.0</v>
      </c>
      <c r="I56" s="43">
        <f t="shared" si="3"/>
        <v>92.72727273</v>
      </c>
      <c r="J56" s="39">
        <v>43.0</v>
      </c>
      <c r="K56" s="40">
        <f t="shared" si="4"/>
        <v>98</v>
      </c>
      <c r="L56" s="39">
        <v>11.0</v>
      </c>
      <c r="M56" s="44">
        <f t="shared" si="5"/>
        <v>100</v>
      </c>
      <c r="N56" s="39">
        <v>21.0</v>
      </c>
      <c r="O56" s="44">
        <f t="shared" si="6"/>
        <v>95.45454545</v>
      </c>
      <c r="P56" s="42">
        <v>7.0</v>
      </c>
      <c r="Q56" s="44">
        <f t="shared" si="7"/>
        <v>100</v>
      </c>
      <c r="R56" s="45">
        <v>10.0</v>
      </c>
      <c r="S56" s="46">
        <f t="shared" si="8"/>
        <v>90.90909091</v>
      </c>
      <c r="T56" s="45">
        <v>8.0</v>
      </c>
      <c r="U56" s="46">
        <f t="shared" si="11"/>
        <v>80</v>
      </c>
      <c r="V56" s="47">
        <f t="shared" si="10"/>
        <v>91.41750842</v>
      </c>
    </row>
    <row r="57" ht="18.0" customHeight="1">
      <c r="A57" s="36">
        <v>47.0</v>
      </c>
      <c r="B57" s="37" t="s">
        <v>116</v>
      </c>
      <c r="C57" s="38" t="s">
        <v>117</v>
      </c>
      <c r="D57" s="39">
        <v>28.0</v>
      </c>
      <c r="E57" s="40">
        <f t="shared" si="1"/>
        <v>78</v>
      </c>
      <c r="F57" s="48">
        <v>24.0</v>
      </c>
      <c r="G57" s="41">
        <f t="shared" si="2"/>
        <v>80</v>
      </c>
      <c r="H57" s="42">
        <v>41.0</v>
      </c>
      <c r="I57" s="43">
        <f t="shared" si="3"/>
        <v>74.54545455</v>
      </c>
      <c r="J57" s="39">
        <v>36.0</v>
      </c>
      <c r="K57" s="40">
        <f t="shared" si="4"/>
        <v>82</v>
      </c>
      <c r="L57" s="39">
        <v>11.0</v>
      </c>
      <c r="M57" s="44">
        <f t="shared" si="5"/>
        <v>100</v>
      </c>
      <c r="N57" s="39">
        <v>19.0</v>
      </c>
      <c r="O57" s="44">
        <f t="shared" si="6"/>
        <v>86.36363636</v>
      </c>
      <c r="P57" s="42">
        <v>6.0</v>
      </c>
      <c r="Q57" s="44">
        <f t="shared" si="7"/>
        <v>85.71428571</v>
      </c>
      <c r="R57" s="45">
        <v>10.0</v>
      </c>
      <c r="S57" s="46">
        <f t="shared" si="8"/>
        <v>90.90909091</v>
      </c>
      <c r="T57" s="45">
        <v>7.0</v>
      </c>
      <c r="U57" s="46">
        <f t="shared" si="11"/>
        <v>70</v>
      </c>
      <c r="V57" s="47">
        <f t="shared" si="10"/>
        <v>83.05916306</v>
      </c>
    </row>
    <row r="58" ht="18.0" customHeight="1">
      <c r="A58" s="36">
        <v>48.0</v>
      </c>
      <c r="B58" s="37" t="s">
        <v>118</v>
      </c>
      <c r="C58" s="38" t="s">
        <v>119</v>
      </c>
      <c r="D58" s="39">
        <v>20.0</v>
      </c>
      <c r="E58" s="40">
        <f t="shared" si="1"/>
        <v>56</v>
      </c>
      <c r="F58" s="48">
        <v>14.0</v>
      </c>
      <c r="G58" s="41">
        <f t="shared" si="2"/>
        <v>46.66666667</v>
      </c>
      <c r="H58" s="42">
        <v>27.0</v>
      </c>
      <c r="I58" s="43">
        <f t="shared" si="3"/>
        <v>49.09090909</v>
      </c>
      <c r="J58" s="39">
        <v>31.0</v>
      </c>
      <c r="K58" s="40">
        <f t="shared" si="4"/>
        <v>71</v>
      </c>
      <c r="L58" s="39">
        <v>8.0</v>
      </c>
      <c r="M58" s="44">
        <f t="shared" si="5"/>
        <v>72.72727273</v>
      </c>
      <c r="N58" s="39">
        <v>12.0</v>
      </c>
      <c r="O58" s="44">
        <f t="shared" si="6"/>
        <v>54.54545455</v>
      </c>
      <c r="P58" s="42">
        <v>7.0</v>
      </c>
      <c r="Q58" s="44">
        <f t="shared" si="7"/>
        <v>100</v>
      </c>
      <c r="R58" s="45">
        <v>5.0</v>
      </c>
      <c r="S58" s="46">
        <f t="shared" si="8"/>
        <v>45.45454545</v>
      </c>
      <c r="T58" s="45">
        <v>5.0</v>
      </c>
      <c r="U58" s="46">
        <f t="shared" si="11"/>
        <v>50</v>
      </c>
      <c r="V58" s="47">
        <f t="shared" si="10"/>
        <v>60.60942761</v>
      </c>
    </row>
    <row r="59" ht="18.0" customHeight="1">
      <c r="A59" s="36">
        <v>49.0</v>
      </c>
      <c r="B59" s="37" t="s">
        <v>120</v>
      </c>
      <c r="C59" s="38" t="s">
        <v>121</v>
      </c>
      <c r="D59" s="39">
        <v>36.0</v>
      </c>
      <c r="E59" s="40">
        <f t="shared" si="1"/>
        <v>100</v>
      </c>
      <c r="F59" s="48">
        <v>28.0</v>
      </c>
      <c r="G59" s="41">
        <f t="shared" si="2"/>
        <v>93.33333333</v>
      </c>
      <c r="H59" s="42">
        <v>52.0</v>
      </c>
      <c r="I59" s="43">
        <f t="shared" si="3"/>
        <v>94.54545455</v>
      </c>
      <c r="J59" s="39">
        <v>43.0</v>
      </c>
      <c r="K59" s="40">
        <f t="shared" si="4"/>
        <v>98</v>
      </c>
      <c r="L59" s="39">
        <v>11.0</v>
      </c>
      <c r="M59" s="44">
        <f t="shared" si="5"/>
        <v>100</v>
      </c>
      <c r="N59" s="39">
        <v>18.0</v>
      </c>
      <c r="O59" s="44">
        <f t="shared" si="6"/>
        <v>81.81818182</v>
      </c>
      <c r="P59" s="42">
        <v>5.0</v>
      </c>
      <c r="Q59" s="44">
        <f t="shared" si="7"/>
        <v>71.42857143</v>
      </c>
      <c r="R59" s="45">
        <v>11.0</v>
      </c>
      <c r="S59" s="46">
        <f t="shared" si="8"/>
        <v>100</v>
      </c>
      <c r="T59" s="45">
        <v>10.0</v>
      </c>
      <c r="U59" s="46">
        <f t="shared" si="11"/>
        <v>100</v>
      </c>
      <c r="V59" s="47">
        <f t="shared" si="10"/>
        <v>93.23617124</v>
      </c>
    </row>
    <row r="60" ht="18.0" customHeight="1">
      <c r="A60" s="36">
        <v>50.0</v>
      </c>
      <c r="B60" s="37" t="s">
        <v>122</v>
      </c>
      <c r="C60" s="38" t="s">
        <v>123</v>
      </c>
      <c r="D60" s="39">
        <v>34.0</v>
      </c>
      <c r="E60" s="40">
        <f t="shared" si="1"/>
        <v>95</v>
      </c>
      <c r="F60" s="48">
        <v>27.0</v>
      </c>
      <c r="G60" s="41">
        <f t="shared" si="2"/>
        <v>90</v>
      </c>
      <c r="H60" s="42">
        <v>49.0</v>
      </c>
      <c r="I60" s="43">
        <f t="shared" si="3"/>
        <v>89.09090909</v>
      </c>
      <c r="J60" s="39">
        <v>43.0</v>
      </c>
      <c r="K60" s="40">
        <f t="shared" si="4"/>
        <v>98</v>
      </c>
      <c r="L60" s="39">
        <v>11.0</v>
      </c>
      <c r="M60" s="44">
        <f t="shared" si="5"/>
        <v>100</v>
      </c>
      <c r="N60" s="39">
        <v>18.0</v>
      </c>
      <c r="O60" s="44">
        <f t="shared" si="6"/>
        <v>81.81818182</v>
      </c>
      <c r="P60" s="42">
        <v>5.0</v>
      </c>
      <c r="Q60" s="44">
        <f t="shared" si="7"/>
        <v>71.42857143</v>
      </c>
      <c r="R60" s="45">
        <v>10.0</v>
      </c>
      <c r="S60" s="46">
        <f t="shared" si="8"/>
        <v>90.90909091</v>
      </c>
      <c r="T60" s="45">
        <v>10.0</v>
      </c>
      <c r="U60" s="46">
        <f t="shared" si="11"/>
        <v>100</v>
      </c>
      <c r="V60" s="47">
        <f t="shared" si="10"/>
        <v>90.69408369</v>
      </c>
    </row>
    <row r="61" ht="18.0" customHeight="1">
      <c r="A61" s="58">
        <v>51.0</v>
      </c>
      <c r="B61" s="59" t="s">
        <v>124</v>
      </c>
      <c r="C61" s="60" t="s">
        <v>125</v>
      </c>
      <c r="D61" s="61">
        <v>26.0</v>
      </c>
      <c r="E61" s="62">
        <f t="shared" si="1"/>
        <v>73</v>
      </c>
      <c r="F61" s="63">
        <v>19.0</v>
      </c>
      <c r="G61" s="64">
        <f t="shared" si="2"/>
        <v>63.33333333</v>
      </c>
      <c r="H61" s="65">
        <v>36.0</v>
      </c>
      <c r="I61" s="66">
        <f t="shared" si="3"/>
        <v>65.45454545</v>
      </c>
      <c r="J61" s="61">
        <v>34.0</v>
      </c>
      <c r="K61" s="62">
        <f t="shared" si="4"/>
        <v>78</v>
      </c>
      <c r="L61" s="61">
        <v>10.0</v>
      </c>
      <c r="M61" s="67">
        <f t="shared" si="5"/>
        <v>90.90909091</v>
      </c>
      <c r="N61" s="61">
        <v>14.0</v>
      </c>
      <c r="O61" s="67">
        <f t="shared" si="6"/>
        <v>63.63636364</v>
      </c>
      <c r="P61" s="65">
        <v>2.0</v>
      </c>
      <c r="Q61" s="67">
        <f t="shared" si="7"/>
        <v>28.57142857</v>
      </c>
      <c r="R61" s="68">
        <v>10.0</v>
      </c>
      <c r="S61" s="69">
        <f t="shared" si="8"/>
        <v>90.90909091</v>
      </c>
      <c r="T61" s="68">
        <v>7.0</v>
      </c>
      <c r="U61" s="69">
        <f t="shared" si="11"/>
        <v>70</v>
      </c>
      <c r="V61" s="69">
        <f t="shared" si="10"/>
        <v>69.31265031</v>
      </c>
    </row>
    <row r="62" ht="18.0" customHeight="1">
      <c r="A62" s="36">
        <v>52.0</v>
      </c>
      <c r="B62" s="51" t="s">
        <v>126</v>
      </c>
      <c r="C62" s="52" t="s">
        <v>127</v>
      </c>
      <c r="D62" s="39">
        <v>22.0</v>
      </c>
      <c r="E62" s="40">
        <f t="shared" si="1"/>
        <v>62</v>
      </c>
      <c r="F62" s="48">
        <v>26.0</v>
      </c>
      <c r="G62" s="41">
        <f t="shared" si="2"/>
        <v>86.66666667</v>
      </c>
      <c r="H62" s="42">
        <v>36.0</v>
      </c>
      <c r="I62" s="43">
        <f t="shared" si="3"/>
        <v>65.45454545</v>
      </c>
      <c r="J62" s="39">
        <v>31.0</v>
      </c>
      <c r="K62" s="40">
        <f t="shared" si="4"/>
        <v>71</v>
      </c>
      <c r="L62" s="39">
        <v>10.0</v>
      </c>
      <c r="M62" s="44">
        <f t="shared" si="5"/>
        <v>90.90909091</v>
      </c>
      <c r="N62" s="39">
        <v>21.0</v>
      </c>
      <c r="O62" s="44">
        <f t="shared" si="6"/>
        <v>95.45454545</v>
      </c>
      <c r="P62" s="42">
        <v>5.0</v>
      </c>
      <c r="Q62" s="44">
        <f t="shared" si="7"/>
        <v>71.42857143</v>
      </c>
      <c r="R62" s="45">
        <v>10.0</v>
      </c>
      <c r="S62" s="46">
        <f t="shared" si="8"/>
        <v>90.90909091</v>
      </c>
      <c r="T62" s="45">
        <v>6.0</v>
      </c>
      <c r="U62" s="46">
        <f t="shared" si="11"/>
        <v>60</v>
      </c>
      <c r="V62" s="47">
        <f t="shared" si="10"/>
        <v>77.09139009</v>
      </c>
    </row>
    <row r="63" ht="18.0" customHeight="1">
      <c r="A63" s="36">
        <v>53.0</v>
      </c>
      <c r="B63" s="37" t="s">
        <v>128</v>
      </c>
      <c r="C63" s="38" t="s">
        <v>129</v>
      </c>
      <c r="D63" s="39">
        <v>15.0</v>
      </c>
      <c r="E63" s="40">
        <f t="shared" si="1"/>
        <v>42</v>
      </c>
      <c r="F63" s="48">
        <v>15.0</v>
      </c>
      <c r="G63" s="41">
        <f t="shared" si="2"/>
        <v>50</v>
      </c>
      <c r="H63" s="42">
        <v>21.0</v>
      </c>
      <c r="I63" s="43">
        <f t="shared" si="3"/>
        <v>38.18181818</v>
      </c>
      <c r="J63" s="39">
        <v>21.0</v>
      </c>
      <c r="K63" s="40">
        <f t="shared" si="4"/>
        <v>48</v>
      </c>
      <c r="L63" s="39">
        <v>3.0</v>
      </c>
      <c r="M63" s="44">
        <f t="shared" si="5"/>
        <v>27.27272727</v>
      </c>
      <c r="N63" s="39">
        <v>12.0</v>
      </c>
      <c r="O63" s="44">
        <f t="shared" si="6"/>
        <v>54.54545455</v>
      </c>
      <c r="P63" s="42">
        <v>2.0</v>
      </c>
      <c r="Q63" s="44">
        <f t="shared" si="7"/>
        <v>28.57142857</v>
      </c>
      <c r="R63" s="45">
        <v>2.0</v>
      </c>
      <c r="S63" s="46">
        <f t="shared" si="8"/>
        <v>18.18181818</v>
      </c>
      <c r="T63" s="45">
        <v>3.0</v>
      </c>
      <c r="U63" s="46">
        <f t="shared" si="11"/>
        <v>30</v>
      </c>
      <c r="V63" s="47">
        <f t="shared" si="10"/>
        <v>37.41702742</v>
      </c>
    </row>
    <row r="64" ht="18.0" customHeight="1">
      <c r="A64" s="36">
        <v>54.0</v>
      </c>
      <c r="B64" s="37" t="s">
        <v>130</v>
      </c>
      <c r="C64" s="38" t="s">
        <v>131</v>
      </c>
      <c r="D64" s="39">
        <v>30.0</v>
      </c>
      <c r="E64" s="40">
        <f t="shared" si="1"/>
        <v>84</v>
      </c>
      <c r="F64" s="48">
        <v>23.0</v>
      </c>
      <c r="G64" s="41">
        <f t="shared" si="2"/>
        <v>76.66666667</v>
      </c>
      <c r="H64" s="42">
        <v>42.0</v>
      </c>
      <c r="I64" s="43">
        <f t="shared" si="3"/>
        <v>76.36363636</v>
      </c>
      <c r="J64" s="39">
        <v>32.0</v>
      </c>
      <c r="K64" s="40">
        <f t="shared" si="4"/>
        <v>73</v>
      </c>
      <c r="L64" s="39">
        <v>10.0</v>
      </c>
      <c r="M64" s="44">
        <f t="shared" si="5"/>
        <v>90.90909091</v>
      </c>
      <c r="N64" s="39">
        <v>18.0</v>
      </c>
      <c r="O64" s="44">
        <f t="shared" si="6"/>
        <v>81.81818182</v>
      </c>
      <c r="P64" s="42">
        <v>4.0</v>
      </c>
      <c r="Q64" s="44">
        <f t="shared" si="7"/>
        <v>57.14285714</v>
      </c>
      <c r="R64" s="45">
        <v>10.0</v>
      </c>
      <c r="S64" s="46">
        <f t="shared" si="8"/>
        <v>90.90909091</v>
      </c>
      <c r="T64" s="45">
        <v>10.0</v>
      </c>
      <c r="U64" s="46">
        <f t="shared" si="11"/>
        <v>100</v>
      </c>
      <c r="V64" s="47">
        <f t="shared" si="10"/>
        <v>81.2010582</v>
      </c>
    </row>
    <row r="65" ht="18.0" customHeight="1">
      <c r="A65" s="36">
        <v>55.0</v>
      </c>
      <c r="B65" s="37" t="s">
        <v>132</v>
      </c>
      <c r="C65" s="38" t="s">
        <v>133</v>
      </c>
      <c r="D65" s="39">
        <v>32.0</v>
      </c>
      <c r="E65" s="40">
        <f t="shared" si="1"/>
        <v>89</v>
      </c>
      <c r="F65" s="48">
        <v>24.0</v>
      </c>
      <c r="G65" s="41">
        <f t="shared" si="2"/>
        <v>80</v>
      </c>
      <c r="H65" s="42">
        <v>52.0</v>
      </c>
      <c r="I65" s="43">
        <f t="shared" si="3"/>
        <v>94.54545455</v>
      </c>
      <c r="J65" s="39">
        <v>42.0</v>
      </c>
      <c r="K65" s="40">
        <f t="shared" si="4"/>
        <v>96</v>
      </c>
      <c r="L65" s="39">
        <v>9.0</v>
      </c>
      <c r="M65" s="44">
        <f t="shared" si="5"/>
        <v>81.81818182</v>
      </c>
      <c r="N65" s="39">
        <v>22.0</v>
      </c>
      <c r="O65" s="44">
        <f t="shared" si="6"/>
        <v>100</v>
      </c>
      <c r="P65" s="42">
        <v>7.0</v>
      </c>
      <c r="Q65" s="44">
        <f t="shared" si="7"/>
        <v>100</v>
      </c>
      <c r="R65" s="45">
        <v>9.0</v>
      </c>
      <c r="S65" s="46">
        <f t="shared" si="8"/>
        <v>81.81818182</v>
      </c>
      <c r="T65" s="45">
        <v>8.0</v>
      </c>
      <c r="U65" s="46">
        <f t="shared" si="11"/>
        <v>80</v>
      </c>
      <c r="V65" s="47">
        <f t="shared" si="10"/>
        <v>89.24242424</v>
      </c>
    </row>
    <row r="66" ht="18.0" customHeight="1">
      <c r="A66" s="36">
        <v>56.0</v>
      </c>
      <c r="B66" s="37" t="s">
        <v>134</v>
      </c>
      <c r="C66" s="38" t="s">
        <v>135</v>
      </c>
      <c r="D66" s="39">
        <v>30.0</v>
      </c>
      <c r="E66" s="40">
        <f t="shared" si="1"/>
        <v>84</v>
      </c>
      <c r="F66" s="48">
        <v>27.0</v>
      </c>
      <c r="G66" s="41">
        <f t="shared" si="2"/>
        <v>90</v>
      </c>
      <c r="H66" s="42">
        <v>47.0</v>
      </c>
      <c r="I66" s="43">
        <f t="shared" si="3"/>
        <v>85.45454545</v>
      </c>
      <c r="J66" s="39">
        <v>38.0</v>
      </c>
      <c r="K66" s="40">
        <f t="shared" si="4"/>
        <v>87</v>
      </c>
      <c r="L66" s="39">
        <v>11.0</v>
      </c>
      <c r="M66" s="44">
        <f t="shared" si="5"/>
        <v>100</v>
      </c>
      <c r="N66" s="39">
        <v>20.0</v>
      </c>
      <c r="O66" s="44">
        <f t="shared" si="6"/>
        <v>90.90909091</v>
      </c>
      <c r="P66" s="42">
        <v>4.0</v>
      </c>
      <c r="Q66" s="44">
        <f t="shared" si="7"/>
        <v>57.14285714</v>
      </c>
      <c r="R66" s="45">
        <v>8.0</v>
      </c>
      <c r="S66" s="46">
        <f t="shared" si="8"/>
        <v>72.72727273</v>
      </c>
      <c r="T66" s="45">
        <v>7.0</v>
      </c>
      <c r="U66" s="46">
        <f t="shared" si="11"/>
        <v>70</v>
      </c>
      <c r="V66" s="47">
        <f t="shared" si="10"/>
        <v>81.91486291</v>
      </c>
    </row>
    <row r="67" ht="18.0" customHeight="1">
      <c r="A67" s="36">
        <v>57.0</v>
      </c>
      <c r="B67" s="37" t="s">
        <v>136</v>
      </c>
      <c r="C67" s="38" t="s">
        <v>137</v>
      </c>
      <c r="D67" s="39">
        <v>19.0</v>
      </c>
      <c r="E67" s="40">
        <f t="shared" si="1"/>
        <v>53</v>
      </c>
      <c r="F67" s="70">
        <v>22.0</v>
      </c>
      <c r="G67" s="41">
        <f t="shared" si="2"/>
        <v>73.33333333</v>
      </c>
      <c r="H67" s="42">
        <v>25.0</v>
      </c>
      <c r="I67" s="43">
        <f t="shared" si="3"/>
        <v>45.45454545</v>
      </c>
      <c r="J67" s="39">
        <v>27.0</v>
      </c>
      <c r="K67" s="40">
        <f t="shared" si="4"/>
        <v>62</v>
      </c>
      <c r="L67" s="39">
        <v>8.0</v>
      </c>
      <c r="M67" s="44">
        <f t="shared" si="5"/>
        <v>72.72727273</v>
      </c>
      <c r="N67" s="39">
        <v>16.0</v>
      </c>
      <c r="O67" s="44">
        <f t="shared" si="6"/>
        <v>72.72727273</v>
      </c>
      <c r="P67" s="42">
        <v>4.0</v>
      </c>
      <c r="Q67" s="44">
        <f t="shared" si="7"/>
        <v>57.14285714</v>
      </c>
      <c r="R67" s="71">
        <v>7.0</v>
      </c>
      <c r="S67" s="46">
        <f t="shared" si="8"/>
        <v>63.63636364</v>
      </c>
      <c r="T67" s="45">
        <v>4.0</v>
      </c>
      <c r="U67" s="46">
        <f t="shared" si="11"/>
        <v>40</v>
      </c>
      <c r="V67" s="47">
        <f t="shared" si="10"/>
        <v>60.002405</v>
      </c>
    </row>
    <row r="68" ht="29.25" customHeight="1">
      <c r="A68" s="27" t="s">
        <v>138</v>
      </c>
      <c r="B68" s="4"/>
      <c r="C68" s="5"/>
      <c r="D68" s="72" t="s">
        <v>139</v>
      </c>
      <c r="E68" s="5"/>
      <c r="F68" s="72" t="s">
        <v>140</v>
      </c>
      <c r="G68" s="5"/>
      <c r="H68" s="72" t="s">
        <v>141</v>
      </c>
      <c r="I68" s="5"/>
      <c r="J68" s="27" t="s">
        <v>142</v>
      </c>
      <c r="K68" s="5"/>
      <c r="L68" s="72" t="s">
        <v>143</v>
      </c>
      <c r="M68" s="5"/>
      <c r="N68" s="72" t="s">
        <v>144</v>
      </c>
      <c r="O68" s="5"/>
      <c r="P68" s="73" t="s">
        <v>145</v>
      </c>
      <c r="Q68" s="5"/>
      <c r="R68" s="74" t="s">
        <v>140</v>
      </c>
      <c r="S68" s="75"/>
      <c r="T68" s="74" t="s">
        <v>139</v>
      </c>
      <c r="U68" s="75"/>
      <c r="V68" s="46"/>
    </row>
    <row r="69" ht="36.0" customHeight="1">
      <c r="A69" s="76"/>
      <c r="B69" s="76"/>
      <c r="C69" s="77"/>
      <c r="D69" s="78"/>
      <c r="E69" s="78"/>
      <c r="F69" s="76"/>
      <c r="G69" s="79"/>
      <c r="H69" s="80"/>
      <c r="I69" s="80"/>
      <c r="J69" s="76"/>
      <c r="K69" s="12"/>
      <c r="L69" s="76"/>
      <c r="M69" s="12"/>
      <c r="N69" s="76"/>
      <c r="O69" s="81"/>
      <c r="P69" s="76"/>
      <c r="Q69" s="76"/>
      <c r="R69" s="82"/>
      <c r="S69" s="82"/>
      <c r="T69" s="83"/>
      <c r="U69" s="82"/>
      <c r="V69" s="82"/>
    </row>
    <row r="70" ht="29.25" customHeight="1">
      <c r="A70" s="84"/>
      <c r="B70" s="85" t="s">
        <v>146</v>
      </c>
      <c r="D70" s="12"/>
      <c r="E70" s="12"/>
      <c r="F70" s="86"/>
      <c r="G70" s="87" t="s">
        <v>147</v>
      </c>
      <c r="H70" s="12"/>
      <c r="I70" s="88"/>
      <c r="J70" s="76"/>
      <c r="K70" s="89"/>
      <c r="N70" s="90"/>
      <c r="O70" s="81"/>
      <c r="P70" s="87" t="s">
        <v>148</v>
      </c>
      <c r="Q70" s="86"/>
      <c r="R70" s="87"/>
      <c r="S70" s="87"/>
      <c r="T70" s="87"/>
      <c r="U70" s="87"/>
      <c r="V70" s="87"/>
    </row>
    <row r="71" ht="11.25" customHeight="1">
      <c r="A71" s="84"/>
      <c r="B71" s="84"/>
      <c r="C71" s="12"/>
      <c r="D71" s="1"/>
      <c r="E71" s="1"/>
      <c r="F71" s="1"/>
      <c r="G71" s="1"/>
      <c r="H71" s="1"/>
      <c r="I71" s="1"/>
      <c r="J71" s="1"/>
      <c r="K71" s="1"/>
      <c r="L71" s="12"/>
      <c r="M71" s="12"/>
      <c r="N71" s="12"/>
      <c r="O71" s="12"/>
      <c r="P71" s="1"/>
      <c r="Q71" s="1"/>
      <c r="R71" s="12"/>
      <c r="S71" s="12"/>
      <c r="T71" s="12"/>
      <c r="U71" s="12"/>
      <c r="V71" s="12"/>
    </row>
    <row r="72" ht="11.25" customHeight="1">
      <c r="A72" s="12"/>
      <c r="B72" s="12"/>
      <c r="C72" s="2"/>
      <c r="D72" s="1"/>
      <c r="E72" s="1"/>
      <c r="F72" s="1"/>
      <c r="G72" s="1"/>
      <c r="H72" s="1"/>
      <c r="I72" s="1"/>
      <c r="J72" s="1"/>
      <c r="K72" s="1"/>
      <c r="L72" s="1"/>
      <c r="M72" s="1"/>
      <c r="N72" s="1"/>
      <c r="O72" s="1"/>
      <c r="P72" s="1"/>
      <c r="Q72" s="1"/>
      <c r="R72" s="1"/>
      <c r="S72" s="1"/>
      <c r="T72" s="1"/>
      <c r="U72" s="1"/>
      <c r="V72" s="1"/>
    </row>
    <row r="73" ht="11.25" customHeight="1">
      <c r="A73" s="1"/>
      <c r="B73" s="1"/>
      <c r="C73" s="2"/>
      <c r="D73" s="1"/>
      <c r="E73" s="1"/>
      <c r="F73" s="1"/>
      <c r="G73" s="1"/>
      <c r="H73" s="1"/>
      <c r="I73" s="1"/>
      <c r="J73" s="1"/>
      <c r="K73" s="1"/>
      <c r="L73" s="1"/>
      <c r="M73" s="1"/>
      <c r="N73" s="1"/>
      <c r="O73" s="1"/>
      <c r="P73" s="1"/>
      <c r="Q73" s="1"/>
      <c r="R73" s="1"/>
      <c r="S73" s="1"/>
      <c r="T73" s="1"/>
      <c r="U73" s="1"/>
      <c r="V73" s="1"/>
    </row>
    <row r="74" ht="11.25" customHeight="1">
      <c r="A74" s="1"/>
      <c r="B74" s="1"/>
      <c r="C74" s="2"/>
      <c r="D74" s="1"/>
      <c r="E74" s="1"/>
      <c r="F74" s="1"/>
      <c r="G74" s="1"/>
      <c r="H74" s="1"/>
      <c r="I74" s="1"/>
      <c r="J74" s="1"/>
      <c r="K74" s="1"/>
      <c r="L74" s="1"/>
      <c r="M74" s="1"/>
      <c r="N74" s="1"/>
      <c r="O74" s="1"/>
      <c r="P74" s="1"/>
      <c r="Q74" s="1"/>
      <c r="R74" s="1"/>
      <c r="S74" s="1"/>
      <c r="T74" s="1"/>
      <c r="U74" s="1"/>
      <c r="V74" s="1"/>
    </row>
    <row r="75" ht="11.25" customHeight="1">
      <c r="A75" s="1"/>
      <c r="B75" s="1"/>
      <c r="C75" s="2"/>
      <c r="D75" s="1"/>
      <c r="E75" s="1"/>
      <c r="F75" s="1"/>
      <c r="G75" s="1"/>
      <c r="H75" s="1"/>
      <c r="I75" s="1"/>
      <c r="J75" s="1"/>
      <c r="K75" s="1"/>
      <c r="L75" s="1"/>
      <c r="M75" s="1"/>
      <c r="N75" s="1"/>
      <c r="O75" s="1"/>
      <c r="P75" s="1"/>
      <c r="Q75" s="1"/>
      <c r="R75" s="1"/>
      <c r="S75" s="1"/>
      <c r="T75" s="1"/>
      <c r="U75" s="1"/>
      <c r="V75" s="1"/>
    </row>
    <row r="76" ht="11.25" customHeight="1">
      <c r="A76" s="1"/>
      <c r="B76" s="1"/>
      <c r="C76" s="2"/>
      <c r="D76" s="1"/>
      <c r="E76" s="1"/>
      <c r="F76" s="1"/>
      <c r="G76" s="1"/>
      <c r="H76" s="1"/>
      <c r="I76" s="1"/>
      <c r="J76" s="1"/>
      <c r="K76" s="1"/>
      <c r="L76" s="1"/>
      <c r="M76" s="1"/>
      <c r="N76" s="1"/>
      <c r="O76" s="1"/>
      <c r="P76" s="1"/>
      <c r="Q76" s="1"/>
      <c r="R76" s="1"/>
      <c r="S76" s="1"/>
      <c r="T76" s="1"/>
      <c r="U76" s="1"/>
      <c r="V76" s="1"/>
    </row>
    <row r="77" ht="11.25" customHeight="1">
      <c r="A77" s="1"/>
      <c r="B77" s="1"/>
      <c r="C77" s="2"/>
      <c r="D77" s="1"/>
      <c r="E77" s="1"/>
      <c r="F77" s="1"/>
      <c r="G77" s="1"/>
      <c r="H77" s="1"/>
      <c r="I77" s="1"/>
      <c r="J77" s="1"/>
      <c r="K77" s="1"/>
      <c r="L77" s="1"/>
      <c r="M77" s="1"/>
      <c r="N77" s="1"/>
      <c r="O77" s="1"/>
      <c r="P77" s="1"/>
      <c r="Q77" s="1"/>
      <c r="R77" s="1"/>
      <c r="S77" s="1"/>
      <c r="T77" s="1"/>
      <c r="U77" s="1"/>
      <c r="V77" s="1"/>
    </row>
    <row r="78" ht="11.25" customHeight="1">
      <c r="A78" s="1"/>
      <c r="B78" s="1"/>
      <c r="C78" s="2"/>
      <c r="D78" s="1"/>
      <c r="E78" s="1"/>
      <c r="F78" s="1"/>
      <c r="G78" s="1"/>
      <c r="H78" s="1"/>
      <c r="I78" s="1"/>
      <c r="J78" s="1"/>
      <c r="K78" s="1"/>
      <c r="L78" s="1"/>
      <c r="M78" s="1"/>
      <c r="N78" s="1"/>
      <c r="O78" s="1"/>
      <c r="P78" s="1"/>
      <c r="Q78" s="1"/>
      <c r="R78" s="1"/>
      <c r="S78" s="1"/>
      <c r="T78" s="1"/>
      <c r="U78" s="1"/>
      <c r="V78" s="1"/>
    </row>
    <row r="79" ht="11.25" customHeight="1">
      <c r="A79" s="1"/>
      <c r="B79" s="1"/>
      <c r="C79" s="2"/>
      <c r="D79" s="1"/>
      <c r="E79" s="1"/>
      <c r="F79" s="1"/>
      <c r="G79" s="1"/>
      <c r="H79" s="1"/>
      <c r="I79" s="1"/>
      <c r="J79" s="1"/>
      <c r="K79" s="1"/>
      <c r="L79" s="1"/>
      <c r="M79" s="1"/>
      <c r="N79" s="1"/>
      <c r="O79" s="1"/>
      <c r="P79" s="1"/>
      <c r="Q79" s="1"/>
      <c r="R79" s="1"/>
      <c r="S79" s="1"/>
      <c r="T79" s="1"/>
      <c r="U79" s="1"/>
      <c r="V79" s="1"/>
    </row>
    <row r="80" ht="11.25" customHeight="1">
      <c r="A80" s="1"/>
      <c r="B80" s="1"/>
      <c r="C80" s="2"/>
      <c r="D80" s="1"/>
      <c r="E80" s="1"/>
      <c r="F80" s="1"/>
      <c r="G80" s="1"/>
      <c r="H80" s="1"/>
      <c r="I80" s="1"/>
      <c r="J80" s="1"/>
      <c r="K80" s="1"/>
      <c r="L80" s="1"/>
      <c r="M80" s="1"/>
      <c r="N80" s="1"/>
      <c r="O80" s="1"/>
      <c r="P80" s="1"/>
      <c r="Q80" s="1"/>
      <c r="R80" s="1"/>
      <c r="S80" s="1"/>
      <c r="T80" s="1"/>
      <c r="U80" s="1"/>
      <c r="V80" s="1"/>
    </row>
    <row r="81" ht="11.25" customHeight="1">
      <c r="A81" s="1"/>
      <c r="B81" s="1"/>
      <c r="C81" s="2"/>
      <c r="D81" s="1"/>
      <c r="E81" s="1"/>
      <c r="F81" s="1"/>
      <c r="G81" s="1"/>
      <c r="H81" s="1"/>
      <c r="I81" s="1"/>
      <c r="J81" s="1"/>
      <c r="K81" s="1"/>
      <c r="L81" s="1"/>
      <c r="M81" s="1"/>
      <c r="N81" s="1"/>
      <c r="O81" s="1"/>
      <c r="P81" s="1"/>
      <c r="Q81" s="1"/>
      <c r="R81" s="1"/>
      <c r="S81" s="1"/>
      <c r="T81" s="1"/>
      <c r="U81" s="1"/>
      <c r="V81" s="1"/>
    </row>
    <row r="82" ht="11.25" customHeight="1">
      <c r="A82" s="1"/>
      <c r="B82" s="1"/>
      <c r="C82" s="2"/>
      <c r="D82" s="1"/>
      <c r="E82" s="1"/>
      <c r="F82" s="1"/>
      <c r="G82" s="1"/>
      <c r="H82" s="1"/>
      <c r="I82" s="1"/>
      <c r="J82" s="1"/>
      <c r="K82" s="1"/>
      <c r="L82" s="1"/>
      <c r="M82" s="1"/>
      <c r="N82" s="1"/>
      <c r="O82" s="1"/>
      <c r="P82" s="1"/>
      <c r="Q82" s="1"/>
      <c r="R82" s="1"/>
      <c r="S82" s="1"/>
      <c r="T82" s="1"/>
      <c r="U82" s="1"/>
      <c r="V82" s="1"/>
    </row>
    <row r="83" ht="11.25" customHeight="1">
      <c r="A83" s="1"/>
      <c r="B83" s="1"/>
      <c r="C83" s="2"/>
      <c r="D83" s="1"/>
      <c r="E83" s="1"/>
      <c r="F83" s="1"/>
      <c r="G83" s="1"/>
      <c r="H83" s="1"/>
      <c r="I83" s="1"/>
      <c r="J83" s="1"/>
      <c r="K83" s="1"/>
      <c r="L83" s="1"/>
      <c r="M83" s="1"/>
      <c r="N83" s="1"/>
      <c r="O83" s="1"/>
      <c r="P83" s="1"/>
      <c r="Q83" s="1"/>
      <c r="R83" s="1"/>
      <c r="S83" s="1"/>
      <c r="T83" s="1"/>
      <c r="U83" s="1"/>
      <c r="V83" s="1"/>
    </row>
    <row r="84" ht="11.25" customHeight="1">
      <c r="A84" s="1"/>
      <c r="B84" s="1"/>
      <c r="C84" s="2"/>
      <c r="D84" s="1"/>
      <c r="E84" s="1"/>
      <c r="F84" s="1"/>
      <c r="G84" s="1"/>
      <c r="H84" s="1"/>
      <c r="I84" s="1"/>
      <c r="J84" s="1"/>
      <c r="K84" s="1"/>
      <c r="L84" s="1"/>
      <c r="M84" s="1"/>
      <c r="N84" s="1"/>
      <c r="O84" s="1"/>
      <c r="P84" s="1"/>
      <c r="Q84" s="1"/>
      <c r="R84" s="1"/>
      <c r="S84" s="1"/>
      <c r="T84" s="1"/>
      <c r="U84" s="1"/>
      <c r="V84" s="1"/>
    </row>
    <row r="85" ht="11.25" customHeight="1">
      <c r="A85" s="1"/>
      <c r="B85" s="1"/>
      <c r="C85" s="2"/>
      <c r="D85" s="1"/>
      <c r="E85" s="1"/>
      <c r="F85" s="1"/>
      <c r="G85" s="1"/>
      <c r="H85" s="1"/>
      <c r="I85" s="1"/>
      <c r="J85" s="1"/>
      <c r="K85" s="1"/>
      <c r="L85" s="1"/>
      <c r="M85" s="1"/>
      <c r="N85" s="1"/>
      <c r="O85" s="1"/>
      <c r="P85" s="1"/>
      <c r="Q85" s="1"/>
      <c r="R85" s="1"/>
      <c r="S85" s="1"/>
      <c r="T85" s="1"/>
      <c r="U85" s="1"/>
      <c r="V85" s="1"/>
    </row>
    <row r="86" ht="11.25" customHeight="1">
      <c r="A86" s="1"/>
      <c r="B86" s="1"/>
      <c r="C86" s="2"/>
      <c r="D86" s="1"/>
      <c r="E86" s="1"/>
      <c r="F86" s="1"/>
      <c r="G86" s="1"/>
      <c r="H86" s="1"/>
      <c r="I86" s="1"/>
      <c r="J86" s="1"/>
      <c r="K86" s="1"/>
      <c r="L86" s="1"/>
      <c r="M86" s="1"/>
      <c r="N86" s="1"/>
      <c r="O86" s="1"/>
      <c r="P86" s="1"/>
      <c r="Q86" s="1"/>
      <c r="R86" s="1"/>
      <c r="S86" s="1"/>
      <c r="T86" s="1"/>
      <c r="U86" s="1"/>
      <c r="V86" s="1"/>
    </row>
    <row r="87" ht="11.25" customHeight="1">
      <c r="A87" s="1"/>
      <c r="B87" s="1"/>
      <c r="C87" s="2"/>
      <c r="D87" s="1"/>
      <c r="E87" s="1"/>
      <c r="F87" s="1"/>
      <c r="G87" s="1"/>
      <c r="H87" s="1"/>
      <c r="I87" s="1"/>
      <c r="J87" s="1"/>
      <c r="K87" s="1"/>
      <c r="L87" s="1"/>
      <c r="M87" s="1"/>
      <c r="N87" s="1"/>
      <c r="O87" s="1"/>
      <c r="P87" s="1"/>
      <c r="Q87" s="1"/>
      <c r="R87" s="1"/>
      <c r="S87" s="1"/>
      <c r="T87" s="1"/>
      <c r="U87" s="1"/>
      <c r="V87" s="1"/>
    </row>
    <row r="88" ht="11.25" customHeight="1">
      <c r="A88" s="1"/>
      <c r="B88" s="1"/>
      <c r="C88" s="2"/>
      <c r="D88" s="1"/>
      <c r="E88" s="1"/>
      <c r="F88" s="1"/>
      <c r="G88" s="1"/>
      <c r="H88" s="1"/>
      <c r="I88" s="1"/>
      <c r="J88" s="1"/>
      <c r="K88" s="1"/>
      <c r="L88" s="1"/>
      <c r="M88" s="1"/>
      <c r="N88" s="1"/>
      <c r="O88" s="1"/>
      <c r="P88" s="1"/>
      <c r="Q88" s="1"/>
      <c r="R88" s="1"/>
      <c r="S88" s="1"/>
      <c r="T88" s="1"/>
      <c r="U88" s="1"/>
      <c r="V88" s="1"/>
    </row>
    <row r="89" ht="11.25" customHeight="1">
      <c r="A89" s="1"/>
      <c r="B89" s="1"/>
      <c r="C89" s="2"/>
      <c r="D89" s="1"/>
      <c r="E89" s="1"/>
      <c r="F89" s="1"/>
      <c r="G89" s="1"/>
      <c r="H89" s="1"/>
      <c r="I89" s="1"/>
      <c r="J89" s="1"/>
      <c r="K89" s="1"/>
      <c r="L89" s="1"/>
      <c r="M89" s="1"/>
      <c r="N89" s="1"/>
      <c r="O89" s="1"/>
      <c r="P89" s="1"/>
      <c r="Q89" s="1"/>
      <c r="R89" s="1"/>
      <c r="S89" s="1"/>
      <c r="T89" s="1"/>
      <c r="U89" s="1"/>
      <c r="V89" s="1"/>
    </row>
    <row r="90" ht="11.25" customHeight="1">
      <c r="A90" s="1"/>
      <c r="B90" s="1"/>
      <c r="C90" s="2"/>
      <c r="D90" s="1"/>
      <c r="E90" s="1"/>
      <c r="F90" s="1"/>
      <c r="G90" s="1"/>
      <c r="H90" s="1"/>
      <c r="I90" s="1"/>
      <c r="J90" s="1"/>
      <c r="K90" s="1"/>
      <c r="L90" s="1"/>
      <c r="M90" s="1"/>
      <c r="N90" s="1"/>
      <c r="O90" s="1"/>
      <c r="P90" s="1"/>
      <c r="Q90" s="1"/>
      <c r="R90" s="1"/>
      <c r="S90" s="1"/>
      <c r="T90" s="1"/>
      <c r="U90" s="1"/>
      <c r="V90" s="1"/>
    </row>
    <row r="91" ht="11.25" customHeight="1">
      <c r="A91" s="1"/>
      <c r="B91" s="1"/>
      <c r="C91" s="2"/>
      <c r="D91" s="1"/>
      <c r="E91" s="1"/>
      <c r="F91" s="1"/>
      <c r="G91" s="1"/>
      <c r="H91" s="1"/>
      <c r="I91" s="1"/>
      <c r="J91" s="1"/>
      <c r="K91" s="1"/>
      <c r="L91" s="1"/>
      <c r="M91" s="1"/>
      <c r="N91" s="1"/>
      <c r="O91" s="1"/>
      <c r="P91" s="1"/>
      <c r="Q91" s="1"/>
      <c r="R91" s="1"/>
      <c r="S91" s="1"/>
      <c r="T91" s="1"/>
      <c r="U91" s="1"/>
      <c r="V91" s="1"/>
    </row>
    <row r="92" ht="11.25" customHeight="1">
      <c r="A92" s="1"/>
      <c r="B92" s="1"/>
      <c r="C92" s="2"/>
      <c r="D92" s="1"/>
      <c r="E92" s="1"/>
      <c r="F92" s="1"/>
      <c r="G92" s="1"/>
      <c r="H92" s="1"/>
      <c r="I92" s="1"/>
      <c r="J92" s="1"/>
      <c r="K92" s="1"/>
      <c r="L92" s="1"/>
      <c r="M92" s="1"/>
      <c r="N92" s="1"/>
      <c r="O92" s="1"/>
      <c r="P92" s="1"/>
      <c r="Q92" s="1"/>
      <c r="R92" s="1"/>
      <c r="S92" s="1"/>
      <c r="T92" s="1"/>
      <c r="U92" s="1"/>
      <c r="V92" s="1"/>
    </row>
    <row r="93" ht="11.25" customHeight="1">
      <c r="A93" s="1"/>
      <c r="B93" s="1"/>
      <c r="C93" s="2"/>
      <c r="D93" s="1"/>
      <c r="E93" s="1"/>
      <c r="F93" s="1"/>
      <c r="G93" s="1"/>
      <c r="H93" s="1"/>
      <c r="I93" s="1"/>
      <c r="J93" s="1"/>
      <c r="K93" s="1"/>
      <c r="L93" s="1"/>
      <c r="M93" s="1"/>
      <c r="N93" s="1"/>
      <c r="O93" s="1"/>
      <c r="P93" s="1"/>
      <c r="Q93" s="1"/>
      <c r="R93" s="1"/>
      <c r="S93" s="1"/>
      <c r="T93" s="1"/>
      <c r="U93" s="1"/>
      <c r="V93" s="1"/>
    </row>
    <row r="94" ht="11.25" customHeight="1">
      <c r="A94" s="1"/>
      <c r="B94" s="1"/>
      <c r="C94" s="2"/>
      <c r="D94" s="1"/>
      <c r="E94" s="1"/>
      <c r="F94" s="1"/>
      <c r="G94" s="1"/>
      <c r="H94" s="1"/>
      <c r="I94" s="1"/>
      <c r="J94" s="1"/>
      <c r="K94" s="1"/>
      <c r="L94" s="1"/>
      <c r="M94" s="1"/>
      <c r="N94" s="1"/>
      <c r="O94" s="1"/>
      <c r="P94" s="1"/>
      <c r="Q94" s="1"/>
      <c r="R94" s="1"/>
      <c r="S94" s="1"/>
      <c r="T94" s="1"/>
      <c r="U94" s="1"/>
      <c r="V94" s="1"/>
    </row>
    <row r="95" ht="11.25" customHeight="1">
      <c r="A95" s="1"/>
      <c r="B95" s="1"/>
      <c r="C95" s="2"/>
      <c r="D95" s="1"/>
      <c r="E95" s="1"/>
      <c r="F95" s="1"/>
      <c r="G95" s="1"/>
      <c r="H95" s="1"/>
      <c r="I95" s="1"/>
      <c r="J95" s="1"/>
      <c r="K95" s="1"/>
      <c r="L95" s="1"/>
      <c r="M95" s="1"/>
      <c r="N95" s="1"/>
      <c r="O95" s="1"/>
      <c r="P95" s="1"/>
      <c r="Q95" s="1"/>
      <c r="R95" s="1"/>
      <c r="S95" s="1"/>
      <c r="T95" s="1"/>
      <c r="U95" s="1"/>
      <c r="V95" s="1"/>
    </row>
    <row r="96" ht="11.25" customHeight="1">
      <c r="A96" s="1"/>
      <c r="B96" s="1"/>
      <c r="C96" s="2"/>
      <c r="D96" s="1"/>
      <c r="E96" s="1"/>
      <c r="F96" s="1"/>
      <c r="G96" s="1"/>
      <c r="H96" s="1"/>
      <c r="I96" s="1"/>
      <c r="J96" s="1"/>
      <c r="K96" s="1"/>
      <c r="L96" s="1"/>
      <c r="M96" s="1"/>
      <c r="N96" s="1"/>
      <c r="O96" s="1"/>
      <c r="P96" s="1"/>
      <c r="Q96" s="1"/>
      <c r="R96" s="1"/>
      <c r="S96" s="1"/>
      <c r="T96" s="1"/>
      <c r="U96" s="1"/>
      <c r="V96" s="1"/>
    </row>
    <row r="97" ht="11.25" customHeight="1">
      <c r="A97" s="1"/>
      <c r="B97" s="1"/>
      <c r="C97" s="2"/>
      <c r="D97" s="1"/>
      <c r="E97" s="1"/>
      <c r="F97" s="1"/>
      <c r="G97" s="1"/>
      <c r="H97" s="1"/>
      <c r="I97" s="1"/>
      <c r="J97" s="1"/>
      <c r="K97" s="1"/>
      <c r="L97" s="1"/>
      <c r="M97" s="1"/>
      <c r="N97" s="1"/>
      <c r="O97" s="1"/>
      <c r="P97" s="1"/>
      <c r="Q97" s="1"/>
      <c r="R97" s="1"/>
      <c r="S97" s="1"/>
      <c r="T97" s="1"/>
      <c r="U97" s="1"/>
      <c r="V97" s="1"/>
    </row>
    <row r="98" ht="11.25" customHeight="1">
      <c r="A98" s="1"/>
      <c r="B98" s="1"/>
      <c r="C98" s="2"/>
      <c r="D98" s="1"/>
      <c r="E98" s="1"/>
      <c r="F98" s="1"/>
      <c r="G98" s="1"/>
      <c r="H98" s="1"/>
      <c r="I98" s="1"/>
      <c r="J98" s="1"/>
      <c r="K98" s="1"/>
      <c r="L98" s="1"/>
      <c r="M98" s="1"/>
      <c r="N98" s="1"/>
      <c r="O98" s="1"/>
      <c r="P98" s="1"/>
      <c r="Q98" s="1"/>
      <c r="R98" s="1"/>
      <c r="S98" s="1"/>
      <c r="T98" s="1"/>
      <c r="U98" s="1"/>
      <c r="V98" s="1"/>
    </row>
    <row r="99" ht="11.25" customHeight="1">
      <c r="A99" s="1"/>
      <c r="B99" s="1"/>
      <c r="C99" s="2"/>
      <c r="D99" s="1"/>
      <c r="E99" s="1"/>
      <c r="F99" s="1"/>
      <c r="G99" s="1"/>
      <c r="H99" s="1"/>
      <c r="I99" s="1"/>
      <c r="J99" s="1"/>
      <c r="K99" s="1"/>
      <c r="L99" s="1"/>
      <c r="M99" s="1"/>
      <c r="N99" s="1"/>
      <c r="O99" s="1"/>
      <c r="P99" s="1"/>
      <c r="Q99" s="1"/>
      <c r="R99" s="1"/>
      <c r="S99" s="1"/>
      <c r="T99" s="1"/>
      <c r="U99" s="1"/>
      <c r="V99" s="1"/>
    </row>
    <row r="100" ht="11.25" customHeight="1">
      <c r="A100" s="1"/>
      <c r="B100" s="1"/>
      <c r="C100" s="2"/>
      <c r="D100" s="1"/>
      <c r="E100" s="1"/>
      <c r="F100" s="1"/>
      <c r="G100" s="1"/>
      <c r="H100" s="1"/>
      <c r="I100" s="1"/>
      <c r="J100" s="1"/>
      <c r="K100" s="1"/>
      <c r="L100" s="1"/>
      <c r="M100" s="1"/>
      <c r="N100" s="1"/>
      <c r="O100" s="1"/>
      <c r="P100" s="1"/>
      <c r="Q100" s="1"/>
      <c r="R100" s="1"/>
      <c r="S100" s="1"/>
      <c r="T100" s="1"/>
      <c r="U100" s="1"/>
      <c r="V100" s="1"/>
    </row>
    <row r="101" ht="11.25" customHeight="1">
      <c r="A101" s="1"/>
      <c r="B101" s="1"/>
      <c r="C101" s="2"/>
      <c r="D101" s="1"/>
      <c r="E101" s="1"/>
      <c r="F101" s="1"/>
      <c r="G101" s="1"/>
      <c r="H101" s="1"/>
      <c r="I101" s="1"/>
      <c r="J101" s="1"/>
      <c r="K101" s="1"/>
      <c r="L101" s="1"/>
      <c r="M101" s="1"/>
      <c r="N101" s="1"/>
      <c r="O101" s="1"/>
      <c r="P101" s="1"/>
      <c r="Q101" s="1"/>
      <c r="R101" s="1"/>
      <c r="S101" s="1"/>
      <c r="T101" s="1"/>
      <c r="U101" s="1"/>
      <c r="V101" s="1"/>
    </row>
    <row r="102" ht="11.25" customHeight="1">
      <c r="A102" s="1"/>
      <c r="B102" s="1"/>
      <c r="C102" s="2"/>
      <c r="D102" s="1"/>
      <c r="E102" s="1"/>
      <c r="F102" s="1"/>
      <c r="G102" s="1"/>
      <c r="H102" s="1"/>
      <c r="I102" s="1"/>
      <c r="J102" s="1"/>
      <c r="K102" s="1"/>
      <c r="L102" s="1"/>
      <c r="M102" s="1"/>
      <c r="N102" s="1"/>
      <c r="O102" s="1"/>
      <c r="P102" s="1"/>
      <c r="Q102" s="1"/>
      <c r="R102" s="1"/>
      <c r="S102" s="1"/>
      <c r="T102" s="1"/>
      <c r="U102" s="1"/>
      <c r="V102" s="1"/>
    </row>
    <row r="103" ht="11.25" customHeight="1">
      <c r="A103" s="1"/>
      <c r="B103" s="1"/>
      <c r="C103" s="2"/>
      <c r="D103" s="1"/>
      <c r="E103" s="1"/>
      <c r="F103" s="1"/>
      <c r="G103" s="1"/>
      <c r="H103" s="1"/>
      <c r="I103" s="1"/>
      <c r="J103" s="1"/>
      <c r="K103" s="1"/>
      <c r="L103" s="1"/>
      <c r="M103" s="1"/>
      <c r="N103" s="1"/>
      <c r="O103" s="1"/>
      <c r="P103" s="1"/>
      <c r="Q103" s="1"/>
      <c r="R103" s="1"/>
      <c r="S103" s="1"/>
      <c r="T103" s="1"/>
      <c r="U103" s="1"/>
      <c r="V103" s="1"/>
    </row>
    <row r="104" ht="11.25" customHeight="1">
      <c r="A104" s="1"/>
      <c r="B104" s="1"/>
      <c r="C104" s="2"/>
      <c r="D104" s="1"/>
      <c r="E104" s="1"/>
      <c r="F104" s="1"/>
      <c r="G104" s="1"/>
      <c r="H104" s="1"/>
      <c r="I104" s="1"/>
      <c r="J104" s="1"/>
      <c r="K104" s="1"/>
      <c r="L104" s="1"/>
      <c r="M104" s="1"/>
      <c r="N104" s="1"/>
      <c r="O104" s="1"/>
      <c r="P104" s="1"/>
      <c r="Q104" s="1"/>
      <c r="R104" s="1"/>
      <c r="S104" s="1"/>
      <c r="T104" s="1"/>
      <c r="U104" s="1"/>
      <c r="V104" s="1"/>
    </row>
    <row r="105" ht="11.25" customHeight="1">
      <c r="A105" s="1"/>
      <c r="B105" s="1"/>
      <c r="C105" s="2"/>
      <c r="D105" s="1"/>
      <c r="E105" s="1"/>
      <c r="F105" s="1"/>
      <c r="G105" s="1"/>
      <c r="H105" s="1"/>
      <c r="I105" s="1"/>
      <c r="J105" s="1"/>
      <c r="K105" s="1"/>
      <c r="L105" s="1"/>
      <c r="M105" s="1"/>
      <c r="N105" s="1"/>
      <c r="O105" s="1"/>
      <c r="P105" s="1"/>
      <c r="Q105" s="1"/>
      <c r="R105" s="1"/>
      <c r="S105" s="1"/>
      <c r="T105" s="1"/>
      <c r="U105" s="1"/>
      <c r="V105" s="1"/>
    </row>
    <row r="106" ht="11.25" customHeight="1">
      <c r="A106" s="1"/>
      <c r="B106" s="1"/>
      <c r="C106" s="2"/>
      <c r="D106" s="1"/>
      <c r="E106" s="1"/>
      <c r="F106" s="1"/>
      <c r="G106" s="1"/>
      <c r="H106" s="1"/>
      <c r="I106" s="1"/>
      <c r="J106" s="1"/>
      <c r="K106" s="1"/>
      <c r="L106" s="1"/>
      <c r="M106" s="1"/>
      <c r="N106" s="1"/>
      <c r="O106" s="1"/>
      <c r="P106" s="1"/>
      <c r="Q106" s="1"/>
      <c r="R106" s="1"/>
      <c r="S106" s="1"/>
      <c r="T106" s="1"/>
      <c r="U106" s="1"/>
      <c r="V106" s="1"/>
    </row>
    <row r="107" ht="11.25" customHeight="1">
      <c r="A107" s="1"/>
      <c r="B107" s="1"/>
      <c r="C107" s="2"/>
      <c r="D107" s="1"/>
      <c r="E107" s="1"/>
      <c r="F107" s="1"/>
      <c r="G107" s="1"/>
      <c r="H107" s="1"/>
      <c r="I107" s="1"/>
      <c r="J107" s="1"/>
      <c r="K107" s="1"/>
      <c r="L107" s="1"/>
      <c r="M107" s="1"/>
      <c r="N107" s="1"/>
      <c r="O107" s="1"/>
      <c r="P107" s="1"/>
      <c r="Q107" s="1"/>
      <c r="R107" s="1"/>
      <c r="S107" s="1"/>
      <c r="T107" s="1"/>
      <c r="U107" s="1"/>
      <c r="V107" s="1"/>
    </row>
    <row r="108" ht="11.25" customHeight="1">
      <c r="A108" s="1"/>
      <c r="B108" s="1"/>
      <c r="C108" s="2"/>
      <c r="D108" s="1"/>
      <c r="E108" s="1"/>
      <c r="F108" s="1"/>
      <c r="G108" s="1"/>
      <c r="H108" s="1"/>
      <c r="I108" s="1"/>
      <c r="J108" s="1"/>
      <c r="K108" s="1"/>
      <c r="L108" s="1"/>
      <c r="M108" s="1"/>
      <c r="N108" s="1"/>
      <c r="O108" s="1"/>
      <c r="P108" s="1"/>
      <c r="Q108" s="1"/>
      <c r="R108" s="1"/>
      <c r="S108" s="1"/>
      <c r="T108" s="1"/>
      <c r="U108" s="1"/>
      <c r="V108" s="1"/>
    </row>
    <row r="109" ht="11.25" customHeight="1">
      <c r="A109" s="1"/>
      <c r="B109" s="1"/>
      <c r="C109" s="2"/>
      <c r="D109" s="1"/>
      <c r="E109" s="1"/>
      <c r="F109" s="1"/>
      <c r="G109" s="1"/>
      <c r="H109" s="1"/>
      <c r="I109" s="1"/>
      <c r="J109" s="1"/>
      <c r="K109" s="1"/>
      <c r="L109" s="1"/>
      <c r="M109" s="1"/>
      <c r="N109" s="1"/>
      <c r="O109" s="1"/>
      <c r="P109" s="1"/>
      <c r="Q109" s="1"/>
      <c r="R109" s="1"/>
      <c r="S109" s="1"/>
      <c r="T109" s="1"/>
      <c r="U109" s="1"/>
      <c r="V109" s="1"/>
    </row>
    <row r="110" ht="11.25" customHeight="1">
      <c r="A110" s="1"/>
      <c r="B110" s="1"/>
      <c r="C110" s="2"/>
      <c r="D110" s="1"/>
      <c r="E110" s="1"/>
      <c r="F110" s="1"/>
      <c r="G110" s="1"/>
      <c r="H110" s="1"/>
      <c r="I110" s="1"/>
      <c r="J110" s="1"/>
      <c r="K110" s="1"/>
      <c r="L110" s="1"/>
      <c r="M110" s="1"/>
      <c r="N110" s="1"/>
      <c r="O110" s="1"/>
      <c r="P110" s="1"/>
      <c r="Q110" s="1"/>
      <c r="R110" s="1"/>
      <c r="S110" s="1"/>
      <c r="T110" s="1"/>
      <c r="U110" s="1"/>
      <c r="V110" s="1"/>
    </row>
    <row r="111" ht="11.25" customHeight="1">
      <c r="A111" s="1"/>
      <c r="B111" s="1"/>
      <c r="C111" s="2"/>
      <c r="D111" s="1"/>
      <c r="E111" s="1"/>
      <c r="F111" s="1"/>
      <c r="G111" s="1"/>
      <c r="H111" s="1"/>
      <c r="I111" s="1"/>
      <c r="J111" s="1"/>
      <c r="K111" s="1"/>
      <c r="L111" s="1"/>
      <c r="M111" s="1"/>
      <c r="N111" s="1"/>
      <c r="O111" s="1"/>
      <c r="P111" s="1"/>
      <c r="Q111" s="1"/>
      <c r="R111" s="1"/>
      <c r="S111" s="1"/>
      <c r="T111" s="1"/>
      <c r="U111" s="1"/>
      <c r="V111" s="1"/>
    </row>
    <row r="112" ht="11.25" customHeight="1">
      <c r="A112" s="1"/>
      <c r="B112" s="1"/>
      <c r="C112" s="2"/>
      <c r="D112" s="1"/>
      <c r="E112" s="1"/>
      <c r="F112" s="1"/>
      <c r="G112" s="1"/>
      <c r="H112" s="1"/>
      <c r="I112" s="1"/>
      <c r="J112" s="1"/>
      <c r="K112" s="1"/>
      <c r="L112" s="1"/>
      <c r="M112" s="1"/>
      <c r="N112" s="1"/>
      <c r="O112" s="1"/>
      <c r="P112" s="1"/>
      <c r="Q112" s="1"/>
      <c r="R112" s="1"/>
      <c r="S112" s="1"/>
      <c r="T112" s="1"/>
      <c r="U112" s="1"/>
      <c r="V112" s="1"/>
    </row>
    <row r="113" ht="11.25" customHeight="1">
      <c r="A113" s="1"/>
      <c r="B113" s="1"/>
      <c r="C113" s="2"/>
      <c r="D113" s="1"/>
      <c r="E113" s="1"/>
      <c r="F113" s="1"/>
      <c r="G113" s="1"/>
      <c r="H113" s="1"/>
      <c r="I113" s="1"/>
      <c r="J113" s="1"/>
      <c r="K113" s="1"/>
      <c r="L113" s="1"/>
      <c r="M113" s="1"/>
      <c r="N113" s="1"/>
      <c r="O113" s="1"/>
      <c r="P113" s="1"/>
      <c r="Q113" s="1"/>
      <c r="R113" s="1"/>
      <c r="S113" s="1"/>
      <c r="T113" s="1"/>
      <c r="U113" s="1"/>
      <c r="V113" s="1"/>
    </row>
    <row r="114" ht="11.25" customHeight="1">
      <c r="A114" s="1"/>
      <c r="B114" s="1"/>
      <c r="C114" s="2"/>
      <c r="D114" s="1"/>
      <c r="E114" s="1"/>
      <c r="F114" s="1"/>
      <c r="G114" s="1"/>
      <c r="H114" s="1"/>
      <c r="I114" s="1"/>
      <c r="J114" s="1"/>
      <c r="K114" s="1"/>
      <c r="L114" s="1"/>
      <c r="M114" s="1"/>
      <c r="N114" s="1"/>
      <c r="O114" s="1"/>
      <c r="P114" s="1"/>
      <c r="Q114" s="1"/>
      <c r="R114" s="1"/>
      <c r="S114" s="1"/>
      <c r="T114" s="1"/>
      <c r="U114" s="1"/>
      <c r="V114" s="1"/>
    </row>
    <row r="115" ht="11.25" customHeight="1">
      <c r="A115" s="1"/>
      <c r="B115" s="1"/>
      <c r="C115" s="2"/>
      <c r="D115" s="1"/>
      <c r="E115" s="1"/>
      <c r="F115" s="1"/>
      <c r="G115" s="1"/>
      <c r="H115" s="1"/>
      <c r="I115" s="1"/>
      <c r="J115" s="1"/>
      <c r="K115" s="1"/>
      <c r="L115" s="1"/>
      <c r="M115" s="1"/>
      <c r="N115" s="1"/>
      <c r="O115" s="1"/>
      <c r="P115" s="1"/>
      <c r="Q115" s="1"/>
      <c r="R115" s="1"/>
      <c r="S115" s="1"/>
      <c r="T115" s="1"/>
      <c r="U115" s="1"/>
      <c r="V115" s="1"/>
    </row>
    <row r="116" ht="11.25" customHeight="1">
      <c r="A116" s="1"/>
      <c r="B116" s="1"/>
      <c r="C116" s="2"/>
      <c r="D116" s="1"/>
      <c r="E116" s="1"/>
      <c r="F116" s="1"/>
      <c r="G116" s="1"/>
      <c r="H116" s="1"/>
      <c r="I116" s="1"/>
      <c r="J116" s="1"/>
      <c r="K116" s="1"/>
      <c r="L116" s="1"/>
      <c r="M116" s="1"/>
      <c r="N116" s="1"/>
      <c r="O116" s="1"/>
      <c r="P116" s="1"/>
      <c r="Q116" s="1"/>
      <c r="R116" s="1"/>
      <c r="S116" s="1"/>
      <c r="T116" s="1"/>
      <c r="U116" s="1"/>
      <c r="V116" s="1"/>
    </row>
    <row r="117" ht="11.25" customHeight="1">
      <c r="A117" s="1"/>
      <c r="B117" s="1"/>
      <c r="C117" s="2"/>
      <c r="D117" s="1"/>
      <c r="E117" s="1"/>
      <c r="F117" s="1"/>
      <c r="G117" s="1"/>
      <c r="H117" s="1"/>
      <c r="I117" s="1"/>
      <c r="J117" s="1"/>
      <c r="K117" s="1"/>
      <c r="L117" s="1"/>
      <c r="M117" s="1"/>
      <c r="N117" s="1"/>
      <c r="O117" s="1"/>
      <c r="P117" s="1"/>
      <c r="Q117" s="1"/>
      <c r="R117" s="1"/>
      <c r="S117" s="1"/>
      <c r="T117" s="1"/>
      <c r="U117" s="1"/>
      <c r="V117" s="1"/>
    </row>
    <row r="118" ht="11.25" customHeight="1">
      <c r="A118" s="1"/>
      <c r="B118" s="1"/>
      <c r="C118" s="2"/>
      <c r="D118" s="1"/>
      <c r="E118" s="1"/>
      <c r="F118" s="1"/>
      <c r="G118" s="1"/>
      <c r="H118" s="1"/>
      <c r="I118" s="1"/>
      <c r="J118" s="1"/>
      <c r="K118" s="1"/>
      <c r="L118" s="1"/>
      <c r="M118" s="1"/>
      <c r="N118" s="1"/>
      <c r="O118" s="1"/>
      <c r="P118" s="1"/>
      <c r="Q118" s="1"/>
      <c r="R118" s="1"/>
      <c r="S118" s="1"/>
      <c r="T118" s="1"/>
      <c r="U118" s="1"/>
      <c r="V118" s="1"/>
    </row>
    <row r="119" ht="11.25" customHeight="1">
      <c r="A119" s="1"/>
      <c r="B119" s="1"/>
      <c r="C119" s="2"/>
      <c r="D119" s="1"/>
      <c r="E119" s="1"/>
      <c r="F119" s="1"/>
      <c r="G119" s="1"/>
      <c r="H119" s="1"/>
      <c r="I119" s="1"/>
      <c r="J119" s="1"/>
      <c r="K119" s="1"/>
      <c r="L119" s="1"/>
      <c r="M119" s="1"/>
      <c r="N119" s="1"/>
      <c r="O119" s="1"/>
      <c r="P119" s="1"/>
      <c r="Q119" s="1"/>
      <c r="R119" s="1"/>
      <c r="S119" s="1"/>
      <c r="T119" s="1"/>
      <c r="U119" s="1"/>
      <c r="V119" s="1"/>
    </row>
    <row r="120" ht="11.25" customHeight="1">
      <c r="A120" s="1"/>
      <c r="B120" s="1"/>
      <c r="C120" s="2"/>
      <c r="D120" s="1"/>
      <c r="E120" s="1"/>
      <c r="F120" s="1"/>
      <c r="G120" s="1"/>
      <c r="H120" s="1"/>
      <c r="I120" s="1"/>
      <c r="J120" s="1"/>
      <c r="K120" s="1"/>
      <c r="L120" s="1"/>
      <c r="M120" s="1"/>
      <c r="N120" s="1"/>
      <c r="O120" s="1"/>
      <c r="P120" s="1"/>
      <c r="Q120" s="1"/>
      <c r="R120" s="1"/>
      <c r="S120" s="1"/>
      <c r="T120" s="1"/>
      <c r="U120" s="1"/>
      <c r="V120" s="1"/>
    </row>
    <row r="121" ht="11.25" customHeight="1">
      <c r="A121" s="1"/>
      <c r="B121" s="1"/>
      <c r="C121" s="2"/>
      <c r="D121" s="1"/>
      <c r="E121" s="1"/>
      <c r="F121" s="1"/>
      <c r="G121" s="1"/>
      <c r="H121" s="1"/>
      <c r="I121" s="1"/>
      <c r="J121" s="1"/>
      <c r="K121" s="1"/>
      <c r="L121" s="1"/>
      <c r="M121" s="1"/>
      <c r="N121" s="1"/>
      <c r="O121" s="1"/>
      <c r="P121" s="1"/>
      <c r="Q121" s="1"/>
      <c r="R121" s="1"/>
      <c r="S121" s="1"/>
      <c r="T121" s="1"/>
      <c r="U121" s="1"/>
      <c r="V121" s="1"/>
    </row>
    <row r="122" ht="11.25" customHeight="1">
      <c r="A122" s="1"/>
      <c r="B122" s="1"/>
      <c r="C122" s="2"/>
      <c r="D122" s="1"/>
      <c r="E122" s="1"/>
      <c r="F122" s="1"/>
      <c r="G122" s="1"/>
      <c r="H122" s="1"/>
      <c r="I122" s="1"/>
      <c r="J122" s="1"/>
      <c r="K122" s="1"/>
      <c r="L122" s="1"/>
      <c r="M122" s="1"/>
      <c r="N122" s="1"/>
      <c r="O122" s="1"/>
      <c r="P122" s="1"/>
      <c r="Q122" s="1"/>
      <c r="R122" s="1"/>
      <c r="S122" s="1"/>
      <c r="T122" s="1"/>
      <c r="U122" s="1"/>
      <c r="V122" s="1"/>
    </row>
    <row r="123" ht="11.25" customHeight="1">
      <c r="A123" s="1"/>
      <c r="B123" s="1"/>
      <c r="C123" s="2"/>
      <c r="D123" s="1"/>
      <c r="E123" s="1"/>
      <c r="F123" s="1"/>
      <c r="G123" s="1"/>
      <c r="H123" s="1"/>
      <c r="I123" s="1"/>
      <c r="J123" s="1"/>
      <c r="K123" s="1"/>
      <c r="L123" s="1"/>
      <c r="M123" s="1"/>
      <c r="N123" s="1"/>
      <c r="O123" s="1"/>
      <c r="P123" s="1"/>
      <c r="Q123" s="1"/>
      <c r="R123" s="1"/>
      <c r="S123" s="1"/>
      <c r="T123" s="1"/>
      <c r="U123" s="1"/>
      <c r="V123" s="1"/>
    </row>
    <row r="124" ht="11.25" customHeight="1">
      <c r="A124" s="1"/>
      <c r="B124" s="1"/>
      <c r="C124" s="2"/>
      <c r="D124" s="1"/>
      <c r="E124" s="1"/>
      <c r="F124" s="1"/>
      <c r="G124" s="1"/>
      <c r="H124" s="1"/>
      <c r="I124" s="1"/>
      <c r="J124" s="1"/>
      <c r="K124" s="1"/>
      <c r="L124" s="1"/>
      <c r="M124" s="1"/>
      <c r="N124" s="1"/>
      <c r="O124" s="1"/>
      <c r="P124" s="1"/>
      <c r="Q124" s="1"/>
      <c r="R124" s="1"/>
      <c r="S124" s="1"/>
      <c r="T124" s="1"/>
      <c r="U124" s="1"/>
      <c r="V124" s="1"/>
    </row>
    <row r="125" ht="11.25" customHeight="1">
      <c r="A125" s="1"/>
      <c r="B125" s="1"/>
      <c r="C125" s="2"/>
      <c r="D125" s="1"/>
      <c r="E125" s="1"/>
      <c r="F125" s="1"/>
      <c r="G125" s="1"/>
      <c r="H125" s="1"/>
      <c r="I125" s="1"/>
      <c r="J125" s="1"/>
      <c r="K125" s="1"/>
      <c r="L125" s="1"/>
      <c r="M125" s="1"/>
      <c r="N125" s="1"/>
      <c r="O125" s="1"/>
      <c r="P125" s="1"/>
      <c r="Q125" s="1"/>
      <c r="R125" s="1"/>
      <c r="S125" s="1"/>
      <c r="T125" s="1"/>
      <c r="U125" s="1"/>
      <c r="V125" s="1"/>
    </row>
    <row r="126" ht="11.25" customHeight="1">
      <c r="A126" s="1"/>
      <c r="B126" s="1"/>
      <c r="C126" s="2"/>
      <c r="D126" s="1"/>
      <c r="E126" s="1"/>
      <c r="F126" s="1"/>
      <c r="G126" s="1"/>
      <c r="H126" s="1"/>
      <c r="I126" s="1"/>
      <c r="J126" s="1"/>
      <c r="K126" s="1"/>
      <c r="L126" s="1"/>
      <c r="M126" s="1"/>
      <c r="N126" s="1"/>
      <c r="O126" s="1"/>
      <c r="P126" s="1"/>
      <c r="Q126" s="1"/>
      <c r="R126" s="1"/>
      <c r="S126" s="1"/>
      <c r="T126" s="1"/>
      <c r="U126" s="1"/>
      <c r="V126" s="1"/>
    </row>
    <row r="127" ht="11.25" customHeight="1">
      <c r="A127" s="1"/>
      <c r="B127" s="1"/>
      <c r="C127" s="2"/>
      <c r="D127" s="1"/>
      <c r="E127" s="1"/>
      <c r="F127" s="1"/>
      <c r="G127" s="1"/>
      <c r="H127" s="1"/>
      <c r="I127" s="1"/>
      <c r="J127" s="1"/>
      <c r="K127" s="1"/>
      <c r="L127" s="1"/>
      <c r="M127" s="1"/>
      <c r="N127" s="1"/>
      <c r="O127" s="1"/>
      <c r="P127" s="1"/>
      <c r="Q127" s="1"/>
      <c r="R127" s="1"/>
      <c r="S127" s="1"/>
      <c r="T127" s="1"/>
      <c r="U127" s="1"/>
      <c r="V127" s="1"/>
    </row>
    <row r="128" ht="11.25" customHeight="1">
      <c r="A128" s="1"/>
      <c r="B128" s="1"/>
      <c r="C128" s="2"/>
      <c r="D128" s="1"/>
      <c r="E128" s="1"/>
      <c r="F128" s="1"/>
      <c r="G128" s="1"/>
      <c r="H128" s="1"/>
      <c r="I128" s="1"/>
      <c r="J128" s="1"/>
      <c r="K128" s="1"/>
      <c r="L128" s="1"/>
      <c r="M128" s="1"/>
      <c r="N128" s="1"/>
      <c r="O128" s="1"/>
      <c r="P128" s="1"/>
      <c r="Q128" s="1"/>
      <c r="R128" s="1"/>
      <c r="S128" s="1"/>
      <c r="T128" s="1"/>
      <c r="U128" s="1"/>
      <c r="V128" s="1"/>
    </row>
    <row r="129" ht="11.25" customHeight="1">
      <c r="A129" s="1"/>
      <c r="B129" s="1"/>
      <c r="C129" s="2"/>
      <c r="D129" s="1"/>
      <c r="E129" s="1"/>
      <c r="F129" s="1"/>
      <c r="G129" s="1"/>
      <c r="H129" s="1"/>
      <c r="I129" s="1"/>
      <c r="J129" s="1"/>
      <c r="K129" s="1"/>
      <c r="L129" s="1"/>
      <c r="M129" s="1"/>
      <c r="N129" s="1"/>
      <c r="O129" s="1"/>
      <c r="P129" s="1"/>
      <c r="Q129" s="1"/>
      <c r="R129" s="1"/>
      <c r="S129" s="1"/>
      <c r="T129" s="1"/>
      <c r="U129" s="1"/>
      <c r="V129" s="1"/>
    </row>
    <row r="130" ht="11.25" customHeight="1">
      <c r="A130" s="1"/>
      <c r="B130" s="1"/>
      <c r="C130" s="2"/>
      <c r="D130" s="1"/>
      <c r="E130" s="1"/>
      <c r="F130" s="1"/>
      <c r="G130" s="1"/>
      <c r="H130" s="1"/>
      <c r="I130" s="1"/>
      <c r="J130" s="1"/>
      <c r="K130" s="1"/>
      <c r="L130" s="1"/>
      <c r="M130" s="1"/>
      <c r="N130" s="1"/>
      <c r="O130" s="1"/>
      <c r="P130" s="1"/>
      <c r="Q130" s="1"/>
      <c r="R130" s="1"/>
      <c r="S130" s="1"/>
      <c r="T130" s="1"/>
      <c r="U130" s="1"/>
      <c r="V130" s="1"/>
    </row>
    <row r="131" ht="11.25" customHeight="1">
      <c r="A131" s="1"/>
      <c r="B131" s="1"/>
      <c r="C131" s="2"/>
      <c r="D131" s="1"/>
      <c r="E131" s="1"/>
      <c r="F131" s="1"/>
      <c r="G131" s="1"/>
      <c r="H131" s="1"/>
      <c r="I131" s="1"/>
      <c r="J131" s="1"/>
      <c r="K131" s="1"/>
      <c r="L131" s="1"/>
      <c r="M131" s="1"/>
      <c r="N131" s="1"/>
      <c r="O131" s="1"/>
      <c r="P131" s="1"/>
      <c r="Q131" s="1"/>
      <c r="R131" s="1"/>
      <c r="S131" s="1"/>
      <c r="T131" s="1"/>
      <c r="U131" s="1"/>
      <c r="V131" s="1"/>
    </row>
    <row r="132" ht="11.25" customHeight="1">
      <c r="A132" s="1"/>
      <c r="B132" s="1"/>
      <c r="C132" s="2"/>
      <c r="D132" s="1"/>
      <c r="E132" s="1"/>
      <c r="F132" s="1"/>
      <c r="G132" s="1"/>
      <c r="H132" s="1"/>
      <c r="I132" s="1"/>
      <c r="J132" s="1"/>
      <c r="K132" s="1"/>
      <c r="L132" s="1"/>
      <c r="M132" s="1"/>
      <c r="N132" s="1"/>
      <c r="O132" s="1"/>
      <c r="P132" s="1"/>
      <c r="Q132" s="1"/>
      <c r="R132" s="1"/>
      <c r="S132" s="1"/>
      <c r="T132" s="1"/>
      <c r="U132" s="1"/>
      <c r="V132" s="1"/>
    </row>
    <row r="133" ht="11.25" customHeight="1">
      <c r="A133" s="1"/>
      <c r="B133" s="1"/>
      <c r="C133" s="2"/>
      <c r="D133" s="1"/>
      <c r="E133" s="1"/>
      <c r="F133" s="1"/>
      <c r="G133" s="1"/>
      <c r="H133" s="1"/>
      <c r="I133" s="1"/>
      <c r="J133" s="1"/>
      <c r="K133" s="1"/>
      <c r="L133" s="1"/>
      <c r="M133" s="1"/>
      <c r="N133" s="1"/>
      <c r="O133" s="1"/>
      <c r="P133" s="1"/>
      <c r="Q133" s="1"/>
      <c r="R133" s="1"/>
      <c r="S133" s="1"/>
      <c r="T133" s="1"/>
      <c r="U133" s="1"/>
      <c r="V133" s="1"/>
    </row>
    <row r="134" ht="11.25" customHeight="1">
      <c r="A134" s="1"/>
      <c r="B134" s="1"/>
      <c r="C134" s="2"/>
      <c r="D134" s="1"/>
      <c r="E134" s="1"/>
      <c r="F134" s="1"/>
      <c r="G134" s="1"/>
      <c r="H134" s="1"/>
      <c r="I134" s="1"/>
      <c r="J134" s="1"/>
      <c r="K134" s="1"/>
      <c r="L134" s="1"/>
      <c r="M134" s="1"/>
      <c r="N134" s="1"/>
      <c r="O134" s="1"/>
      <c r="P134" s="1"/>
      <c r="Q134" s="1"/>
      <c r="R134" s="1"/>
      <c r="S134" s="1"/>
      <c r="T134" s="1"/>
      <c r="U134" s="1"/>
      <c r="V134" s="1"/>
    </row>
    <row r="135" ht="11.25" customHeight="1">
      <c r="A135" s="1"/>
      <c r="B135" s="1"/>
      <c r="C135" s="2"/>
      <c r="D135" s="1"/>
      <c r="E135" s="1"/>
      <c r="F135" s="1"/>
      <c r="G135" s="1"/>
      <c r="H135" s="1"/>
      <c r="I135" s="1"/>
      <c r="J135" s="1"/>
      <c r="K135" s="1"/>
      <c r="L135" s="1"/>
      <c r="M135" s="1"/>
      <c r="N135" s="1"/>
      <c r="O135" s="1"/>
      <c r="P135" s="1"/>
      <c r="Q135" s="1"/>
      <c r="R135" s="1"/>
      <c r="S135" s="1"/>
      <c r="T135" s="1"/>
      <c r="U135" s="1"/>
      <c r="V135" s="1"/>
    </row>
    <row r="136" ht="11.25" customHeight="1">
      <c r="A136" s="1"/>
      <c r="B136" s="1"/>
      <c r="C136" s="2"/>
      <c r="D136" s="1"/>
      <c r="E136" s="1"/>
      <c r="F136" s="1"/>
      <c r="G136" s="1"/>
      <c r="H136" s="1"/>
      <c r="I136" s="1"/>
      <c r="J136" s="1"/>
      <c r="K136" s="1"/>
      <c r="L136" s="1"/>
      <c r="M136" s="1"/>
      <c r="N136" s="1"/>
      <c r="O136" s="1"/>
      <c r="P136" s="1"/>
      <c r="Q136" s="1"/>
      <c r="R136" s="1"/>
      <c r="S136" s="1"/>
      <c r="T136" s="1"/>
      <c r="U136" s="1"/>
      <c r="V136" s="1"/>
    </row>
    <row r="137" ht="11.25" customHeight="1">
      <c r="A137" s="1"/>
      <c r="B137" s="1"/>
      <c r="C137" s="2"/>
      <c r="D137" s="1"/>
      <c r="E137" s="1"/>
      <c r="F137" s="1"/>
      <c r="G137" s="1"/>
      <c r="H137" s="1"/>
      <c r="I137" s="1"/>
      <c r="J137" s="1"/>
      <c r="K137" s="1"/>
      <c r="L137" s="1"/>
      <c r="M137" s="1"/>
      <c r="N137" s="1"/>
      <c r="O137" s="1"/>
      <c r="P137" s="1"/>
      <c r="Q137" s="1"/>
      <c r="R137" s="1"/>
      <c r="S137" s="1"/>
      <c r="T137" s="1"/>
      <c r="U137" s="1"/>
      <c r="V137" s="1"/>
    </row>
    <row r="138" ht="11.25" customHeight="1">
      <c r="A138" s="1"/>
      <c r="B138" s="1"/>
      <c r="C138" s="2"/>
      <c r="D138" s="1"/>
      <c r="E138" s="1"/>
      <c r="F138" s="1"/>
      <c r="G138" s="1"/>
      <c r="H138" s="1"/>
      <c r="I138" s="1"/>
      <c r="J138" s="1"/>
      <c r="K138" s="1"/>
      <c r="L138" s="1"/>
      <c r="M138" s="1"/>
      <c r="N138" s="1"/>
      <c r="O138" s="1"/>
      <c r="P138" s="1"/>
      <c r="Q138" s="1"/>
      <c r="R138" s="1"/>
      <c r="S138" s="1"/>
      <c r="T138" s="1"/>
      <c r="U138" s="1"/>
      <c r="V138" s="1"/>
    </row>
    <row r="139" ht="11.25" customHeight="1">
      <c r="A139" s="1"/>
      <c r="B139" s="1"/>
      <c r="C139" s="2"/>
      <c r="D139" s="1"/>
      <c r="E139" s="1"/>
      <c r="F139" s="1"/>
      <c r="G139" s="1"/>
      <c r="H139" s="1"/>
      <c r="I139" s="1"/>
      <c r="J139" s="1"/>
      <c r="K139" s="1"/>
      <c r="L139" s="1"/>
      <c r="M139" s="1"/>
      <c r="N139" s="1"/>
      <c r="O139" s="1"/>
      <c r="P139" s="1"/>
      <c r="Q139" s="1"/>
      <c r="R139" s="1"/>
      <c r="S139" s="1"/>
      <c r="T139" s="1"/>
      <c r="U139" s="1"/>
      <c r="V139" s="1"/>
    </row>
    <row r="140" ht="11.25" customHeight="1">
      <c r="A140" s="1"/>
      <c r="B140" s="1"/>
      <c r="C140" s="2"/>
      <c r="D140" s="1"/>
      <c r="E140" s="1"/>
      <c r="F140" s="1"/>
      <c r="G140" s="1"/>
      <c r="H140" s="1"/>
      <c r="I140" s="1"/>
      <c r="J140" s="1"/>
      <c r="K140" s="1"/>
      <c r="L140" s="1"/>
      <c r="M140" s="1"/>
      <c r="N140" s="1"/>
      <c r="O140" s="1"/>
      <c r="P140" s="1"/>
      <c r="Q140" s="1"/>
      <c r="R140" s="1"/>
      <c r="S140" s="1"/>
      <c r="T140" s="1"/>
      <c r="U140" s="1"/>
      <c r="V140" s="1"/>
    </row>
    <row r="141" ht="11.25" customHeight="1">
      <c r="A141" s="1"/>
      <c r="B141" s="1"/>
      <c r="C141" s="2"/>
      <c r="D141" s="1"/>
      <c r="E141" s="1"/>
      <c r="F141" s="1"/>
      <c r="G141" s="1"/>
      <c r="H141" s="1"/>
      <c r="I141" s="1"/>
      <c r="J141" s="1"/>
      <c r="K141" s="1"/>
      <c r="L141" s="1"/>
      <c r="M141" s="1"/>
      <c r="N141" s="1"/>
      <c r="O141" s="1"/>
      <c r="P141" s="1"/>
      <c r="Q141" s="1"/>
      <c r="R141" s="1"/>
      <c r="S141" s="1"/>
      <c r="T141" s="1"/>
      <c r="U141" s="1"/>
      <c r="V141" s="1"/>
    </row>
    <row r="142" ht="11.25" customHeight="1">
      <c r="A142" s="1"/>
      <c r="B142" s="1"/>
      <c r="C142" s="2"/>
      <c r="D142" s="1"/>
      <c r="E142" s="1"/>
      <c r="F142" s="1"/>
      <c r="G142" s="1"/>
      <c r="H142" s="1"/>
      <c r="I142" s="1"/>
      <c r="J142" s="1"/>
      <c r="K142" s="1"/>
      <c r="L142" s="1"/>
      <c r="M142" s="1"/>
      <c r="N142" s="1"/>
      <c r="O142" s="1"/>
      <c r="P142" s="1"/>
      <c r="Q142" s="1"/>
      <c r="R142" s="1"/>
      <c r="S142" s="1"/>
      <c r="T142" s="1"/>
      <c r="U142" s="1"/>
      <c r="V142" s="1"/>
    </row>
    <row r="143" ht="11.25" customHeight="1">
      <c r="A143" s="1"/>
      <c r="B143" s="1"/>
      <c r="C143" s="2"/>
      <c r="D143" s="1"/>
      <c r="E143" s="1"/>
      <c r="F143" s="1"/>
      <c r="G143" s="1"/>
      <c r="H143" s="1"/>
      <c r="I143" s="1"/>
      <c r="J143" s="1"/>
      <c r="K143" s="1"/>
      <c r="L143" s="1"/>
      <c r="M143" s="1"/>
      <c r="N143" s="1"/>
      <c r="O143" s="1"/>
      <c r="P143" s="1"/>
      <c r="Q143" s="1"/>
      <c r="R143" s="1"/>
      <c r="S143" s="1"/>
      <c r="T143" s="1"/>
      <c r="U143" s="1"/>
      <c r="V143" s="1"/>
    </row>
    <row r="144" ht="11.25" customHeight="1">
      <c r="A144" s="1"/>
      <c r="B144" s="1"/>
      <c r="C144" s="2"/>
      <c r="D144" s="1"/>
      <c r="E144" s="1"/>
      <c r="F144" s="1"/>
      <c r="G144" s="1"/>
      <c r="H144" s="1"/>
      <c r="I144" s="1"/>
      <c r="J144" s="1"/>
      <c r="K144" s="1"/>
      <c r="L144" s="1"/>
      <c r="M144" s="1"/>
      <c r="N144" s="1"/>
      <c r="O144" s="1"/>
      <c r="P144" s="1"/>
      <c r="Q144" s="1"/>
      <c r="R144" s="1"/>
      <c r="S144" s="1"/>
      <c r="T144" s="1"/>
      <c r="U144" s="1"/>
      <c r="V144" s="1"/>
    </row>
    <row r="145" ht="11.25" customHeight="1">
      <c r="A145" s="1"/>
      <c r="B145" s="1"/>
      <c r="C145" s="2"/>
      <c r="D145" s="1"/>
      <c r="E145" s="1"/>
      <c r="F145" s="1"/>
      <c r="G145" s="1"/>
      <c r="H145" s="1"/>
      <c r="I145" s="1"/>
      <c r="J145" s="1"/>
      <c r="K145" s="1"/>
      <c r="L145" s="1"/>
      <c r="M145" s="1"/>
      <c r="N145" s="1"/>
      <c r="O145" s="1"/>
      <c r="P145" s="1"/>
      <c r="Q145" s="1"/>
      <c r="R145" s="1"/>
      <c r="S145" s="1"/>
      <c r="T145" s="1"/>
      <c r="U145" s="1"/>
      <c r="V145" s="1"/>
    </row>
    <row r="146" ht="11.25" customHeight="1">
      <c r="A146" s="1"/>
      <c r="B146" s="1"/>
      <c r="C146" s="2"/>
      <c r="D146" s="1"/>
      <c r="E146" s="1"/>
      <c r="F146" s="1"/>
      <c r="G146" s="1"/>
      <c r="H146" s="1"/>
      <c r="I146" s="1"/>
      <c r="J146" s="1"/>
      <c r="K146" s="1"/>
      <c r="L146" s="1"/>
      <c r="M146" s="1"/>
      <c r="N146" s="1"/>
      <c r="O146" s="1"/>
      <c r="P146" s="1"/>
      <c r="Q146" s="1"/>
      <c r="R146" s="1"/>
      <c r="S146" s="1"/>
      <c r="T146" s="1"/>
      <c r="U146" s="1"/>
      <c r="V146" s="1"/>
    </row>
    <row r="147" ht="11.25" customHeight="1">
      <c r="A147" s="1"/>
      <c r="B147" s="1"/>
      <c r="C147" s="2"/>
      <c r="D147" s="1"/>
      <c r="E147" s="1"/>
      <c r="F147" s="1"/>
      <c r="G147" s="1"/>
      <c r="H147" s="1"/>
      <c r="I147" s="1"/>
      <c r="J147" s="1"/>
      <c r="K147" s="1"/>
      <c r="L147" s="1"/>
      <c r="M147" s="1"/>
      <c r="N147" s="1"/>
      <c r="O147" s="1"/>
      <c r="P147" s="1"/>
      <c r="Q147" s="1"/>
      <c r="R147" s="1"/>
      <c r="S147" s="1"/>
      <c r="T147" s="1"/>
      <c r="U147" s="1"/>
      <c r="V147" s="1"/>
    </row>
    <row r="148" ht="11.25" customHeight="1">
      <c r="A148" s="1"/>
      <c r="B148" s="1"/>
      <c r="C148" s="2"/>
      <c r="D148" s="1"/>
      <c r="E148" s="1"/>
      <c r="F148" s="1"/>
      <c r="G148" s="1"/>
      <c r="H148" s="1"/>
      <c r="I148" s="1"/>
      <c r="J148" s="1"/>
      <c r="K148" s="1"/>
      <c r="L148" s="1"/>
      <c r="M148" s="1"/>
      <c r="N148" s="1"/>
      <c r="O148" s="1"/>
      <c r="P148" s="1"/>
      <c r="Q148" s="1"/>
      <c r="R148" s="1"/>
      <c r="S148" s="1"/>
      <c r="T148" s="1"/>
      <c r="U148" s="1"/>
      <c r="V148" s="1"/>
    </row>
    <row r="149" ht="11.25" customHeight="1">
      <c r="A149" s="1"/>
      <c r="B149" s="1"/>
      <c r="C149" s="2"/>
      <c r="D149" s="1"/>
      <c r="E149" s="1"/>
      <c r="F149" s="1"/>
      <c r="G149" s="1"/>
      <c r="H149" s="1"/>
      <c r="I149" s="1"/>
      <c r="J149" s="1"/>
      <c r="K149" s="1"/>
      <c r="L149" s="1"/>
      <c r="M149" s="1"/>
      <c r="N149" s="1"/>
      <c r="O149" s="1"/>
      <c r="P149" s="1"/>
      <c r="Q149" s="1"/>
      <c r="R149" s="1"/>
      <c r="S149" s="1"/>
      <c r="T149" s="1"/>
      <c r="U149" s="1"/>
      <c r="V149" s="1"/>
    </row>
    <row r="150" ht="11.25" customHeight="1">
      <c r="A150" s="1"/>
      <c r="B150" s="1"/>
      <c r="C150" s="2"/>
      <c r="D150" s="1"/>
      <c r="E150" s="1"/>
      <c r="F150" s="1"/>
      <c r="G150" s="1"/>
      <c r="H150" s="1"/>
      <c r="I150" s="1"/>
      <c r="J150" s="1"/>
      <c r="K150" s="1"/>
      <c r="L150" s="1"/>
      <c r="M150" s="1"/>
      <c r="N150" s="1"/>
      <c r="O150" s="1"/>
      <c r="P150" s="1"/>
      <c r="Q150" s="1"/>
      <c r="R150" s="1"/>
      <c r="S150" s="1"/>
      <c r="T150" s="1"/>
      <c r="U150" s="1"/>
      <c r="V150" s="1"/>
    </row>
    <row r="151" ht="11.25" customHeight="1">
      <c r="A151" s="1"/>
      <c r="B151" s="1"/>
      <c r="C151" s="2"/>
      <c r="D151" s="1"/>
      <c r="E151" s="1"/>
      <c r="F151" s="1"/>
      <c r="G151" s="1"/>
      <c r="H151" s="1"/>
      <c r="I151" s="1"/>
      <c r="J151" s="1"/>
      <c r="K151" s="1"/>
      <c r="L151" s="1"/>
      <c r="M151" s="1"/>
      <c r="N151" s="1"/>
      <c r="O151" s="1"/>
      <c r="P151" s="1"/>
      <c r="Q151" s="1"/>
      <c r="R151" s="1"/>
      <c r="S151" s="1"/>
      <c r="T151" s="1"/>
      <c r="U151" s="1"/>
      <c r="V151" s="1"/>
    </row>
    <row r="152" ht="11.25" customHeight="1">
      <c r="A152" s="1"/>
      <c r="B152" s="1"/>
      <c r="C152" s="2"/>
      <c r="D152" s="1"/>
      <c r="E152" s="1"/>
      <c r="F152" s="1"/>
      <c r="G152" s="1"/>
      <c r="H152" s="1"/>
      <c r="I152" s="1"/>
      <c r="J152" s="1"/>
      <c r="K152" s="1"/>
      <c r="L152" s="1"/>
      <c r="M152" s="1"/>
      <c r="N152" s="1"/>
      <c r="O152" s="1"/>
      <c r="P152" s="1"/>
      <c r="Q152" s="1"/>
      <c r="R152" s="1"/>
      <c r="S152" s="1"/>
      <c r="T152" s="1"/>
      <c r="U152" s="1"/>
      <c r="V152" s="1"/>
    </row>
    <row r="153" ht="11.25" customHeight="1">
      <c r="A153" s="1"/>
      <c r="B153" s="1"/>
      <c r="C153" s="2"/>
      <c r="D153" s="1"/>
      <c r="E153" s="1"/>
      <c r="F153" s="1"/>
      <c r="G153" s="1"/>
      <c r="H153" s="1"/>
      <c r="I153" s="1"/>
      <c r="J153" s="1"/>
      <c r="K153" s="1"/>
      <c r="L153" s="1"/>
      <c r="M153" s="1"/>
      <c r="N153" s="1"/>
      <c r="O153" s="1"/>
      <c r="P153" s="1"/>
      <c r="Q153" s="1"/>
      <c r="R153" s="1"/>
      <c r="S153" s="1"/>
      <c r="T153" s="1"/>
      <c r="U153" s="1"/>
      <c r="V153" s="1"/>
    </row>
    <row r="154" ht="11.25" customHeight="1">
      <c r="A154" s="1"/>
      <c r="B154" s="1"/>
      <c r="C154" s="2"/>
      <c r="D154" s="1"/>
      <c r="E154" s="1"/>
      <c r="F154" s="1"/>
      <c r="G154" s="1"/>
      <c r="H154" s="1"/>
      <c r="I154" s="1"/>
      <c r="J154" s="1"/>
      <c r="K154" s="1"/>
      <c r="L154" s="1"/>
      <c r="M154" s="1"/>
      <c r="N154" s="1"/>
      <c r="O154" s="1"/>
      <c r="P154" s="1"/>
      <c r="Q154" s="1"/>
      <c r="R154" s="1"/>
      <c r="S154" s="1"/>
      <c r="T154" s="1"/>
      <c r="U154" s="1"/>
      <c r="V154" s="1"/>
    </row>
    <row r="155" ht="11.25" customHeight="1">
      <c r="A155" s="1"/>
      <c r="B155" s="1"/>
      <c r="C155" s="2"/>
      <c r="D155" s="1"/>
      <c r="E155" s="1"/>
      <c r="F155" s="1"/>
      <c r="G155" s="1"/>
      <c r="H155" s="1"/>
      <c r="I155" s="1"/>
      <c r="J155" s="1"/>
      <c r="K155" s="1"/>
      <c r="L155" s="1"/>
      <c r="M155" s="1"/>
      <c r="N155" s="1"/>
      <c r="O155" s="1"/>
      <c r="P155" s="1"/>
      <c r="Q155" s="1"/>
      <c r="R155" s="1"/>
      <c r="S155" s="1"/>
      <c r="T155" s="1"/>
      <c r="U155" s="1"/>
      <c r="V155" s="1"/>
    </row>
    <row r="156" ht="11.25" customHeight="1">
      <c r="A156" s="1"/>
      <c r="B156" s="1"/>
      <c r="C156" s="2"/>
      <c r="D156" s="1"/>
      <c r="E156" s="1"/>
      <c r="F156" s="1"/>
      <c r="G156" s="1"/>
      <c r="H156" s="1"/>
      <c r="I156" s="1"/>
      <c r="J156" s="1"/>
      <c r="K156" s="1"/>
      <c r="L156" s="1"/>
      <c r="M156" s="1"/>
      <c r="N156" s="1"/>
      <c r="O156" s="1"/>
      <c r="P156" s="1"/>
      <c r="Q156" s="1"/>
      <c r="R156" s="1"/>
      <c r="S156" s="1"/>
      <c r="T156" s="1"/>
      <c r="U156" s="1"/>
      <c r="V156" s="1"/>
    </row>
    <row r="157" ht="11.25" customHeight="1">
      <c r="A157" s="1"/>
      <c r="B157" s="1"/>
      <c r="C157" s="2"/>
      <c r="D157" s="1"/>
      <c r="E157" s="1"/>
      <c r="F157" s="1"/>
      <c r="G157" s="1"/>
      <c r="H157" s="1"/>
      <c r="I157" s="1"/>
      <c r="J157" s="1"/>
      <c r="K157" s="1"/>
      <c r="L157" s="1"/>
      <c r="M157" s="1"/>
      <c r="N157" s="1"/>
      <c r="O157" s="1"/>
      <c r="P157" s="1"/>
      <c r="Q157" s="1"/>
      <c r="R157" s="1"/>
      <c r="S157" s="1"/>
      <c r="T157" s="1"/>
      <c r="U157" s="1"/>
      <c r="V157" s="1"/>
    </row>
    <row r="158" ht="11.25" customHeight="1">
      <c r="A158" s="1"/>
      <c r="B158" s="1"/>
      <c r="C158" s="2"/>
      <c r="D158" s="1"/>
      <c r="E158" s="1"/>
      <c r="F158" s="1"/>
      <c r="G158" s="1"/>
      <c r="H158" s="1"/>
      <c r="I158" s="1"/>
      <c r="J158" s="1"/>
      <c r="K158" s="1"/>
      <c r="L158" s="1"/>
      <c r="M158" s="1"/>
      <c r="N158" s="1"/>
      <c r="O158" s="1"/>
      <c r="P158" s="1"/>
      <c r="Q158" s="1"/>
      <c r="R158" s="1"/>
      <c r="S158" s="1"/>
      <c r="T158" s="1"/>
      <c r="U158" s="1"/>
      <c r="V158" s="1"/>
    </row>
    <row r="159" ht="11.25" customHeight="1">
      <c r="A159" s="1"/>
      <c r="B159" s="1"/>
      <c r="C159" s="2"/>
      <c r="D159" s="1"/>
      <c r="E159" s="1"/>
      <c r="F159" s="1"/>
      <c r="G159" s="1"/>
      <c r="H159" s="1"/>
      <c r="I159" s="1"/>
      <c r="J159" s="1"/>
      <c r="K159" s="1"/>
      <c r="L159" s="1"/>
      <c r="M159" s="1"/>
      <c r="N159" s="1"/>
      <c r="O159" s="1"/>
      <c r="P159" s="1"/>
      <c r="Q159" s="1"/>
      <c r="R159" s="1"/>
      <c r="S159" s="1"/>
      <c r="T159" s="1"/>
      <c r="U159" s="1"/>
      <c r="V159" s="1"/>
    </row>
    <row r="160" ht="11.25" customHeight="1">
      <c r="A160" s="1"/>
      <c r="B160" s="1"/>
      <c r="C160" s="2"/>
      <c r="D160" s="1"/>
      <c r="E160" s="1"/>
      <c r="F160" s="1"/>
      <c r="G160" s="1"/>
      <c r="H160" s="1"/>
      <c r="I160" s="1"/>
      <c r="J160" s="1"/>
      <c r="K160" s="1"/>
      <c r="L160" s="1"/>
      <c r="M160" s="1"/>
      <c r="N160" s="1"/>
      <c r="O160" s="1"/>
      <c r="P160" s="1"/>
      <c r="Q160" s="1"/>
      <c r="R160" s="1"/>
      <c r="S160" s="1"/>
      <c r="T160" s="1"/>
      <c r="U160" s="1"/>
      <c r="V160" s="1"/>
    </row>
    <row r="161" ht="11.25" customHeight="1">
      <c r="A161" s="1"/>
      <c r="B161" s="1"/>
      <c r="C161" s="2"/>
      <c r="D161" s="1"/>
      <c r="E161" s="1"/>
      <c r="F161" s="1"/>
      <c r="G161" s="1"/>
      <c r="H161" s="1"/>
      <c r="I161" s="1"/>
      <c r="J161" s="1"/>
      <c r="K161" s="1"/>
      <c r="L161" s="1"/>
      <c r="M161" s="1"/>
      <c r="N161" s="1"/>
      <c r="O161" s="1"/>
      <c r="P161" s="1"/>
      <c r="Q161" s="1"/>
      <c r="R161" s="1"/>
      <c r="S161" s="1"/>
      <c r="T161" s="1"/>
      <c r="U161" s="1"/>
      <c r="V161" s="1"/>
    </row>
    <row r="162" ht="11.25" customHeight="1">
      <c r="A162" s="1"/>
      <c r="B162" s="1"/>
      <c r="C162" s="2"/>
      <c r="D162" s="1"/>
      <c r="E162" s="1"/>
      <c r="F162" s="1"/>
      <c r="G162" s="1"/>
      <c r="H162" s="1"/>
      <c r="I162" s="1"/>
      <c r="J162" s="1"/>
      <c r="K162" s="1"/>
      <c r="L162" s="1"/>
      <c r="M162" s="1"/>
      <c r="N162" s="1"/>
      <c r="O162" s="1"/>
      <c r="P162" s="1"/>
      <c r="Q162" s="1"/>
      <c r="R162" s="1"/>
      <c r="S162" s="1"/>
      <c r="T162" s="1"/>
      <c r="U162" s="1"/>
      <c r="V162" s="1"/>
    </row>
    <row r="163" ht="11.25" customHeight="1">
      <c r="A163" s="1"/>
      <c r="B163" s="1"/>
      <c r="C163" s="2"/>
      <c r="D163" s="1"/>
      <c r="E163" s="1"/>
      <c r="F163" s="1"/>
      <c r="G163" s="1"/>
      <c r="H163" s="1"/>
      <c r="I163" s="1"/>
      <c r="J163" s="1"/>
      <c r="K163" s="1"/>
      <c r="L163" s="1"/>
      <c r="M163" s="1"/>
      <c r="N163" s="1"/>
      <c r="O163" s="1"/>
      <c r="P163" s="1"/>
      <c r="Q163" s="1"/>
      <c r="R163" s="1"/>
      <c r="S163" s="1"/>
      <c r="T163" s="1"/>
      <c r="U163" s="1"/>
      <c r="V163" s="1"/>
    </row>
    <row r="164" ht="11.25" customHeight="1">
      <c r="A164" s="1"/>
      <c r="B164" s="1"/>
      <c r="C164" s="2"/>
      <c r="D164" s="1"/>
      <c r="E164" s="1"/>
      <c r="F164" s="1"/>
      <c r="G164" s="1"/>
      <c r="H164" s="1"/>
      <c r="I164" s="1"/>
      <c r="J164" s="1"/>
      <c r="K164" s="1"/>
      <c r="L164" s="1"/>
      <c r="M164" s="1"/>
      <c r="N164" s="1"/>
      <c r="O164" s="1"/>
      <c r="P164" s="1"/>
      <c r="Q164" s="1"/>
      <c r="R164" s="1"/>
      <c r="S164" s="1"/>
      <c r="T164" s="1"/>
      <c r="U164" s="1"/>
      <c r="V164" s="1"/>
    </row>
    <row r="165" ht="11.25" customHeight="1">
      <c r="A165" s="1"/>
      <c r="B165" s="1"/>
      <c r="C165" s="2"/>
      <c r="D165" s="1"/>
      <c r="E165" s="1"/>
      <c r="F165" s="1"/>
      <c r="G165" s="1"/>
      <c r="H165" s="1"/>
      <c r="I165" s="1"/>
      <c r="J165" s="1"/>
      <c r="K165" s="1"/>
      <c r="L165" s="1"/>
      <c r="M165" s="1"/>
      <c r="N165" s="1"/>
      <c r="O165" s="1"/>
      <c r="P165" s="1"/>
      <c r="Q165" s="1"/>
      <c r="R165" s="1"/>
      <c r="S165" s="1"/>
      <c r="T165" s="1"/>
      <c r="U165" s="1"/>
      <c r="V165" s="1"/>
    </row>
    <row r="166" ht="11.25" customHeight="1">
      <c r="A166" s="1"/>
      <c r="B166" s="1"/>
      <c r="C166" s="2"/>
      <c r="D166" s="1"/>
      <c r="E166" s="1"/>
      <c r="F166" s="1"/>
      <c r="G166" s="1"/>
      <c r="H166" s="1"/>
      <c r="I166" s="1"/>
      <c r="J166" s="1"/>
      <c r="K166" s="1"/>
      <c r="L166" s="1"/>
      <c r="M166" s="1"/>
      <c r="N166" s="1"/>
      <c r="O166" s="1"/>
      <c r="P166" s="1"/>
      <c r="Q166" s="1"/>
      <c r="R166" s="1"/>
      <c r="S166" s="1"/>
      <c r="T166" s="1"/>
      <c r="U166" s="1"/>
      <c r="V166" s="1"/>
    </row>
    <row r="167" ht="11.25" customHeight="1">
      <c r="A167" s="1"/>
      <c r="B167" s="1"/>
      <c r="C167" s="2"/>
      <c r="D167" s="1"/>
      <c r="E167" s="1"/>
      <c r="F167" s="1"/>
      <c r="G167" s="1"/>
      <c r="H167" s="1"/>
      <c r="I167" s="1"/>
      <c r="J167" s="1"/>
      <c r="K167" s="1"/>
      <c r="L167" s="1"/>
      <c r="M167" s="1"/>
      <c r="N167" s="1"/>
      <c r="O167" s="1"/>
      <c r="P167" s="1"/>
      <c r="Q167" s="1"/>
      <c r="R167" s="1"/>
      <c r="S167" s="1"/>
      <c r="T167" s="1"/>
      <c r="U167" s="1"/>
      <c r="V167" s="1"/>
    </row>
    <row r="168" ht="11.25" customHeight="1">
      <c r="A168" s="1"/>
      <c r="B168" s="1"/>
      <c r="C168" s="2"/>
      <c r="D168" s="1"/>
      <c r="E168" s="1"/>
      <c r="F168" s="1"/>
      <c r="G168" s="1"/>
      <c r="H168" s="1"/>
      <c r="I168" s="1"/>
      <c r="J168" s="1"/>
      <c r="K168" s="1"/>
      <c r="L168" s="1"/>
      <c r="M168" s="1"/>
      <c r="N168" s="1"/>
      <c r="O168" s="1"/>
      <c r="P168" s="1"/>
      <c r="Q168" s="1"/>
      <c r="R168" s="1"/>
      <c r="S168" s="1"/>
      <c r="T168" s="1"/>
      <c r="U168" s="1"/>
      <c r="V168" s="1"/>
    </row>
    <row r="169" ht="11.25" customHeight="1">
      <c r="A169" s="1"/>
      <c r="B169" s="1"/>
      <c r="C169" s="2"/>
      <c r="D169" s="1"/>
      <c r="E169" s="1"/>
      <c r="F169" s="1"/>
      <c r="G169" s="1"/>
      <c r="H169" s="1"/>
      <c r="I169" s="1"/>
      <c r="J169" s="1"/>
      <c r="K169" s="1"/>
      <c r="L169" s="1"/>
      <c r="M169" s="1"/>
      <c r="N169" s="1"/>
      <c r="O169" s="1"/>
      <c r="P169" s="1"/>
      <c r="Q169" s="1"/>
      <c r="R169" s="1"/>
      <c r="S169" s="1"/>
      <c r="T169" s="1"/>
      <c r="U169" s="1"/>
      <c r="V169" s="1"/>
    </row>
    <row r="170" ht="11.25" customHeight="1">
      <c r="A170" s="1"/>
      <c r="B170" s="1"/>
      <c r="C170" s="2"/>
      <c r="D170" s="1"/>
      <c r="E170" s="1"/>
      <c r="F170" s="1"/>
      <c r="G170" s="1"/>
      <c r="H170" s="1"/>
      <c r="I170" s="1"/>
      <c r="J170" s="1"/>
      <c r="K170" s="1"/>
      <c r="L170" s="1"/>
      <c r="M170" s="1"/>
      <c r="N170" s="1"/>
      <c r="O170" s="1"/>
      <c r="P170" s="1"/>
      <c r="Q170" s="1"/>
      <c r="R170" s="1"/>
      <c r="S170" s="1"/>
      <c r="T170" s="1"/>
      <c r="U170" s="1"/>
      <c r="V170" s="1"/>
    </row>
    <row r="171" ht="11.25" customHeight="1">
      <c r="A171" s="1"/>
      <c r="B171" s="1"/>
      <c r="C171" s="2"/>
      <c r="D171" s="1"/>
      <c r="E171" s="1"/>
      <c r="F171" s="1"/>
      <c r="G171" s="1"/>
      <c r="H171" s="1"/>
      <c r="I171" s="1"/>
      <c r="J171" s="1"/>
      <c r="K171" s="1"/>
      <c r="L171" s="1"/>
      <c r="M171" s="1"/>
      <c r="N171" s="1"/>
      <c r="O171" s="1"/>
      <c r="P171" s="1"/>
      <c r="Q171" s="1"/>
      <c r="R171" s="1"/>
      <c r="S171" s="1"/>
      <c r="T171" s="1"/>
      <c r="U171" s="1"/>
      <c r="V171" s="1"/>
    </row>
    <row r="172" ht="11.25" customHeight="1">
      <c r="A172" s="1"/>
      <c r="B172" s="1"/>
      <c r="C172" s="2"/>
      <c r="D172" s="1"/>
      <c r="E172" s="1"/>
      <c r="F172" s="1"/>
      <c r="G172" s="1"/>
      <c r="H172" s="1"/>
      <c r="I172" s="1"/>
      <c r="J172" s="1"/>
      <c r="K172" s="1"/>
      <c r="L172" s="1"/>
      <c r="M172" s="1"/>
      <c r="N172" s="1"/>
      <c r="O172" s="1"/>
      <c r="P172" s="1"/>
      <c r="Q172" s="1"/>
      <c r="R172" s="1"/>
      <c r="S172" s="1"/>
      <c r="T172" s="1"/>
      <c r="U172" s="1"/>
      <c r="V172" s="1"/>
    </row>
    <row r="173" ht="11.25" customHeight="1">
      <c r="A173" s="1"/>
      <c r="B173" s="1"/>
      <c r="C173" s="2"/>
      <c r="D173" s="1"/>
      <c r="E173" s="1"/>
      <c r="F173" s="1"/>
      <c r="G173" s="1"/>
      <c r="H173" s="1"/>
      <c r="I173" s="1"/>
      <c r="J173" s="1"/>
      <c r="K173" s="1"/>
      <c r="L173" s="1"/>
      <c r="M173" s="1"/>
      <c r="N173" s="1"/>
      <c r="O173" s="1"/>
      <c r="P173" s="1"/>
      <c r="Q173" s="1"/>
      <c r="R173" s="1"/>
      <c r="S173" s="1"/>
      <c r="T173" s="1"/>
      <c r="U173" s="1"/>
      <c r="V173" s="1"/>
    </row>
    <row r="174" ht="11.25" customHeight="1">
      <c r="A174" s="1"/>
      <c r="B174" s="1"/>
      <c r="C174" s="2"/>
      <c r="D174" s="1"/>
      <c r="E174" s="1"/>
      <c r="F174" s="1"/>
      <c r="G174" s="1"/>
      <c r="H174" s="1"/>
      <c r="I174" s="1"/>
      <c r="J174" s="1"/>
      <c r="K174" s="1"/>
      <c r="L174" s="1"/>
      <c r="M174" s="1"/>
      <c r="N174" s="1"/>
      <c r="O174" s="1"/>
      <c r="P174" s="1"/>
      <c r="Q174" s="1"/>
      <c r="R174" s="1"/>
      <c r="S174" s="1"/>
      <c r="T174" s="1"/>
      <c r="U174" s="1"/>
      <c r="V174" s="1"/>
    </row>
    <row r="175" ht="11.25" customHeight="1">
      <c r="A175" s="1"/>
      <c r="B175" s="1"/>
      <c r="C175" s="2"/>
      <c r="D175" s="1"/>
      <c r="E175" s="1"/>
      <c r="F175" s="1"/>
      <c r="G175" s="1"/>
      <c r="H175" s="1"/>
      <c r="I175" s="1"/>
      <c r="J175" s="1"/>
      <c r="K175" s="1"/>
      <c r="L175" s="1"/>
      <c r="M175" s="1"/>
      <c r="N175" s="1"/>
      <c r="O175" s="1"/>
      <c r="P175" s="1"/>
      <c r="Q175" s="1"/>
      <c r="R175" s="1"/>
      <c r="S175" s="1"/>
      <c r="T175" s="1"/>
      <c r="U175" s="1"/>
      <c r="V175" s="1"/>
    </row>
    <row r="176" ht="11.25" customHeight="1">
      <c r="A176" s="1"/>
      <c r="B176" s="1"/>
      <c r="C176" s="2"/>
      <c r="D176" s="1"/>
      <c r="E176" s="1"/>
      <c r="F176" s="1"/>
      <c r="G176" s="1"/>
      <c r="H176" s="1"/>
      <c r="I176" s="1"/>
      <c r="J176" s="1"/>
      <c r="K176" s="1"/>
      <c r="L176" s="1"/>
      <c r="M176" s="1"/>
      <c r="N176" s="1"/>
      <c r="O176" s="1"/>
      <c r="P176" s="1"/>
      <c r="Q176" s="1"/>
      <c r="R176" s="1"/>
      <c r="S176" s="1"/>
      <c r="T176" s="1"/>
      <c r="U176" s="1"/>
      <c r="V176" s="1"/>
    </row>
    <row r="177" ht="11.25" customHeight="1">
      <c r="A177" s="1"/>
      <c r="B177" s="1"/>
      <c r="C177" s="2"/>
      <c r="D177" s="1"/>
      <c r="E177" s="1"/>
      <c r="F177" s="1"/>
      <c r="G177" s="1"/>
      <c r="H177" s="1"/>
      <c r="I177" s="1"/>
      <c r="J177" s="1"/>
      <c r="K177" s="1"/>
      <c r="L177" s="1"/>
      <c r="M177" s="1"/>
      <c r="N177" s="1"/>
      <c r="O177" s="1"/>
      <c r="P177" s="1"/>
      <c r="Q177" s="1"/>
      <c r="R177" s="1"/>
      <c r="S177" s="1"/>
      <c r="T177" s="1"/>
      <c r="U177" s="1"/>
      <c r="V177" s="1"/>
    </row>
    <row r="178" ht="11.25" customHeight="1">
      <c r="A178" s="1"/>
      <c r="B178" s="1"/>
      <c r="C178" s="2"/>
      <c r="D178" s="1"/>
      <c r="E178" s="1"/>
      <c r="F178" s="1"/>
      <c r="G178" s="1"/>
      <c r="H178" s="1"/>
      <c r="I178" s="1"/>
      <c r="J178" s="1"/>
      <c r="K178" s="1"/>
      <c r="L178" s="1"/>
      <c r="M178" s="1"/>
      <c r="N178" s="1"/>
      <c r="O178" s="1"/>
      <c r="P178" s="1"/>
      <c r="Q178" s="1"/>
      <c r="R178" s="1"/>
      <c r="S178" s="1"/>
      <c r="T178" s="1"/>
      <c r="U178" s="1"/>
      <c r="V178" s="1"/>
    </row>
    <row r="179" ht="11.25" customHeight="1">
      <c r="A179" s="1"/>
      <c r="B179" s="1"/>
      <c r="C179" s="2"/>
      <c r="D179" s="1"/>
      <c r="E179" s="1"/>
      <c r="F179" s="1"/>
      <c r="G179" s="1"/>
      <c r="H179" s="1"/>
      <c r="I179" s="1"/>
      <c r="J179" s="1"/>
      <c r="K179" s="1"/>
      <c r="L179" s="1"/>
      <c r="M179" s="1"/>
      <c r="N179" s="1"/>
      <c r="O179" s="1"/>
      <c r="P179" s="1"/>
      <c r="Q179" s="1"/>
      <c r="R179" s="1"/>
      <c r="S179" s="1"/>
      <c r="T179" s="1"/>
      <c r="U179" s="1"/>
      <c r="V179" s="1"/>
    </row>
    <row r="180" ht="11.25" customHeight="1">
      <c r="A180" s="1"/>
      <c r="B180" s="1"/>
      <c r="C180" s="2"/>
      <c r="D180" s="1"/>
      <c r="E180" s="1"/>
      <c r="F180" s="1"/>
      <c r="G180" s="1"/>
      <c r="H180" s="1"/>
      <c r="I180" s="1"/>
      <c r="J180" s="1"/>
      <c r="K180" s="1"/>
      <c r="L180" s="1"/>
      <c r="M180" s="1"/>
      <c r="N180" s="1"/>
      <c r="O180" s="1"/>
      <c r="P180" s="1"/>
      <c r="Q180" s="1"/>
      <c r="R180" s="1"/>
      <c r="S180" s="1"/>
      <c r="T180" s="1"/>
      <c r="U180" s="1"/>
      <c r="V180" s="1"/>
    </row>
    <row r="181" ht="11.25" customHeight="1">
      <c r="A181" s="1"/>
      <c r="B181" s="1"/>
      <c r="C181" s="2"/>
      <c r="D181" s="1"/>
      <c r="E181" s="1"/>
      <c r="F181" s="1"/>
      <c r="G181" s="1"/>
      <c r="H181" s="1"/>
      <c r="I181" s="1"/>
      <c r="J181" s="1"/>
      <c r="K181" s="1"/>
      <c r="L181" s="1"/>
      <c r="M181" s="1"/>
      <c r="N181" s="1"/>
      <c r="O181" s="1"/>
      <c r="P181" s="1"/>
      <c r="Q181" s="1"/>
      <c r="R181" s="1"/>
      <c r="S181" s="1"/>
      <c r="T181" s="1"/>
      <c r="U181" s="1"/>
      <c r="V181" s="1"/>
    </row>
    <row r="182" ht="11.25" customHeight="1">
      <c r="A182" s="1"/>
      <c r="B182" s="1"/>
      <c r="C182" s="2"/>
      <c r="D182" s="1"/>
      <c r="E182" s="1"/>
      <c r="F182" s="1"/>
      <c r="G182" s="1"/>
      <c r="H182" s="1"/>
      <c r="I182" s="1"/>
      <c r="J182" s="1"/>
      <c r="K182" s="1"/>
      <c r="L182" s="1"/>
      <c r="M182" s="1"/>
      <c r="N182" s="1"/>
      <c r="O182" s="1"/>
      <c r="P182" s="1"/>
      <c r="Q182" s="1"/>
      <c r="R182" s="1"/>
      <c r="S182" s="1"/>
      <c r="T182" s="1"/>
      <c r="U182" s="1"/>
      <c r="V182" s="1"/>
    </row>
    <row r="183" ht="11.25" customHeight="1">
      <c r="A183" s="1"/>
      <c r="B183" s="1"/>
      <c r="C183" s="2"/>
      <c r="D183" s="1"/>
      <c r="E183" s="1"/>
      <c r="F183" s="1"/>
      <c r="G183" s="1"/>
      <c r="H183" s="1"/>
      <c r="I183" s="1"/>
      <c r="J183" s="1"/>
      <c r="K183" s="1"/>
      <c r="L183" s="1"/>
      <c r="M183" s="1"/>
      <c r="N183" s="1"/>
      <c r="O183" s="1"/>
      <c r="P183" s="1"/>
      <c r="Q183" s="1"/>
      <c r="R183" s="1"/>
      <c r="S183" s="1"/>
      <c r="T183" s="1"/>
      <c r="U183" s="1"/>
      <c r="V183" s="1"/>
    </row>
    <row r="184" ht="11.25" customHeight="1">
      <c r="A184" s="1"/>
      <c r="B184" s="1"/>
      <c r="C184" s="2"/>
      <c r="D184" s="1"/>
      <c r="E184" s="1"/>
      <c r="F184" s="1"/>
      <c r="G184" s="1"/>
      <c r="H184" s="1"/>
      <c r="I184" s="1"/>
      <c r="J184" s="1"/>
      <c r="K184" s="1"/>
      <c r="L184" s="1"/>
      <c r="M184" s="1"/>
      <c r="N184" s="1"/>
      <c r="O184" s="1"/>
      <c r="P184" s="1"/>
      <c r="Q184" s="1"/>
      <c r="R184" s="1"/>
      <c r="S184" s="1"/>
      <c r="T184" s="1"/>
      <c r="U184" s="1"/>
      <c r="V184" s="1"/>
    </row>
    <row r="185" ht="11.25" customHeight="1">
      <c r="A185" s="1"/>
      <c r="B185" s="1"/>
      <c r="C185" s="2"/>
      <c r="D185" s="1"/>
      <c r="E185" s="1"/>
      <c r="F185" s="1"/>
      <c r="G185" s="1"/>
      <c r="H185" s="1"/>
      <c r="I185" s="1"/>
      <c r="J185" s="1"/>
      <c r="K185" s="1"/>
      <c r="L185" s="1"/>
      <c r="M185" s="1"/>
      <c r="N185" s="1"/>
      <c r="O185" s="1"/>
      <c r="P185" s="1"/>
      <c r="Q185" s="1"/>
      <c r="R185" s="1"/>
      <c r="S185" s="1"/>
      <c r="T185" s="1"/>
      <c r="U185" s="1"/>
      <c r="V185" s="1"/>
    </row>
    <row r="186" ht="11.25" customHeight="1">
      <c r="A186" s="1"/>
      <c r="B186" s="1"/>
      <c r="C186" s="2"/>
      <c r="D186" s="1"/>
      <c r="E186" s="1"/>
      <c r="F186" s="1"/>
      <c r="G186" s="1"/>
      <c r="H186" s="1"/>
      <c r="I186" s="1"/>
      <c r="J186" s="1"/>
      <c r="K186" s="1"/>
      <c r="L186" s="1"/>
      <c r="M186" s="1"/>
      <c r="N186" s="1"/>
      <c r="O186" s="1"/>
      <c r="P186" s="1"/>
      <c r="Q186" s="1"/>
      <c r="R186" s="1"/>
      <c r="S186" s="1"/>
      <c r="T186" s="1"/>
      <c r="U186" s="1"/>
      <c r="V186" s="1"/>
    </row>
    <row r="187" ht="11.25" customHeight="1">
      <c r="A187" s="1"/>
      <c r="B187" s="1"/>
      <c r="C187" s="2"/>
      <c r="D187" s="1"/>
      <c r="E187" s="1"/>
      <c r="F187" s="1"/>
      <c r="G187" s="1"/>
      <c r="H187" s="1"/>
      <c r="I187" s="1"/>
      <c r="J187" s="1"/>
      <c r="K187" s="1"/>
      <c r="L187" s="1"/>
      <c r="M187" s="1"/>
      <c r="N187" s="1"/>
      <c r="O187" s="1"/>
      <c r="P187" s="1"/>
      <c r="Q187" s="1"/>
      <c r="R187" s="1"/>
      <c r="S187" s="1"/>
      <c r="T187" s="1"/>
      <c r="U187" s="1"/>
      <c r="V187" s="1"/>
    </row>
    <row r="188" ht="11.25" customHeight="1">
      <c r="A188" s="1"/>
      <c r="B188" s="1"/>
      <c r="C188" s="2"/>
      <c r="D188" s="1"/>
      <c r="E188" s="1"/>
      <c r="F188" s="1"/>
      <c r="G188" s="1"/>
      <c r="H188" s="1"/>
      <c r="I188" s="1"/>
      <c r="J188" s="1"/>
      <c r="K188" s="1"/>
      <c r="L188" s="1"/>
      <c r="M188" s="1"/>
      <c r="N188" s="1"/>
      <c r="O188" s="1"/>
      <c r="P188" s="1"/>
      <c r="Q188" s="1"/>
      <c r="R188" s="1"/>
      <c r="S188" s="1"/>
      <c r="T188" s="1"/>
      <c r="U188" s="1"/>
      <c r="V188" s="1"/>
    </row>
    <row r="189" ht="11.25" customHeight="1">
      <c r="A189" s="1"/>
      <c r="B189" s="1"/>
      <c r="C189" s="2"/>
      <c r="D189" s="1"/>
      <c r="E189" s="1"/>
      <c r="F189" s="1"/>
      <c r="G189" s="1"/>
      <c r="H189" s="1"/>
      <c r="I189" s="1"/>
      <c r="J189" s="1"/>
      <c r="K189" s="1"/>
      <c r="L189" s="1"/>
      <c r="M189" s="1"/>
      <c r="N189" s="1"/>
      <c r="O189" s="1"/>
      <c r="P189" s="1"/>
      <c r="Q189" s="1"/>
      <c r="R189" s="1"/>
      <c r="S189" s="1"/>
      <c r="T189" s="1"/>
      <c r="U189" s="1"/>
      <c r="V189" s="1"/>
    </row>
    <row r="190" ht="11.25" customHeight="1">
      <c r="A190" s="1"/>
      <c r="B190" s="1"/>
      <c r="C190" s="2"/>
      <c r="D190" s="1"/>
      <c r="E190" s="1"/>
      <c r="F190" s="1"/>
      <c r="G190" s="1"/>
      <c r="H190" s="1"/>
      <c r="I190" s="1"/>
      <c r="J190" s="1"/>
      <c r="K190" s="1"/>
      <c r="L190" s="1"/>
      <c r="M190" s="1"/>
      <c r="N190" s="1"/>
      <c r="O190" s="1"/>
      <c r="P190" s="1"/>
      <c r="Q190" s="1"/>
      <c r="R190" s="1"/>
      <c r="S190" s="1"/>
      <c r="T190" s="1"/>
      <c r="U190" s="1"/>
      <c r="V190" s="1"/>
    </row>
    <row r="191" ht="11.25" customHeight="1">
      <c r="A191" s="1"/>
      <c r="B191" s="1"/>
      <c r="C191" s="2"/>
      <c r="D191" s="1"/>
      <c r="E191" s="1"/>
      <c r="F191" s="1"/>
      <c r="G191" s="1"/>
      <c r="H191" s="1"/>
      <c r="I191" s="1"/>
      <c r="J191" s="1"/>
      <c r="K191" s="1"/>
      <c r="L191" s="1"/>
      <c r="M191" s="1"/>
      <c r="N191" s="1"/>
      <c r="O191" s="1"/>
      <c r="P191" s="1"/>
      <c r="Q191" s="1"/>
      <c r="R191" s="1"/>
      <c r="S191" s="1"/>
      <c r="T191" s="1"/>
      <c r="U191" s="1"/>
      <c r="V191" s="1"/>
    </row>
    <row r="192" ht="11.25" customHeight="1">
      <c r="A192" s="1"/>
      <c r="B192" s="1"/>
      <c r="C192" s="2"/>
      <c r="D192" s="1"/>
      <c r="E192" s="1"/>
      <c r="F192" s="1"/>
      <c r="G192" s="1"/>
      <c r="H192" s="1"/>
      <c r="I192" s="1"/>
      <c r="J192" s="1"/>
      <c r="K192" s="1"/>
      <c r="L192" s="1"/>
      <c r="M192" s="1"/>
      <c r="N192" s="1"/>
      <c r="O192" s="1"/>
      <c r="P192" s="1"/>
      <c r="Q192" s="1"/>
      <c r="R192" s="1"/>
      <c r="S192" s="1"/>
      <c r="T192" s="1"/>
      <c r="U192" s="1"/>
      <c r="V192" s="1"/>
    </row>
    <row r="193" ht="11.25" customHeight="1">
      <c r="A193" s="1"/>
      <c r="B193" s="1"/>
      <c r="C193" s="2"/>
      <c r="D193" s="1"/>
      <c r="E193" s="1"/>
      <c r="F193" s="1"/>
      <c r="G193" s="1"/>
      <c r="H193" s="1"/>
      <c r="I193" s="1"/>
      <c r="J193" s="1"/>
      <c r="K193" s="1"/>
      <c r="L193" s="1"/>
      <c r="M193" s="1"/>
      <c r="N193" s="1"/>
      <c r="O193" s="1"/>
      <c r="P193" s="1"/>
      <c r="Q193" s="1"/>
      <c r="R193" s="1"/>
      <c r="S193" s="1"/>
      <c r="T193" s="1"/>
      <c r="U193" s="1"/>
      <c r="V193" s="1"/>
    </row>
    <row r="194" ht="11.25" customHeight="1">
      <c r="A194" s="1"/>
      <c r="B194" s="1"/>
      <c r="C194" s="2"/>
      <c r="D194" s="1"/>
      <c r="E194" s="1"/>
      <c r="F194" s="1"/>
      <c r="G194" s="1"/>
      <c r="H194" s="1"/>
      <c r="I194" s="1"/>
      <c r="J194" s="1"/>
      <c r="K194" s="1"/>
      <c r="L194" s="1"/>
      <c r="M194" s="1"/>
      <c r="N194" s="1"/>
      <c r="O194" s="1"/>
      <c r="P194" s="1"/>
      <c r="Q194" s="1"/>
      <c r="R194" s="1"/>
      <c r="S194" s="1"/>
      <c r="T194" s="1"/>
      <c r="U194" s="1"/>
      <c r="V194" s="1"/>
    </row>
    <row r="195" ht="11.25" customHeight="1">
      <c r="A195" s="1"/>
      <c r="B195" s="1"/>
      <c r="C195" s="2"/>
      <c r="D195" s="1"/>
      <c r="E195" s="1"/>
      <c r="F195" s="1"/>
      <c r="G195" s="1"/>
      <c r="H195" s="1"/>
      <c r="I195" s="1"/>
      <c r="J195" s="1"/>
      <c r="K195" s="1"/>
      <c r="L195" s="1"/>
      <c r="M195" s="1"/>
      <c r="N195" s="1"/>
      <c r="O195" s="1"/>
      <c r="P195" s="1"/>
      <c r="Q195" s="1"/>
      <c r="R195" s="1"/>
      <c r="S195" s="1"/>
      <c r="T195" s="1"/>
      <c r="U195" s="1"/>
      <c r="V195" s="1"/>
    </row>
    <row r="196" ht="11.25" customHeight="1">
      <c r="A196" s="1"/>
      <c r="B196" s="1"/>
      <c r="C196" s="2"/>
      <c r="D196" s="1"/>
      <c r="E196" s="1"/>
      <c r="F196" s="1"/>
      <c r="G196" s="1"/>
      <c r="H196" s="1"/>
      <c r="I196" s="1"/>
      <c r="J196" s="1"/>
      <c r="K196" s="1"/>
      <c r="L196" s="1"/>
      <c r="M196" s="1"/>
      <c r="N196" s="1"/>
      <c r="O196" s="1"/>
      <c r="P196" s="1"/>
      <c r="Q196" s="1"/>
      <c r="R196" s="1"/>
      <c r="S196" s="1"/>
      <c r="T196" s="1"/>
      <c r="U196" s="1"/>
      <c r="V196" s="1"/>
    </row>
    <row r="197" ht="11.25" customHeight="1">
      <c r="A197" s="1"/>
      <c r="B197" s="1"/>
      <c r="C197" s="2"/>
      <c r="D197" s="1"/>
      <c r="E197" s="1"/>
      <c r="F197" s="1"/>
      <c r="G197" s="1"/>
      <c r="H197" s="1"/>
      <c r="I197" s="1"/>
      <c r="J197" s="1"/>
      <c r="K197" s="1"/>
      <c r="L197" s="1"/>
      <c r="M197" s="1"/>
      <c r="N197" s="1"/>
      <c r="O197" s="1"/>
      <c r="P197" s="1"/>
      <c r="Q197" s="1"/>
      <c r="R197" s="1"/>
      <c r="S197" s="1"/>
      <c r="T197" s="1"/>
      <c r="U197" s="1"/>
      <c r="V197" s="1"/>
    </row>
    <row r="198" ht="11.25" customHeight="1">
      <c r="A198" s="1"/>
      <c r="B198" s="1"/>
      <c r="C198" s="2"/>
      <c r="D198" s="1"/>
      <c r="E198" s="1"/>
      <c r="F198" s="1"/>
      <c r="G198" s="1"/>
      <c r="H198" s="1"/>
      <c r="I198" s="1"/>
      <c r="J198" s="1"/>
      <c r="K198" s="1"/>
      <c r="L198" s="1"/>
      <c r="M198" s="1"/>
      <c r="N198" s="1"/>
      <c r="O198" s="1"/>
      <c r="P198" s="1"/>
      <c r="Q198" s="1"/>
      <c r="R198" s="1"/>
      <c r="S198" s="1"/>
      <c r="T198" s="1"/>
      <c r="U198" s="1"/>
      <c r="V198" s="1"/>
    </row>
    <row r="199" ht="11.25" customHeight="1">
      <c r="A199" s="1"/>
      <c r="B199" s="1"/>
      <c r="C199" s="2"/>
      <c r="D199" s="1"/>
      <c r="E199" s="1"/>
      <c r="F199" s="1"/>
      <c r="G199" s="1"/>
      <c r="H199" s="1"/>
      <c r="I199" s="1"/>
      <c r="J199" s="1"/>
      <c r="K199" s="1"/>
      <c r="L199" s="1"/>
      <c r="M199" s="1"/>
      <c r="N199" s="1"/>
      <c r="O199" s="1"/>
      <c r="P199" s="1"/>
      <c r="Q199" s="1"/>
      <c r="R199" s="1"/>
      <c r="S199" s="1"/>
      <c r="T199" s="1"/>
      <c r="U199" s="1"/>
      <c r="V199" s="1"/>
    </row>
    <row r="200" ht="11.25" customHeight="1">
      <c r="A200" s="1"/>
      <c r="B200" s="1"/>
      <c r="C200" s="2"/>
      <c r="D200" s="1"/>
      <c r="E200" s="1"/>
      <c r="F200" s="1"/>
      <c r="G200" s="1"/>
      <c r="H200" s="1"/>
      <c r="I200" s="1"/>
      <c r="J200" s="1"/>
      <c r="K200" s="1"/>
      <c r="L200" s="1"/>
      <c r="M200" s="1"/>
      <c r="N200" s="1"/>
      <c r="O200" s="1"/>
      <c r="P200" s="1"/>
      <c r="Q200" s="1"/>
      <c r="R200" s="1"/>
      <c r="S200" s="1"/>
      <c r="T200" s="1"/>
      <c r="U200" s="1"/>
      <c r="V200" s="1"/>
    </row>
    <row r="201" ht="11.25" customHeight="1">
      <c r="A201" s="1"/>
      <c r="B201" s="1"/>
      <c r="C201" s="2"/>
      <c r="D201" s="1"/>
      <c r="E201" s="1"/>
      <c r="F201" s="1"/>
      <c r="G201" s="1"/>
      <c r="H201" s="1"/>
      <c r="I201" s="1"/>
      <c r="J201" s="1"/>
      <c r="K201" s="1"/>
      <c r="L201" s="1"/>
      <c r="M201" s="1"/>
      <c r="N201" s="1"/>
      <c r="O201" s="1"/>
      <c r="P201" s="1"/>
      <c r="Q201" s="1"/>
      <c r="R201" s="1"/>
      <c r="S201" s="1"/>
      <c r="T201" s="1"/>
      <c r="U201" s="1"/>
      <c r="V201" s="1"/>
    </row>
    <row r="202" ht="11.25" customHeight="1">
      <c r="A202" s="1"/>
      <c r="B202" s="1"/>
      <c r="C202" s="2"/>
      <c r="D202" s="1"/>
      <c r="E202" s="1"/>
      <c r="F202" s="1"/>
      <c r="G202" s="1"/>
      <c r="H202" s="1"/>
      <c r="I202" s="1"/>
      <c r="J202" s="1"/>
      <c r="K202" s="1"/>
      <c r="L202" s="1"/>
      <c r="M202" s="1"/>
      <c r="N202" s="1"/>
      <c r="O202" s="1"/>
      <c r="P202" s="1"/>
      <c r="Q202" s="1"/>
      <c r="R202" s="1"/>
      <c r="S202" s="1"/>
      <c r="T202" s="1"/>
      <c r="U202" s="1"/>
      <c r="V202" s="1"/>
    </row>
    <row r="203" ht="11.25" customHeight="1">
      <c r="A203" s="1"/>
      <c r="B203" s="1"/>
      <c r="C203" s="2"/>
      <c r="D203" s="1"/>
      <c r="E203" s="1"/>
      <c r="F203" s="1"/>
      <c r="G203" s="1"/>
      <c r="H203" s="1"/>
      <c r="I203" s="1"/>
      <c r="J203" s="1"/>
      <c r="K203" s="1"/>
      <c r="L203" s="1"/>
      <c r="M203" s="1"/>
      <c r="N203" s="1"/>
      <c r="O203" s="1"/>
      <c r="P203" s="1"/>
      <c r="Q203" s="1"/>
      <c r="R203" s="1"/>
      <c r="S203" s="1"/>
      <c r="T203" s="1"/>
      <c r="U203" s="1"/>
      <c r="V203" s="1"/>
    </row>
    <row r="204" ht="11.25" customHeight="1">
      <c r="A204" s="1"/>
      <c r="B204" s="1"/>
      <c r="C204" s="2"/>
      <c r="D204" s="1"/>
      <c r="E204" s="1"/>
      <c r="F204" s="1"/>
      <c r="G204" s="1"/>
      <c r="H204" s="1"/>
      <c r="I204" s="1"/>
      <c r="J204" s="1"/>
      <c r="K204" s="1"/>
      <c r="L204" s="1"/>
      <c r="M204" s="1"/>
      <c r="N204" s="1"/>
      <c r="O204" s="1"/>
      <c r="P204" s="1"/>
      <c r="Q204" s="1"/>
      <c r="R204" s="1"/>
      <c r="S204" s="1"/>
      <c r="T204" s="1"/>
      <c r="U204" s="1"/>
      <c r="V204" s="1"/>
    </row>
    <row r="205" ht="11.25" customHeight="1">
      <c r="A205" s="1"/>
      <c r="B205" s="1"/>
      <c r="C205" s="2"/>
      <c r="D205" s="1"/>
      <c r="E205" s="1"/>
      <c r="F205" s="1"/>
      <c r="G205" s="1"/>
      <c r="H205" s="1"/>
      <c r="I205" s="1"/>
      <c r="J205" s="1"/>
      <c r="K205" s="1"/>
      <c r="L205" s="1"/>
      <c r="M205" s="1"/>
      <c r="N205" s="1"/>
      <c r="O205" s="1"/>
      <c r="P205" s="1"/>
      <c r="Q205" s="1"/>
      <c r="R205" s="1"/>
      <c r="S205" s="1"/>
      <c r="T205" s="1"/>
      <c r="U205" s="1"/>
      <c r="V205" s="1"/>
    </row>
    <row r="206" ht="11.25" customHeight="1">
      <c r="A206" s="1"/>
      <c r="B206" s="1"/>
      <c r="C206" s="2"/>
      <c r="D206" s="1"/>
      <c r="E206" s="1"/>
      <c r="F206" s="1"/>
      <c r="G206" s="1"/>
      <c r="H206" s="1"/>
      <c r="I206" s="1"/>
      <c r="J206" s="1"/>
      <c r="K206" s="1"/>
      <c r="L206" s="1"/>
      <c r="M206" s="1"/>
      <c r="N206" s="1"/>
      <c r="O206" s="1"/>
      <c r="P206" s="1"/>
      <c r="Q206" s="1"/>
      <c r="R206" s="1"/>
      <c r="S206" s="1"/>
      <c r="T206" s="1"/>
      <c r="U206" s="1"/>
      <c r="V206" s="1"/>
    </row>
    <row r="207" ht="11.25" customHeight="1">
      <c r="A207" s="1"/>
      <c r="B207" s="1"/>
      <c r="C207" s="2"/>
      <c r="D207" s="1"/>
      <c r="E207" s="1"/>
      <c r="F207" s="1"/>
      <c r="G207" s="1"/>
      <c r="H207" s="1"/>
      <c r="I207" s="1"/>
      <c r="J207" s="1"/>
      <c r="K207" s="1"/>
      <c r="L207" s="1"/>
      <c r="M207" s="1"/>
      <c r="N207" s="1"/>
      <c r="O207" s="1"/>
      <c r="P207" s="1"/>
      <c r="Q207" s="1"/>
      <c r="R207" s="1"/>
      <c r="S207" s="1"/>
      <c r="T207" s="1"/>
      <c r="U207" s="1"/>
      <c r="V207" s="1"/>
    </row>
    <row r="208" ht="11.25" customHeight="1">
      <c r="A208" s="1"/>
      <c r="B208" s="1"/>
      <c r="C208" s="2"/>
      <c r="D208" s="1"/>
      <c r="E208" s="1"/>
      <c r="F208" s="1"/>
      <c r="G208" s="1"/>
      <c r="H208" s="1"/>
      <c r="I208" s="1"/>
      <c r="J208" s="1"/>
      <c r="K208" s="1"/>
      <c r="L208" s="1"/>
      <c r="M208" s="1"/>
      <c r="N208" s="1"/>
      <c r="O208" s="1"/>
      <c r="P208" s="1"/>
      <c r="Q208" s="1"/>
      <c r="R208" s="1"/>
      <c r="S208" s="1"/>
      <c r="T208" s="1"/>
      <c r="U208" s="1"/>
      <c r="V208" s="1"/>
    </row>
    <row r="209" ht="11.25" customHeight="1">
      <c r="A209" s="1"/>
      <c r="B209" s="1"/>
      <c r="C209" s="2"/>
      <c r="D209" s="1"/>
      <c r="E209" s="1"/>
      <c r="F209" s="1"/>
      <c r="G209" s="1"/>
      <c r="H209" s="1"/>
      <c r="I209" s="1"/>
      <c r="J209" s="1"/>
      <c r="K209" s="1"/>
      <c r="L209" s="1"/>
      <c r="M209" s="1"/>
      <c r="N209" s="1"/>
      <c r="O209" s="1"/>
      <c r="P209" s="1"/>
      <c r="Q209" s="1"/>
      <c r="R209" s="1"/>
      <c r="S209" s="1"/>
      <c r="T209" s="1"/>
      <c r="U209" s="1"/>
      <c r="V209" s="1"/>
    </row>
    <row r="210" ht="11.25" customHeight="1">
      <c r="A210" s="1"/>
      <c r="B210" s="1"/>
      <c r="C210" s="2"/>
      <c r="D210" s="1"/>
      <c r="E210" s="1"/>
      <c r="F210" s="1"/>
      <c r="G210" s="1"/>
      <c r="H210" s="1"/>
      <c r="I210" s="1"/>
      <c r="J210" s="1"/>
      <c r="K210" s="1"/>
      <c r="L210" s="1"/>
      <c r="M210" s="1"/>
      <c r="N210" s="1"/>
      <c r="O210" s="1"/>
      <c r="P210" s="1"/>
      <c r="Q210" s="1"/>
      <c r="R210" s="1"/>
      <c r="S210" s="1"/>
      <c r="T210" s="1"/>
      <c r="U210" s="1"/>
      <c r="V210" s="1"/>
    </row>
    <row r="211" ht="11.25" customHeight="1">
      <c r="A211" s="1"/>
      <c r="B211" s="1"/>
      <c r="C211" s="2"/>
      <c r="D211" s="1"/>
      <c r="E211" s="1"/>
      <c r="F211" s="1"/>
      <c r="G211" s="1"/>
      <c r="H211" s="1"/>
      <c r="I211" s="1"/>
      <c r="J211" s="1"/>
      <c r="K211" s="1"/>
      <c r="L211" s="1"/>
      <c r="M211" s="1"/>
      <c r="N211" s="1"/>
      <c r="O211" s="1"/>
      <c r="P211" s="1"/>
      <c r="Q211" s="1"/>
      <c r="R211" s="1"/>
      <c r="S211" s="1"/>
      <c r="T211" s="1"/>
      <c r="U211" s="1"/>
      <c r="V211" s="1"/>
    </row>
    <row r="212" ht="11.25" customHeight="1">
      <c r="A212" s="1"/>
      <c r="B212" s="1"/>
      <c r="C212" s="2"/>
      <c r="D212" s="1"/>
      <c r="E212" s="1"/>
      <c r="F212" s="1"/>
      <c r="G212" s="1"/>
      <c r="H212" s="1"/>
      <c r="I212" s="1"/>
      <c r="J212" s="1"/>
      <c r="K212" s="1"/>
      <c r="L212" s="1"/>
      <c r="M212" s="1"/>
      <c r="N212" s="1"/>
      <c r="O212" s="1"/>
      <c r="P212" s="1"/>
      <c r="Q212" s="1"/>
      <c r="R212" s="1"/>
      <c r="S212" s="1"/>
      <c r="T212" s="1"/>
      <c r="U212" s="1"/>
      <c r="V212" s="1"/>
    </row>
    <row r="213" ht="11.25" customHeight="1">
      <c r="A213" s="1"/>
      <c r="B213" s="1"/>
      <c r="C213" s="2"/>
      <c r="D213" s="1"/>
      <c r="E213" s="1"/>
      <c r="F213" s="1"/>
      <c r="G213" s="1"/>
      <c r="H213" s="1"/>
      <c r="I213" s="1"/>
      <c r="J213" s="1"/>
      <c r="K213" s="1"/>
      <c r="L213" s="1"/>
      <c r="M213" s="1"/>
      <c r="N213" s="1"/>
      <c r="O213" s="1"/>
      <c r="P213" s="1"/>
      <c r="Q213" s="1"/>
      <c r="R213" s="1"/>
      <c r="S213" s="1"/>
      <c r="T213" s="1"/>
      <c r="U213" s="1"/>
      <c r="V213" s="1"/>
    </row>
    <row r="214" ht="11.25" customHeight="1">
      <c r="A214" s="1"/>
      <c r="B214" s="1"/>
      <c r="C214" s="2"/>
      <c r="D214" s="1"/>
      <c r="E214" s="1"/>
      <c r="F214" s="1"/>
      <c r="G214" s="1"/>
      <c r="H214" s="1"/>
      <c r="I214" s="1"/>
      <c r="J214" s="1"/>
      <c r="K214" s="1"/>
      <c r="L214" s="1"/>
      <c r="M214" s="1"/>
      <c r="N214" s="1"/>
      <c r="O214" s="1"/>
      <c r="P214" s="1"/>
      <c r="Q214" s="1"/>
      <c r="R214" s="1"/>
      <c r="S214" s="1"/>
      <c r="T214" s="1"/>
      <c r="U214" s="1"/>
      <c r="V214" s="1"/>
    </row>
    <row r="215" ht="11.25" customHeight="1">
      <c r="A215" s="1"/>
      <c r="B215" s="1"/>
      <c r="C215" s="2"/>
      <c r="D215" s="1"/>
      <c r="E215" s="1"/>
      <c r="F215" s="1"/>
      <c r="G215" s="1"/>
      <c r="H215" s="1"/>
      <c r="I215" s="1"/>
      <c r="J215" s="1"/>
      <c r="K215" s="1"/>
      <c r="L215" s="1"/>
      <c r="M215" s="1"/>
      <c r="N215" s="1"/>
      <c r="O215" s="1"/>
      <c r="P215" s="1"/>
      <c r="Q215" s="1"/>
      <c r="R215" s="1"/>
      <c r="S215" s="1"/>
      <c r="T215" s="1"/>
      <c r="U215" s="1"/>
      <c r="V215" s="1"/>
    </row>
    <row r="216" ht="11.25" customHeight="1">
      <c r="A216" s="1"/>
      <c r="B216" s="1"/>
      <c r="C216" s="2"/>
      <c r="D216" s="1"/>
      <c r="E216" s="1"/>
      <c r="F216" s="1"/>
      <c r="G216" s="1"/>
      <c r="H216" s="1"/>
      <c r="I216" s="1"/>
      <c r="J216" s="1"/>
      <c r="K216" s="1"/>
      <c r="L216" s="1"/>
      <c r="M216" s="1"/>
      <c r="N216" s="1"/>
      <c r="O216" s="1"/>
      <c r="P216" s="1"/>
      <c r="Q216" s="1"/>
      <c r="R216" s="1"/>
      <c r="S216" s="1"/>
      <c r="T216" s="1"/>
      <c r="U216" s="1"/>
      <c r="V216" s="1"/>
    </row>
    <row r="217" ht="11.25" customHeight="1">
      <c r="A217" s="1"/>
      <c r="B217" s="1"/>
      <c r="C217" s="2"/>
      <c r="D217" s="1"/>
      <c r="E217" s="1"/>
      <c r="F217" s="1"/>
      <c r="G217" s="1"/>
      <c r="H217" s="1"/>
      <c r="I217" s="1"/>
      <c r="J217" s="1"/>
      <c r="K217" s="1"/>
      <c r="L217" s="1"/>
      <c r="M217" s="1"/>
      <c r="N217" s="1"/>
      <c r="O217" s="1"/>
      <c r="P217" s="1"/>
      <c r="Q217" s="1"/>
      <c r="R217" s="1"/>
      <c r="S217" s="1"/>
      <c r="T217" s="1"/>
      <c r="U217" s="1"/>
      <c r="V217" s="1"/>
    </row>
    <row r="218" ht="11.25" customHeight="1">
      <c r="A218" s="1"/>
      <c r="B218" s="1"/>
      <c r="C218" s="2"/>
      <c r="D218" s="1"/>
      <c r="E218" s="1"/>
      <c r="F218" s="1"/>
      <c r="G218" s="1"/>
      <c r="H218" s="1"/>
      <c r="I218" s="1"/>
      <c r="J218" s="1"/>
      <c r="K218" s="1"/>
      <c r="L218" s="1"/>
      <c r="M218" s="1"/>
      <c r="N218" s="1"/>
      <c r="O218" s="1"/>
      <c r="P218" s="1"/>
      <c r="Q218" s="1"/>
      <c r="R218" s="1"/>
      <c r="S218" s="1"/>
      <c r="T218" s="1"/>
      <c r="U218" s="1"/>
      <c r="V218" s="1"/>
    </row>
    <row r="219" ht="11.25" customHeight="1">
      <c r="A219" s="1"/>
      <c r="B219" s="1"/>
      <c r="C219" s="2"/>
      <c r="D219" s="1"/>
      <c r="E219" s="1"/>
      <c r="F219" s="1"/>
      <c r="G219" s="1"/>
      <c r="H219" s="1"/>
      <c r="I219" s="1"/>
      <c r="J219" s="1"/>
      <c r="K219" s="1"/>
      <c r="L219" s="1"/>
      <c r="M219" s="1"/>
      <c r="N219" s="1"/>
      <c r="O219" s="1"/>
      <c r="P219" s="1"/>
      <c r="Q219" s="1"/>
      <c r="R219" s="1"/>
      <c r="S219" s="1"/>
      <c r="T219" s="1"/>
      <c r="U219" s="1"/>
      <c r="V219" s="1"/>
    </row>
    <row r="220" ht="11.25" customHeight="1">
      <c r="A220" s="1"/>
      <c r="B220" s="1"/>
      <c r="C220" s="2"/>
      <c r="D220" s="1"/>
      <c r="E220" s="1"/>
      <c r="F220" s="1"/>
      <c r="G220" s="1"/>
      <c r="H220" s="1"/>
      <c r="I220" s="1"/>
      <c r="J220" s="1"/>
      <c r="K220" s="1"/>
      <c r="L220" s="1"/>
      <c r="M220" s="1"/>
      <c r="N220" s="1"/>
      <c r="O220" s="1"/>
      <c r="P220" s="1"/>
      <c r="Q220" s="1"/>
      <c r="R220" s="1"/>
      <c r="S220" s="1"/>
      <c r="T220" s="1"/>
      <c r="U220" s="1"/>
      <c r="V220" s="1"/>
    </row>
    <row r="221" ht="11.25" customHeight="1">
      <c r="A221" s="1"/>
      <c r="B221" s="1"/>
      <c r="C221" s="2"/>
      <c r="D221" s="1"/>
      <c r="E221" s="1"/>
      <c r="F221" s="1"/>
      <c r="G221" s="1"/>
      <c r="H221" s="1"/>
      <c r="I221" s="1"/>
      <c r="J221" s="1"/>
      <c r="K221" s="1"/>
      <c r="L221" s="1"/>
      <c r="M221" s="1"/>
      <c r="N221" s="1"/>
      <c r="O221" s="1"/>
      <c r="P221" s="1"/>
      <c r="Q221" s="1"/>
      <c r="R221" s="1"/>
      <c r="S221" s="1"/>
      <c r="T221" s="1"/>
      <c r="U221" s="1"/>
      <c r="V221" s="1"/>
    </row>
    <row r="222" ht="11.25" customHeight="1">
      <c r="A222" s="1"/>
      <c r="B222" s="1"/>
      <c r="C222" s="2"/>
      <c r="D222" s="1"/>
      <c r="E222" s="1"/>
      <c r="F222" s="1"/>
      <c r="G222" s="1"/>
      <c r="H222" s="1"/>
      <c r="I222" s="1"/>
      <c r="J222" s="1"/>
      <c r="K222" s="1"/>
      <c r="L222" s="1"/>
      <c r="M222" s="1"/>
      <c r="N222" s="1"/>
      <c r="O222" s="1"/>
      <c r="P222" s="1"/>
      <c r="Q222" s="1"/>
      <c r="R222" s="1"/>
      <c r="S222" s="1"/>
      <c r="T222" s="1"/>
      <c r="U222" s="1"/>
      <c r="V222" s="1"/>
    </row>
    <row r="223" ht="11.25" customHeight="1">
      <c r="A223" s="1"/>
      <c r="B223" s="1"/>
      <c r="C223" s="2"/>
      <c r="D223" s="1"/>
      <c r="E223" s="1"/>
      <c r="F223" s="1"/>
      <c r="G223" s="1"/>
      <c r="H223" s="1"/>
      <c r="I223" s="1"/>
      <c r="J223" s="1"/>
      <c r="K223" s="1"/>
      <c r="L223" s="1"/>
      <c r="M223" s="1"/>
      <c r="N223" s="1"/>
      <c r="O223" s="1"/>
      <c r="P223" s="1"/>
      <c r="Q223" s="1"/>
      <c r="R223" s="1"/>
      <c r="S223" s="1"/>
      <c r="T223" s="1"/>
      <c r="U223" s="1"/>
      <c r="V223" s="1"/>
    </row>
    <row r="224" ht="11.25" customHeight="1">
      <c r="A224" s="1"/>
      <c r="B224" s="1"/>
      <c r="C224" s="2"/>
      <c r="D224" s="1"/>
      <c r="E224" s="1"/>
      <c r="F224" s="1"/>
      <c r="G224" s="1"/>
      <c r="H224" s="1"/>
      <c r="I224" s="1"/>
      <c r="J224" s="1"/>
      <c r="K224" s="1"/>
      <c r="L224" s="1"/>
      <c r="M224" s="1"/>
      <c r="N224" s="1"/>
      <c r="O224" s="1"/>
      <c r="P224" s="1"/>
      <c r="Q224" s="1"/>
      <c r="R224" s="1"/>
      <c r="S224" s="1"/>
      <c r="T224" s="1"/>
      <c r="U224" s="1"/>
      <c r="V224" s="1"/>
    </row>
    <row r="225" ht="11.25" customHeight="1">
      <c r="A225" s="1"/>
      <c r="B225" s="1"/>
      <c r="C225" s="2"/>
      <c r="D225" s="1"/>
      <c r="E225" s="1"/>
      <c r="F225" s="1"/>
      <c r="G225" s="1"/>
      <c r="H225" s="1"/>
      <c r="I225" s="1"/>
      <c r="J225" s="1"/>
      <c r="K225" s="1"/>
      <c r="L225" s="1"/>
      <c r="M225" s="1"/>
      <c r="N225" s="1"/>
      <c r="O225" s="1"/>
      <c r="P225" s="1"/>
      <c r="Q225" s="1"/>
      <c r="R225" s="1"/>
      <c r="S225" s="1"/>
      <c r="T225" s="1"/>
      <c r="U225" s="1"/>
      <c r="V225" s="1"/>
    </row>
    <row r="226" ht="11.25" customHeight="1">
      <c r="A226" s="1"/>
      <c r="B226" s="1"/>
      <c r="C226" s="2"/>
      <c r="D226" s="1"/>
      <c r="E226" s="1"/>
      <c r="F226" s="1"/>
      <c r="G226" s="1"/>
      <c r="H226" s="1"/>
      <c r="I226" s="1"/>
      <c r="J226" s="1"/>
      <c r="K226" s="1"/>
      <c r="L226" s="1"/>
      <c r="M226" s="1"/>
      <c r="N226" s="1"/>
      <c r="O226" s="1"/>
      <c r="P226" s="1"/>
      <c r="Q226" s="1"/>
      <c r="R226" s="1"/>
      <c r="S226" s="1"/>
      <c r="T226" s="1"/>
      <c r="U226" s="1"/>
      <c r="V226" s="1"/>
    </row>
    <row r="227" ht="11.25" customHeight="1">
      <c r="A227" s="1"/>
      <c r="B227" s="1"/>
      <c r="C227" s="2"/>
      <c r="D227" s="1"/>
      <c r="E227" s="1"/>
      <c r="F227" s="1"/>
      <c r="G227" s="1"/>
      <c r="H227" s="1"/>
      <c r="I227" s="1"/>
      <c r="J227" s="1"/>
      <c r="K227" s="1"/>
      <c r="L227" s="1"/>
      <c r="M227" s="1"/>
      <c r="N227" s="1"/>
      <c r="O227" s="1"/>
      <c r="P227" s="1"/>
      <c r="Q227" s="1"/>
      <c r="R227" s="1"/>
      <c r="S227" s="1"/>
      <c r="T227" s="1"/>
      <c r="U227" s="1"/>
      <c r="V227" s="1"/>
    </row>
    <row r="228" ht="11.25" customHeight="1">
      <c r="A228" s="1"/>
      <c r="B228" s="1"/>
      <c r="C228" s="2"/>
      <c r="D228" s="1"/>
      <c r="E228" s="1"/>
      <c r="F228" s="1"/>
      <c r="G228" s="1"/>
      <c r="H228" s="1"/>
      <c r="I228" s="1"/>
      <c r="J228" s="1"/>
      <c r="K228" s="1"/>
      <c r="L228" s="1"/>
      <c r="M228" s="1"/>
      <c r="N228" s="1"/>
      <c r="O228" s="1"/>
      <c r="P228" s="1"/>
      <c r="Q228" s="1"/>
      <c r="R228" s="1"/>
      <c r="S228" s="1"/>
      <c r="T228" s="1"/>
      <c r="U228" s="1"/>
      <c r="V228" s="1"/>
    </row>
    <row r="229" ht="11.25" customHeight="1">
      <c r="A229" s="1"/>
      <c r="B229" s="1"/>
      <c r="C229" s="2"/>
      <c r="D229" s="1"/>
      <c r="E229" s="1"/>
      <c r="F229" s="1"/>
      <c r="G229" s="1"/>
      <c r="H229" s="1"/>
      <c r="I229" s="1"/>
      <c r="J229" s="1"/>
      <c r="K229" s="1"/>
      <c r="L229" s="1"/>
      <c r="M229" s="1"/>
      <c r="N229" s="1"/>
      <c r="O229" s="1"/>
      <c r="P229" s="1"/>
      <c r="Q229" s="1"/>
      <c r="R229" s="1"/>
      <c r="S229" s="1"/>
      <c r="T229" s="1"/>
      <c r="U229" s="1"/>
      <c r="V229" s="1"/>
    </row>
    <row r="230" ht="11.25" customHeight="1">
      <c r="A230" s="1"/>
      <c r="B230" s="1"/>
      <c r="C230" s="2"/>
      <c r="D230" s="1"/>
      <c r="E230" s="1"/>
      <c r="F230" s="1"/>
      <c r="G230" s="1"/>
      <c r="H230" s="1"/>
      <c r="I230" s="1"/>
      <c r="J230" s="1"/>
      <c r="K230" s="1"/>
      <c r="L230" s="1"/>
      <c r="M230" s="1"/>
      <c r="N230" s="1"/>
      <c r="O230" s="1"/>
      <c r="P230" s="1"/>
      <c r="Q230" s="1"/>
      <c r="R230" s="1"/>
      <c r="S230" s="1"/>
      <c r="T230" s="1"/>
      <c r="U230" s="1"/>
      <c r="V230" s="1"/>
    </row>
    <row r="231" ht="11.25" customHeight="1">
      <c r="A231" s="1"/>
      <c r="B231" s="1"/>
      <c r="C231" s="2"/>
      <c r="D231" s="1"/>
      <c r="E231" s="1"/>
      <c r="F231" s="1"/>
      <c r="G231" s="1"/>
      <c r="H231" s="1"/>
      <c r="I231" s="1"/>
      <c r="J231" s="1"/>
      <c r="K231" s="1"/>
      <c r="L231" s="1"/>
      <c r="M231" s="1"/>
      <c r="N231" s="1"/>
      <c r="O231" s="1"/>
      <c r="P231" s="1"/>
      <c r="Q231" s="1"/>
      <c r="R231" s="1"/>
      <c r="S231" s="1"/>
      <c r="T231" s="1"/>
      <c r="U231" s="1"/>
      <c r="V231" s="1"/>
    </row>
    <row r="232" ht="11.25" customHeight="1">
      <c r="A232" s="1"/>
      <c r="B232" s="1"/>
      <c r="C232" s="2"/>
      <c r="D232" s="1"/>
      <c r="E232" s="1"/>
      <c r="F232" s="1"/>
      <c r="G232" s="1"/>
      <c r="H232" s="1"/>
      <c r="I232" s="1"/>
      <c r="J232" s="1"/>
      <c r="K232" s="1"/>
      <c r="L232" s="1"/>
      <c r="M232" s="1"/>
      <c r="N232" s="1"/>
      <c r="O232" s="1"/>
      <c r="P232" s="1"/>
      <c r="Q232" s="1"/>
      <c r="R232" s="1"/>
      <c r="S232" s="1"/>
      <c r="T232" s="1"/>
      <c r="U232" s="1"/>
      <c r="V232" s="1"/>
    </row>
    <row r="233" ht="11.25" customHeight="1">
      <c r="A233" s="1"/>
      <c r="B233" s="1"/>
      <c r="C233" s="2"/>
      <c r="D233" s="1"/>
      <c r="E233" s="1"/>
      <c r="F233" s="1"/>
      <c r="G233" s="1"/>
      <c r="H233" s="1"/>
      <c r="I233" s="1"/>
      <c r="J233" s="1"/>
      <c r="K233" s="1"/>
      <c r="L233" s="1"/>
      <c r="M233" s="1"/>
      <c r="N233" s="1"/>
      <c r="O233" s="1"/>
      <c r="P233" s="1"/>
      <c r="Q233" s="1"/>
      <c r="R233" s="1"/>
      <c r="S233" s="1"/>
      <c r="T233" s="1"/>
      <c r="U233" s="1"/>
      <c r="V233" s="1"/>
    </row>
    <row r="234" ht="11.25" customHeight="1">
      <c r="A234" s="1"/>
      <c r="B234" s="1"/>
      <c r="C234" s="2"/>
      <c r="D234" s="1"/>
      <c r="E234" s="1"/>
      <c r="F234" s="1"/>
      <c r="G234" s="1"/>
      <c r="H234" s="1"/>
      <c r="I234" s="1"/>
      <c r="J234" s="1"/>
      <c r="K234" s="1"/>
      <c r="L234" s="1"/>
      <c r="M234" s="1"/>
      <c r="N234" s="1"/>
      <c r="O234" s="1"/>
      <c r="P234" s="1"/>
      <c r="Q234" s="1"/>
      <c r="R234" s="1"/>
      <c r="S234" s="1"/>
      <c r="T234" s="1"/>
      <c r="U234" s="1"/>
      <c r="V234" s="1"/>
    </row>
    <row r="235" ht="11.25" customHeight="1">
      <c r="A235" s="1"/>
      <c r="B235" s="1"/>
      <c r="C235" s="2"/>
      <c r="D235" s="1"/>
      <c r="E235" s="1"/>
      <c r="F235" s="1"/>
      <c r="G235" s="1"/>
      <c r="H235" s="1"/>
      <c r="I235" s="1"/>
      <c r="J235" s="1"/>
      <c r="K235" s="1"/>
      <c r="L235" s="1"/>
      <c r="M235" s="1"/>
      <c r="N235" s="1"/>
      <c r="O235" s="1"/>
      <c r="P235" s="1"/>
      <c r="Q235" s="1"/>
      <c r="R235" s="1"/>
      <c r="S235" s="1"/>
      <c r="T235" s="1"/>
      <c r="U235" s="1"/>
      <c r="V235" s="1"/>
    </row>
    <row r="236" ht="11.25" customHeight="1">
      <c r="A236" s="1"/>
      <c r="B236" s="1"/>
      <c r="C236" s="2"/>
      <c r="D236" s="1"/>
      <c r="E236" s="1"/>
      <c r="F236" s="1"/>
      <c r="G236" s="1"/>
      <c r="H236" s="1"/>
      <c r="I236" s="1"/>
      <c r="J236" s="1"/>
      <c r="K236" s="1"/>
      <c r="L236" s="1"/>
      <c r="M236" s="1"/>
      <c r="N236" s="1"/>
      <c r="O236" s="1"/>
      <c r="P236" s="1"/>
      <c r="Q236" s="1"/>
      <c r="R236" s="1"/>
      <c r="S236" s="1"/>
      <c r="T236" s="1"/>
      <c r="U236" s="1"/>
      <c r="V236" s="1"/>
    </row>
    <row r="237" ht="11.25" customHeight="1">
      <c r="A237" s="1"/>
      <c r="B237" s="1"/>
      <c r="C237" s="2"/>
      <c r="D237" s="1"/>
      <c r="E237" s="1"/>
      <c r="F237" s="1"/>
      <c r="G237" s="1"/>
      <c r="H237" s="1"/>
      <c r="I237" s="1"/>
      <c r="J237" s="1"/>
      <c r="K237" s="1"/>
      <c r="L237" s="1"/>
      <c r="M237" s="1"/>
      <c r="N237" s="1"/>
      <c r="O237" s="1"/>
      <c r="P237" s="1"/>
      <c r="Q237" s="1"/>
      <c r="R237" s="1"/>
      <c r="S237" s="1"/>
      <c r="T237" s="1"/>
      <c r="U237" s="1"/>
      <c r="V237" s="1"/>
    </row>
    <row r="238" ht="11.25" customHeight="1">
      <c r="A238" s="1"/>
      <c r="B238" s="1"/>
      <c r="C238" s="2"/>
      <c r="D238" s="1"/>
      <c r="E238" s="1"/>
      <c r="F238" s="1"/>
      <c r="G238" s="1"/>
      <c r="H238" s="1"/>
      <c r="I238" s="1"/>
      <c r="J238" s="1"/>
      <c r="K238" s="1"/>
      <c r="L238" s="1"/>
      <c r="M238" s="1"/>
      <c r="N238" s="1"/>
      <c r="O238" s="1"/>
      <c r="P238" s="1"/>
      <c r="Q238" s="1"/>
      <c r="R238" s="1"/>
      <c r="S238" s="1"/>
      <c r="T238" s="1"/>
      <c r="U238" s="1"/>
      <c r="V238" s="1"/>
    </row>
    <row r="239" ht="11.25" customHeight="1">
      <c r="A239" s="1"/>
      <c r="B239" s="1"/>
      <c r="C239" s="2"/>
      <c r="D239" s="1"/>
      <c r="E239" s="1"/>
      <c r="F239" s="1"/>
      <c r="G239" s="1"/>
      <c r="H239" s="1"/>
      <c r="I239" s="1"/>
      <c r="J239" s="1"/>
      <c r="K239" s="1"/>
      <c r="L239" s="1"/>
      <c r="M239" s="1"/>
      <c r="N239" s="1"/>
      <c r="O239" s="1"/>
      <c r="P239" s="1"/>
      <c r="Q239" s="1"/>
      <c r="R239" s="1"/>
      <c r="S239" s="1"/>
      <c r="T239" s="1"/>
      <c r="U239" s="1"/>
      <c r="V239" s="1"/>
    </row>
    <row r="240" ht="11.25" customHeight="1">
      <c r="A240" s="1"/>
      <c r="B240" s="1"/>
      <c r="C240" s="2"/>
      <c r="D240" s="1"/>
      <c r="E240" s="1"/>
      <c r="F240" s="1"/>
      <c r="G240" s="1"/>
      <c r="H240" s="1"/>
      <c r="I240" s="1"/>
      <c r="J240" s="1"/>
      <c r="K240" s="1"/>
      <c r="L240" s="1"/>
      <c r="M240" s="1"/>
      <c r="N240" s="1"/>
      <c r="O240" s="1"/>
      <c r="P240" s="1"/>
      <c r="Q240" s="1"/>
      <c r="R240" s="1"/>
      <c r="S240" s="1"/>
      <c r="T240" s="1"/>
      <c r="U240" s="1"/>
      <c r="V240" s="1"/>
    </row>
    <row r="241" ht="11.25" customHeight="1">
      <c r="A241" s="1"/>
      <c r="B241" s="1"/>
      <c r="C241" s="2"/>
      <c r="D241" s="1"/>
      <c r="E241" s="1"/>
      <c r="F241" s="1"/>
      <c r="G241" s="1"/>
      <c r="H241" s="1"/>
      <c r="I241" s="1"/>
      <c r="J241" s="1"/>
      <c r="K241" s="1"/>
      <c r="L241" s="1"/>
      <c r="M241" s="1"/>
      <c r="N241" s="1"/>
      <c r="O241" s="1"/>
      <c r="P241" s="1"/>
      <c r="Q241" s="1"/>
      <c r="R241" s="1"/>
      <c r="S241" s="1"/>
      <c r="T241" s="1"/>
      <c r="U241" s="1"/>
      <c r="V241" s="1"/>
    </row>
    <row r="242" ht="11.25" customHeight="1">
      <c r="A242" s="1"/>
      <c r="B242" s="1"/>
      <c r="C242" s="2"/>
      <c r="D242" s="1"/>
      <c r="E242" s="1"/>
      <c r="F242" s="1"/>
      <c r="G242" s="1"/>
      <c r="H242" s="1"/>
      <c r="I242" s="1"/>
      <c r="J242" s="1"/>
      <c r="K242" s="1"/>
      <c r="L242" s="1"/>
      <c r="M242" s="1"/>
      <c r="N242" s="1"/>
      <c r="O242" s="1"/>
      <c r="P242" s="1"/>
      <c r="Q242" s="1"/>
      <c r="R242" s="1"/>
      <c r="S242" s="1"/>
      <c r="T242" s="1"/>
      <c r="U242" s="1"/>
      <c r="V242" s="1"/>
    </row>
    <row r="243" ht="11.25" customHeight="1">
      <c r="A243" s="1"/>
      <c r="B243" s="1"/>
      <c r="C243" s="2"/>
      <c r="D243" s="1"/>
      <c r="E243" s="1"/>
      <c r="F243" s="1"/>
      <c r="G243" s="1"/>
      <c r="H243" s="1"/>
      <c r="I243" s="1"/>
      <c r="J243" s="1"/>
      <c r="K243" s="1"/>
      <c r="L243" s="1"/>
      <c r="M243" s="1"/>
      <c r="N243" s="1"/>
      <c r="O243" s="1"/>
      <c r="P243" s="1"/>
      <c r="Q243" s="1"/>
      <c r="R243" s="1"/>
      <c r="S243" s="1"/>
      <c r="T243" s="1"/>
      <c r="U243" s="1"/>
      <c r="V243" s="1"/>
    </row>
    <row r="244" ht="11.25" customHeight="1">
      <c r="A244" s="1"/>
      <c r="B244" s="1"/>
      <c r="C244" s="2"/>
      <c r="D244" s="1"/>
      <c r="E244" s="1"/>
      <c r="F244" s="1"/>
      <c r="G244" s="1"/>
      <c r="H244" s="1"/>
      <c r="I244" s="1"/>
      <c r="J244" s="1"/>
      <c r="K244" s="1"/>
      <c r="L244" s="1"/>
      <c r="M244" s="1"/>
      <c r="N244" s="1"/>
      <c r="O244" s="1"/>
      <c r="P244" s="1"/>
      <c r="Q244" s="1"/>
      <c r="R244" s="1"/>
      <c r="S244" s="1"/>
      <c r="T244" s="1"/>
      <c r="U244" s="1"/>
      <c r="V244" s="1"/>
    </row>
    <row r="245" ht="11.25" customHeight="1">
      <c r="A245" s="1"/>
      <c r="B245" s="1"/>
      <c r="C245" s="2"/>
      <c r="D245" s="1"/>
      <c r="E245" s="1"/>
      <c r="F245" s="1"/>
      <c r="G245" s="1"/>
      <c r="H245" s="1"/>
      <c r="I245" s="1"/>
      <c r="J245" s="1"/>
      <c r="K245" s="1"/>
      <c r="L245" s="1"/>
      <c r="M245" s="1"/>
      <c r="N245" s="1"/>
      <c r="O245" s="1"/>
      <c r="P245" s="1"/>
      <c r="Q245" s="1"/>
      <c r="R245" s="1"/>
      <c r="S245" s="1"/>
      <c r="T245" s="1"/>
      <c r="U245" s="1"/>
      <c r="V245" s="1"/>
    </row>
    <row r="246" ht="11.25" customHeight="1">
      <c r="A246" s="1"/>
      <c r="B246" s="1"/>
      <c r="C246" s="2"/>
      <c r="D246" s="1"/>
      <c r="E246" s="1"/>
      <c r="F246" s="1"/>
      <c r="G246" s="1"/>
      <c r="H246" s="1"/>
      <c r="I246" s="1"/>
      <c r="J246" s="1"/>
      <c r="K246" s="1"/>
      <c r="L246" s="1"/>
      <c r="M246" s="1"/>
      <c r="N246" s="1"/>
      <c r="O246" s="1"/>
      <c r="P246" s="1"/>
      <c r="Q246" s="1"/>
      <c r="R246" s="1"/>
      <c r="S246" s="1"/>
      <c r="T246" s="1"/>
      <c r="U246" s="1"/>
      <c r="V246" s="1"/>
    </row>
    <row r="247" ht="11.25" customHeight="1">
      <c r="A247" s="1"/>
      <c r="B247" s="1"/>
      <c r="C247" s="2"/>
      <c r="D247" s="1"/>
      <c r="E247" s="1"/>
      <c r="F247" s="1"/>
      <c r="G247" s="1"/>
      <c r="H247" s="1"/>
      <c r="I247" s="1"/>
      <c r="J247" s="1"/>
      <c r="K247" s="1"/>
      <c r="L247" s="1"/>
      <c r="M247" s="1"/>
      <c r="N247" s="1"/>
      <c r="O247" s="1"/>
      <c r="P247" s="1"/>
      <c r="Q247" s="1"/>
      <c r="R247" s="1"/>
      <c r="S247" s="1"/>
      <c r="T247" s="1"/>
      <c r="U247" s="1"/>
      <c r="V247" s="1"/>
    </row>
    <row r="248" ht="11.25" customHeight="1">
      <c r="A248" s="1"/>
      <c r="B248" s="1"/>
      <c r="C248" s="2"/>
      <c r="D248" s="1"/>
      <c r="E248" s="1"/>
      <c r="F248" s="1"/>
      <c r="G248" s="1"/>
      <c r="H248" s="1"/>
      <c r="I248" s="1"/>
      <c r="J248" s="1"/>
      <c r="K248" s="1"/>
      <c r="L248" s="1"/>
      <c r="M248" s="1"/>
      <c r="N248" s="1"/>
      <c r="O248" s="1"/>
      <c r="P248" s="1"/>
      <c r="Q248" s="1"/>
      <c r="R248" s="1"/>
      <c r="S248" s="1"/>
      <c r="T248" s="1"/>
      <c r="U248" s="1"/>
      <c r="V248" s="1"/>
    </row>
    <row r="249" ht="11.25" customHeight="1">
      <c r="A249" s="1"/>
      <c r="B249" s="1"/>
      <c r="C249" s="2"/>
      <c r="D249" s="1"/>
      <c r="E249" s="1"/>
      <c r="F249" s="1"/>
      <c r="G249" s="1"/>
      <c r="H249" s="1"/>
      <c r="I249" s="1"/>
      <c r="J249" s="1"/>
      <c r="K249" s="1"/>
      <c r="L249" s="1"/>
      <c r="M249" s="1"/>
      <c r="N249" s="1"/>
      <c r="O249" s="1"/>
      <c r="P249" s="1"/>
      <c r="Q249" s="1"/>
      <c r="R249" s="1"/>
      <c r="S249" s="1"/>
      <c r="T249" s="1"/>
      <c r="U249" s="1"/>
      <c r="V249" s="1"/>
    </row>
    <row r="250" ht="11.25" customHeight="1">
      <c r="A250" s="1"/>
      <c r="B250" s="1"/>
      <c r="C250" s="2"/>
      <c r="D250" s="1"/>
      <c r="E250" s="1"/>
      <c r="F250" s="1"/>
      <c r="G250" s="1"/>
      <c r="H250" s="1"/>
      <c r="I250" s="1"/>
      <c r="J250" s="1"/>
      <c r="K250" s="1"/>
      <c r="L250" s="1"/>
      <c r="M250" s="1"/>
      <c r="N250" s="1"/>
      <c r="O250" s="1"/>
      <c r="P250" s="1"/>
      <c r="Q250" s="1"/>
      <c r="R250" s="1"/>
      <c r="S250" s="1"/>
      <c r="T250" s="1"/>
      <c r="U250" s="1"/>
      <c r="V250" s="1"/>
    </row>
    <row r="251" ht="11.25" customHeight="1">
      <c r="A251" s="1"/>
      <c r="B251" s="1"/>
      <c r="C251" s="2"/>
      <c r="D251" s="1"/>
      <c r="E251" s="1"/>
      <c r="F251" s="1"/>
      <c r="G251" s="1"/>
      <c r="H251" s="1"/>
      <c r="I251" s="1"/>
      <c r="J251" s="1"/>
      <c r="K251" s="1"/>
      <c r="L251" s="1"/>
      <c r="M251" s="1"/>
      <c r="N251" s="1"/>
      <c r="O251" s="1"/>
      <c r="P251" s="1"/>
      <c r="Q251" s="1"/>
      <c r="R251" s="1"/>
      <c r="S251" s="1"/>
      <c r="T251" s="1"/>
      <c r="U251" s="1"/>
      <c r="V251" s="1"/>
    </row>
    <row r="252" ht="11.25" customHeight="1">
      <c r="A252" s="1"/>
      <c r="B252" s="1"/>
      <c r="C252" s="2"/>
      <c r="D252" s="1"/>
      <c r="E252" s="1"/>
      <c r="F252" s="1"/>
      <c r="G252" s="1"/>
      <c r="H252" s="1"/>
      <c r="I252" s="1"/>
      <c r="J252" s="1"/>
      <c r="K252" s="1"/>
      <c r="L252" s="1"/>
      <c r="M252" s="1"/>
      <c r="N252" s="1"/>
      <c r="O252" s="1"/>
      <c r="P252" s="1"/>
      <c r="Q252" s="1"/>
      <c r="R252" s="1"/>
      <c r="S252" s="1"/>
      <c r="T252" s="1"/>
      <c r="U252" s="1"/>
      <c r="V252" s="1"/>
    </row>
    <row r="253" ht="11.25" customHeight="1">
      <c r="A253" s="1"/>
      <c r="B253" s="1"/>
      <c r="C253" s="2"/>
      <c r="D253" s="1"/>
      <c r="E253" s="1"/>
      <c r="F253" s="1"/>
      <c r="G253" s="1"/>
      <c r="H253" s="1"/>
      <c r="I253" s="1"/>
      <c r="J253" s="1"/>
      <c r="K253" s="1"/>
      <c r="L253" s="1"/>
      <c r="M253" s="1"/>
      <c r="N253" s="1"/>
      <c r="O253" s="1"/>
      <c r="P253" s="1"/>
      <c r="Q253" s="1"/>
      <c r="R253" s="1"/>
      <c r="S253" s="1"/>
      <c r="T253" s="1"/>
      <c r="U253" s="1"/>
      <c r="V253" s="1"/>
    </row>
    <row r="254" ht="11.25" customHeight="1">
      <c r="A254" s="1"/>
      <c r="B254" s="1"/>
      <c r="C254" s="2"/>
      <c r="D254" s="1"/>
      <c r="E254" s="1"/>
      <c r="F254" s="1"/>
      <c r="G254" s="1"/>
      <c r="H254" s="1"/>
      <c r="I254" s="1"/>
      <c r="J254" s="1"/>
      <c r="K254" s="1"/>
      <c r="L254" s="1"/>
      <c r="M254" s="1"/>
      <c r="N254" s="1"/>
      <c r="O254" s="1"/>
      <c r="P254" s="1"/>
      <c r="Q254" s="1"/>
      <c r="R254" s="1"/>
      <c r="S254" s="1"/>
      <c r="T254" s="1"/>
      <c r="U254" s="1"/>
      <c r="V254" s="1"/>
    </row>
    <row r="255" ht="11.25" customHeight="1">
      <c r="A255" s="1"/>
      <c r="B255" s="1"/>
      <c r="C255" s="2"/>
      <c r="D255" s="1"/>
      <c r="E255" s="1"/>
      <c r="F255" s="1"/>
      <c r="G255" s="1"/>
      <c r="H255" s="1"/>
      <c r="I255" s="1"/>
      <c r="J255" s="1"/>
      <c r="K255" s="1"/>
      <c r="L255" s="1"/>
      <c r="M255" s="1"/>
      <c r="N255" s="1"/>
      <c r="O255" s="1"/>
      <c r="P255" s="1"/>
      <c r="Q255" s="1"/>
      <c r="R255" s="1"/>
      <c r="S255" s="1"/>
      <c r="T255" s="1"/>
      <c r="U255" s="1"/>
      <c r="V255" s="1"/>
    </row>
    <row r="256" ht="11.25" customHeight="1">
      <c r="A256" s="1"/>
      <c r="B256" s="1"/>
      <c r="C256" s="2"/>
      <c r="D256" s="1"/>
      <c r="E256" s="1"/>
      <c r="F256" s="1"/>
      <c r="G256" s="1"/>
      <c r="H256" s="1"/>
      <c r="I256" s="1"/>
      <c r="J256" s="1"/>
      <c r="K256" s="1"/>
      <c r="L256" s="1"/>
      <c r="M256" s="1"/>
      <c r="N256" s="1"/>
      <c r="O256" s="1"/>
      <c r="P256" s="1"/>
      <c r="Q256" s="1"/>
      <c r="R256" s="1"/>
      <c r="S256" s="1"/>
      <c r="T256" s="1"/>
      <c r="U256" s="1"/>
      <c r="V256" s="1"/>
    </row>
    <row r="257" ht="11.25" customHeight="1">
      <c r="A257" s="1"/>
      <c r="B257" s="1"/>
      <c r="C257" s="2"/>
      <c r="D257" s="1"/>
      <c r="E257" s="1"/>
      <c r="F257" s="1"/>
      <c r="G257" s="1"/>
      <c r="H257" s="1"/>
      <c r="I257" s="1"/>
      <c r="J257" s="1"/>
      <c r="K257" s="1"/>
      <c r="L257" s="1"/>
      <c r="M257" s="1"/>
      <c r="N257" s="1"/>
      <c r="O257" s="1"/>
      <c r="P257" s="1"/>
      <c r="Q257" s="1"/>
      <c r="R257" s="1"/>
      <c r="S257" s="1"/>
      <c r="T257" s="1"/>
      <c r="U257" s="1"/>
      <c r="V257" s="1"/>
    </row>
    <row r="258" ht="11.25" customHeight="1">
      <c r="A258" s="1"/>
      <c r="B258" s="1"/>
      <c r="C258" s="2"/>
      <c r="D258" s="1"/>
      <c r="E258" s="1"/>
      <c r="F258" s="1"/>
      <c r="G258" s="1"/>
      <c r="H258" s="1"/>
      <c r="I258" s="1"/>
      <c r="J258" s="1"/>
      <c r="K258" s="1"/>
      <c r="L258" s="1"/>
      <c r="M258" s="1"/>
      <c r="N258" s="1"/>
      <c r="O258" s="1"/>
      <c r="P258" s="1"/>
      <c r="Q258" s="1"/>
      <c r="R258" s="1"/>
      <c r="S258" s="1"/>
      <c r="T258" s="1"/>
      <c r="U258" s="1"/>
      <c r="V258" s="1"/>
    </row>
    <row r="259" ht="11.25" customHeight="1">
      <c r="A259" s="1"/>
      <c r="B259" s="1"/>
      <c r="C259" s="2"/>
      <c r="D259" s="1"/>
      <c r="E259" s="1"/>
      <c r="F259" s="1"/>
      <c r="G259" s="1"/>
      <c r="H259" s="1"/>
      <c r="I259" s="1"/>
      <c r="J259" s="1"/>
      <c r="K259" s="1"/>
      <c r="L259" s="1"/>
      <c r="M259" s="1"/>
      <c r="N259" s="1"/>
      <c r="O259" s="1"/>
      <c r="P259" s="1"/>
      <c r="Q259" s="1"/>
      <c r="R259" s="1"/>
      <c r="S259" s="1"/>
      <c r="T259" s="1"/>
      <c r="U259" s="1"/>
      <c r="V259" s="1"/>
    </row>
    <row r="260" ht="11.25" customHeight="1">
      <c r="A260" s="1"/>
      <c r="B260" s="1"/>
      <c r="C260" s="2"/>
      <c r="D260" s="1"/>
      <c r="E260" s="1"/>
      <c r="F260" s="1"/>
      <c r="G260" s="1"/>
      <c r="H260" s="1"/>
      <c r="I260" s="1"/>
      <c r="J260" s="1"/>
      <c r="K260" s="1"/>
      <c r="L260" s="1"/>
      <c r="M260" s="1"/>
      <c r="N260" s="1"/>
      <c r="O260" s="1"/>
      <c r="P260" s="1"/>
      <c r="Q260" s="1"/>
      <c r="R260" s="1"/>
      <c r="S260" s="1"/>
      <c r="T260" s="1"/>
      <c r="U260" s="1"/>
      <c r="V260" s="1"/>
    </row>
    <row r="261" ht="11.25" customHeight="1">
      <c r="A261" s="1"/>
      <c r="B261" s="1"/>
      <c r="C261" s="2"/>
      <c r="D261" s="1"/>
      <c r="E261" s="1"/>
      <c r="F261" s="1"/>
      <c r="G261" s="1"/>
      <c r="H261" s="1"/>
      <c r="I261" s="1"/>
      <c r="J261" s="1"/>
      <c r="K261" s="1"/>
      <c r="L261" s="1"/>
      <c r="M261" s="1"/>
      <c r="N261" s="1"/>
      <c r="O261" s="1"/>
      <c r="P261" s="1"/>
      <c r="Q261" s="1"/>
      <c r="R261" s="1"/>
      <c r="S261" s="1"/>
      <c r="T261" s="1"/>
      <c r="U261" s="1"/>
      <c r="V261" s="1"/>
    </row>
    <row r="262" ht="11.25" customHeight="1">
      <c r="A262" s="1"/>
      <c r="B262" s="1"/>
      <c r="C262" s="2"/>
      <c r="D262" s="1"/>
      <c r="E262" s="1"/>
      <c r="F262" s="1"/>
      <c r="G262" s="1"/>
      <c r="H262" s="1"/>
      <c r="I262" s="1"/>
      <c r="J262" s="1"/>
      <c r="K262" s="1"/>
      <c r="L262" s="1"/>
      <c r="M262" s="1"/>
      <c r="N262" s="1"/>
      <c r="O262" s="1"/>
      <c r="P262" s="1"/>
      <c r="Q262" s="1"/>
      <c r="R262" s="1"/>
      <c r="S262" s="1"/>
      <c r="T262" s="1"/>
      <c r="U262" s="1"/>
      <c r="V262" s="1"/>
    </row>
    <row r="263" ht="11.25" customHeight="1">
      <c r="A263" s="1"/>
      <c r="B263" s="1"/>
      <c r="C263" s="2"/>
      <c r="D263" s="1"/>
      <c r="E263" s="1"/>
      <c r="F263" s="1"/>
      <c r="G263" s="1"/>
      <c r="H263" s="1"/>
      <c r="I263" s="1"/>
      <c r="J263" s="1"/>
      <c r="K263" s="1"/>
      <c r="L263" s="1"/>
      <c r="M263" s="1"/>
      <c r="N263" s="1"/>
      <c r="O263" s="1"/>
      <c r="P263" s="1"/>
      <c r="Q263" s="1"/>
      <c r="R263" s="1"/>
      <c r="S263" s="1"/>
      <c r="T263" s="1"/>
      <c r="U263" s="1"/>
      <c r="V263" s="1"/>
    </row>
    <row r="264" ht="11.25" customHeight="1">
      <c r="A264" s="1"/>
      <c r="B264" s="1"/>
      <c r="C264" s="2"/>
      <c r="D264" s="1"/>
      <c r="E264" s="1"/>
      <c r="F264" s="1"/>
      <c r="G264" s="1"/>
      <c r="H264" s="1"/>
      <c r="I264" s="1"/>
      <c r="J264" s="1"/>
      <c r="K264" s="1"/>
      <c r="L264" s="1"/>
      <c r="M264" s="1"/>
      <c r="N264" s="1"/>
      <c r="O264" s="1"/>
      <c r="P264" s="1"/>
      <c r="Q264" s="1"/>
      <c r="R264" s="1"/>
      <c r="S264" s="1"/>
      <c r="T264" s="1"/>
      <c r="U264" s="1"/>
      <c r="V264" s="1"/>
    </row>
    <row r="265" ht="11.25" customHeight="1">
      <c r="A265" s="1"/>
      <c r="B265" s="1"/>
      <c r="C265" s="2"/>
      <c r="D265" s="1"/>
      <c r="E265" s="1"/>
      <c r="F265" s="1"/>
      <c r="G265" s="1"/>
      <c r="H265" s="1"/>
      <c r="I265" s="1"/>
      <c r="J265" s="1"/>
      <c r="K265" s="1"/>
      <c r="L265" s="1"/>
      <c r="M265" s="1"/>
      <c r="N265" s="1"/>
      <c r="O265" s="1"/>
      <c r="P265" s="1"/>
      <c r="Q265" s="1"/>
      <c r="R265" s="1"/>
      <c r="S265" s="1"/>
      <c r="T265" s="1"/>
      <c r="U265" s="1"/>
      <c r="V265" s="1"/>
    </row>
    <row r="266" ht="11.25" customHeight="1">
      <c r="A266" s="1"/>
      <c r="B266" s="1"/>
      <c r="C266" s="2"/>
      <c r="D266" s="1"/>
      <c r="E266" s="1"/>
      <c r="F266" s="1"/>
      <c r="G266" s="1"/>
      <c r="H266" s="1"/>
      <c r="I266" s="1"/>
      <c r="J266" s="1"/>
      <c r="K266" s="1"/>
      <c r="L266" s="1"/>
      <c r="M266" s="1"/>
      <c r="N266" s="1"/>
      <c r="O266" s="1"/>
      <c r="P266" s="1"/>
      <c r="Q266" s="1"/>
      <c r="R266" s="1"/>
      <c r="S266" s="1"/>
      <c r="T266" s="1"/>
      <c r="U266" s="1"/>
      <c r="V266" s="1"/>
    </row>
    <row r="267" ht="11.25" customHeight="1">
      <c r="A267" s="1"/>
      <c r="B267" s="1"/>
      <c r="C267" s="2"/>
      <c r="D267" s="1"/>
      <c r="E267" s="1"/>
      <c r="F267" s="1"/>
      <c r="G267" s="1"/>
      <c r="H267" s="1"/>
      <c r="I267" s="1"/>
      <c r="J267" s="1"/>
      <c r="K267" s="1"/>
      <c r="L267" s="1"/>
      <c r="M267" s="1"/>
      <c r="N267" s="1"/>
      <c r="O267" s="1"/>
      <c r="P267" s="1"/>
      <c r="Q267" s="1"/>
      <c r="R267" s="1"/>
      <c r="S267" s="1"/>
      <c r="T267" s="1"/>
      <c r="U267" s="1"/>
      <c r="V267" s="1"/>
    </row>
    <row r="268" ht="11.25" customHeight="1">
      <c r="A268" s="1"/>
      <c r="B268" s="1"/>
      <c r="C268" s="2"/>
      <c r="D268" s="1"/>
      <c r="E268" s="1"/>
      <c r="F268" s="1"/>
      <c r="G268" s="1"/>
      <c r="H268" s="1"/>
      <c r="I268" s="1"/>
      <c r="J268" s="1"/>
      <c r="K268" s="1"/>
      <c r="L268" s="1"/>
      <c r="M268" s="1"/>
      <c r="N268" s="1"/>
      <c r="O268" s="1"/>
      <c r="P268" s="1"/>
      <c r="Q268" s="1"/>
      <c r="R268" s="1"/>
      <c r="S268" s="1"/>
      <c r="T268" s="1"/>
      <c r="U268" s="1"/>
      <c r="V268" s="1"/>
    </row>
    <row r="269" ht="11.25" customHeight="1">
      <c r="A269" s="1"/>
      <c r="B269" s="1"/>
      <c r="C269" s="2"/>
      <c r="D269" s="1"/>
      <c r="E269" s="1"/>
      <c r="F269" s="1"/>
      <c r="G269" s="1"/>
      <c r="H269" s="1"/>
      <c r="I269" s="1"/>
      <c r="J269" s="1"/>
      <c r="K269" s="1"/>
      <c r="L269" s="1"/>
      <c r="M269" s="1"/>
      <c r="N269" s="1"/>
      <c r="O269" s="1"/>
      <c r="P269" s="1"/>
      <c r="Q269" s="1"/>
      <c r="R269" s="1"/>
      <c r="S269" s="1"/>
      <c r="T269" s="1"/>
      <c r="U269" s="1"/>
      <c r="V269" s="1"/>
    </row>
    <row r="270" ht="11.25" customHeight="1">
      <c r="A270" s="1"/>
      <c r="B270" s="1"/>
      <c r="C270" s="2"/>
      <c r="D270" s="1"/>
      <c r="E270" s="1"/>
      <c r="F270" s="1"/>
      <c r="G270" s="1"/>
      <c r="H270" s="1"/>
      <c r="I270" s="1"/>
      <c r="J270" s="1"/>
      <c r="K270" s="1"/>
      <c r="L270" s="1"/>
      <c r="M270" s="1"/>
      <c r="N270" s="1"/>
      <c r="O270" s="1"/>
      <c r="P270" s="1"/>
      <c r="Q270" s="1"/>
      <c r="R270" s="1"/>
      <c r="S270" s="1"/>
      <c r="T270" s="1"/>
      <c r="U270" s="1"/>
      <c r="V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sheetData>
  <mergeCells count="53">
    <mergeCell ref="P9:P10"/>
    <mergeCell ref="Q9:Q10"/>
    <mergeCell ref="R9:R10"/>
    <mergeCell ref="S9:S10"/>
    <mergeCell ref="T9:T10"/>
    <mergeCell ref="U9:U10"/>
    <mergeCell ref="P7:Q7"/>
    <mergeCell ref="R7:S7"/>
    <mergeCell ref="T7:U7"/>
    <mergeCell ref="V7:V10"/>
    <mergeCell ref="P8:Q8"/>
    <mergeCell ref="R8:S8"/>
    <mergeCell ref="T8:U8"/>
    <mergeCell ref="L7:M7"/>
    <mergeCell ref="N7:O7"/>
    <mergeCell ref="L8:M8"/>
    <mergeCell ref="N8:O8"/>
    <mergeCell ref="M1:T1"/>
    <mergeCell ref="A2:T2"/>
    <mergeCell ref="A3:T3"/>
    <mergeCell ref="A4:T4"/>
    <mergeCell ref="O6:Q6"/>
    <mergeCell ref="D7:E7"/>
    <mergeCell ref="F7:G7"/>
    <mergeCell ref="D9:D10"/>
    <mergeCell ref="E9:E10"/>
    <mergeCell ref="A68:C68"/>
    <mergeCell ref="D68:E68"/>
    <mergeCell ref="F9:F10"/>
    <mergeCell ref="G9:G10"/>
    <mergeCell ref="F68:G68"/>
    <mergeCell ref="J9:J10"/>
    <mergeCell ref="K9:K10"/>
    <mergeCell ref="L9:L10"/>
    <mergeCell ref="M9:M10"/>
    <mergeCell ref="N9:N10"/>
    <mergeCell ref="O9:O10"/>
    <mergeCell ref="H7:I7"/>
    <mergeCell ref="J7:K7"/>
    <mergeCell ref="D8:E8"/>
    <mergeCell ref="F8:G8"/>
    <mergeCell ref="H8:I8"/>
    <mergeCell ref="J8:K8"/>
    <mergeCell ref="C9:C10"/>
    <mergeCell ref="R68:S68"/>
    <mergeCell ref="T68:U68"/>
    <mergeCell ref="H9:H10"/>
    <mergeCell ref="I9:I10"/>
    <mergeCell ref="H68:I68"/>
    <mergeCell ref="J68:K68"/>
    <mergeCell ref="L68:M68"/>
    <mergeCell ref="N68:O68"/>
    <mergeCell ref="P68:Q68"/>
  </mergeCells>
  <printOptions horizontalCentered="1"/>
  <pageMargins bottom="0.25" footer="0.0" header="0.0" left="0.0" right="0.25" top="0.5"/>
  <pageSetup paperSize="9" scale="95"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7.38"/>
    <col customWidth="1" min="3" max="3" width="22.63"/>
    <col customWidth="1" min="4" max="4" width="28.25"/>
    <col customWidth="1" min="5" max="5" width="18.38"/>
  </cols>
  <sheetData>
    <row r="3">
      <c r="C3" s="91" t="s">
        <v>149</v>
      </c>
      <c r="D3" s="91" t="s">
        <v>150</v>
      </c>
      <c r="E3" s="91" t="s">
        <v>151</v>
      </c>
    </row>
    <row r="4">
      <c r="A4" s="92" t="s">
        <v>24</v>
      </c>
      <c r="B4" s="93" t="s">
        <v>25</v>
      </c>
      <c r="C4" s="94"/>
      <c r="D4" s="94"/>
      <c r="E4" s="94"/>
    </row>
    <row r="5">
      <c r="A5" s="92" t="s">
        <v>26</v>
      </c>
      <c r="B5" s="93" t="s">
        <v>27</v>
      </c>
      <c r="C5" s="94"/>
      <c r="D5" s="94"/>
      <c r="E5" s="94"/>
    </row>
    <row r="6">
      <c r="A6" s="92" t="s">
        <v>28</v>
      </c>
      <c r="B6" s="93" t="s">
        <v>29</v>
      </c>
      <c r="C6" s="94"/>
      <c r="D6" s="94"/>
      <c r="E6" s="94"/>
    </row>
    <row r="7">
      <c r="A7" s="92" t="s">
        <v>30</v>
      </c>
      <c r="B7" s="93" t="s">
        <v>31</v>
      </c>
      <c r="C7" s="94"/>
      <c r="D7" s="94"/>
      <c r="E7" s="94"/>
    </row>
    <row r="8">
      <c r="A8" s="92" t="s">
        <v>32</v>
      </c>
      <c r="B8" s="93" t="s">
        <v>33</v>
      </c>
      <c r="C8" s="94"/>
      <c r="D8" s="94"/>
      <c r="E8" s="94"/>
    </row>
    <row r="9">
      <c r="A9" s="92" t="s">
        <v>34</v>
      </c>
      <c r="B9" s="93" t="s">
        <v>35</v>
      </c>
      <c r="C9" s="94"/>
      <c r="D9" s="94"/>
      <c r="E9" s="94"/>
    </row>
    <row r="10">
      <c r="A10" s="92" t="s">
        <v>36</v>
      </c>
      <c r="B10" s="93" t="s">
        <v>37</v>
      </c>
      <c r="C10" s="94"/>
      <c r="D10" s="94"/>
      <c r="E10" s="94"/>
    </row>
    <row r="11">
      <c r="A11" s="92" t="s">
        <v>38</v>
      </c>
      <c r="B11" s="93" t="s">
        <v>39</v>
      </c>
      <c r="C11" s="94"/>
      <c r="D11" s="94"/>
      <c r="E11" s="94"/>
    </row>
    <row r="12">
      <c r="A12" s="92" t="s">
        <v>40</v>
      </c>
      <c r="B12" s="93" t="s">
        <v>41</v>
      </c>
      <c r="C12" s="94"/>
      <c r="D12" s="94"/>
      <c r="E12" s="94"/>
    </row>
    <row r="13">
      <c r="A13" s="92" t="s">
        <v>42</v>
      </c>
      <c r="B13" s="93" t="s">
        <v>43</v>
      </c>
      <c r="C13" s="94"/>
      <c r="D13" s="94"/>
      <c r="E13" s="94"/>
    </row>
    <row r="14">
      <c r="A14" s="92" t="s">
        <v>44</v>
      </c>
      <c r="B14" s="93" t="s">
        <v>45</v>
      </c>
      <c r="C14" s="95" t="s">
        <v>152</v>
      </c>
      <c r="D14" s="94"/>
      <c r="E14" s="94"/>
    </row>
    <row r="15">
      <c r="A15" s="92" t="s">
        <v>46</v>
      </c>
      <c r="B15" s="93" t="s">
        <v>47</v>
      </c>
      <c r="C15" s="94"/>
      <c r="D15" s="96" t="s">
        <v>153</v>
      </c>
      <c r="E15" s="94"/>
    </row>
    <row r="16">
      <c r="A16" s="92" t="s">
        <v>48</v>
      </c>
      <c r="B16" s="93" t="s">
        <v>49</v>
      </c>
      <c r="C16" s="94"/>
      <c r="D16" s="97" t="s">
        <v>154</v>
      </c>
      <c r="E16" s="94"/>
    </row>
    <row r="17">
      <c r="A17" s="92" t="s">
        <v>50</v>
      </c>
      <c r="B17" s="93" t="s">
        <v>51</v>
      </c>
      <c r="C17" s="94"/>
      <c r="D17" s="97" t="s">
        <v>155</v>
      </c>
      <c r="E17" s="94"/>
    </row>
    <row r="18">
      <c r="A18" s="92" t="s">
        <v>52</v>
      </c>
      <c r="B18" s="93" t="s">
        <v>53</v>
      </c>
      <c r="C18" s="98" t="s">
        <v>156</v>
      </c>
      <c r="D18" s="94"/>
      <c r="E18" s="94"/>
    </row>
    <row r="19">
      <c r="A19" s="92" t="s">
        <v>54</v>
      </c>
      <c r="B19" s="93" t="s">
        <v>55</v>
      </c>
      <c r="C19" s="96" t="s">
        <v>157</v>
      </c>
      <c r="D19" s="94"/>
      <c r="E19" s="94"/>
    </row>
    <row r="20">
      <c r="A20" s="92" t="s">
        <v>56</v>
      </c>
      <c r="B20" s="93" t="s">
        <v>57</v>
      </c>
      <c r="C20" s="94"/>
      <c r="D20" s="94"/>
      <c r="E20" s="94"/>
    </row>
    <row r="21">
      <c r="A21" s="92" t="s">
        <v>58</v>
      </c>
      <c r="B21" s="93" t="s">
        <v>59</v>
      </c>
      <c r="C21" s="94"/>
      <c r="D21" s="97" t="s">
        <v>158</v>
      </c>
      <c r="E21" s="94"/>
    </row>
    <row r="22">
      <c r="A22" s="92" t="s">
        <v>60</v>
      </c>
      <c r="B22" s="93" t="s">
        <v>61</v>
      </c>
      <c r="C22" s="94"/>
      <c r="D22" s="94"/>
      <c r="E22" s="94"/>
    </row>
    <row r="23">
      <c r="A23" s="92" t="s">
        <v>62</v>
      </c>
      <c r="B23" s="93" t="s">
        <v>63</v>
      </c>
      <c r="C23" s="94"/>
      <c r="D23" s="94" t="s">
        <v>159</v>
      </c>
      <c r="E23" s="94"/>
    </row>
    <row r="24">
      <c r="A24" s="92" t="s">
        <v>64</v>
      </c>
      <c r="B24" s="93" t="s">
        <v>65</v>
      </c>
      <c r="C24" s="97"/>
      <c r="D24" s="98" t="s">
        <v>160</v>
      </c>
      <c r="E24" s="97"/>
    </row>
    <row r="25">
      <c r="A25" s="92" t="s">
        <v>66</v>
      </c>
      <c r="B25" s="93" t="s">
        <v>67</v>
      </c>
      <c r="C25" s="95" t="s">
        <v>161</v>
      </c>
      <c r="D25" s="94"/>
      <c r="E25" s="94"/>
    </row>
    <row r="26">
      <c r="A26" s="92" t="s">
        <v>68</v>
      </c>
      <c r="B26" s="93" t="s">
        <v>69</v>
      </c>
      <c r="C26" s="94"/>
      <c r="D26" s="96" t="s">
        <v>162</v>
      </c>
      <c r="E26" s="94"/>
    </row>
    <row r="27">
      <c r="A27" s="92" t="s">
        <v>70</v>
      </c>
      <c r="B27" s="93" t="s">
        <v>71</v>
      </c>
      <c r="C27" s="94"/>
      <c r="D27" s="99" t="s">
        <v>163</v>
      </c>
      <c r="E27" s="94"/>
    </row>
    <row r="28">
      <c r="A28" s="92" t="s">
        <v>72</v>
      </c>
      <c r="B28" s="93" t="s">
        <v>73</v>
      </c>
      <c r="C28" s="94"/>
      <c r="D28" s="94"/>
      <c r="E28" s="94"/>
    </row>
    <row r="29">
      <c r="A29" s="92" t="s">
        <v>74</v>
      </c>
      <c r="B29" s="93" t="s">
        <v>75</v>
      </c>
      <c r="C29" s="94"/>
      <c r="D29" s="99" t="s">
        <v>164</v>
      </c>
      <c r="E29" s="94"/>
    </row>
    <row r="30">
      <c r="A30" s="92" t="s">
        <v>76</v>
      </c>
      <c r="B30" s="93" t="s">
        <v>77</v>
      </c>
      <c r="C30" s="94"/>
      <c r="D30" s="97" t="s">
        <v>165</v>
      </c>
      <c r="E30" s="94"/>
    </row>
    <row r="31">
      <c r="A31" s="92" t="s">
        <v>78</v>
      </c>
      <c r="B31" s="93" t="s">
        <v>79</v>
      </c>
      <c r="C31" s="95" t="s">
        <v>166</v>
      </c>
      <c r="D31" s="94"/>
      <c r="E31" s="94"/>
    </row>
    <row r="32">
      <c r="A32" s="92" t="s">
        <v>80</v>
      </c>
      <c r="B32" s="93" t="s">
        <v>81</v>
      </c>
      <c r="C32" s="94"/>
      <c r="D32" s="94"/>
      <c r="E32" s="94"/>
    </row>
    <row r="33">
      <c r="A33" s="92" t="s">
        <v>82</v>
      </c>
      <c r="B33" s="93" t="s">
        <v>83</v>
      </c>
      <c r="C33" s="95" t="s">
        <v>167</v>
      </c>
      <c r="D33" s="94"/>
      <c r="E33" s="94"/>
    </row>
    <row r="34">
      <c r="A34" s="92" t="s">
        <v>84</v>
      </c>
      <c r="B34" s="93" t="s">
        <v>85</v>
      </c>
      <c r="C34" s="94"/>
      <c r="D34" s="94" t="s">
        <v>159</v>
      </c>
      <c r="E34" s="94"/>
    </row>
    <row r="35">
      <c r="A35" s="92" t="s">
        <v>86</v>
      </c>
      <c r="B35" s="93" t="s">
        <v>87</v>
      </c>
      <c r="C35" s="94"/>
      <c r="D35" s="97" t="s">
        <v>165</v>
      </c>
      <c r="E35" s="94"/>
    </row>
    <row r="36">
      <c r="A36" s="92" t="s">
        <v>88</v>
      </c>
      <c r="B36" s="93" t="s">
        <v>89</v>
      </c>
      <c r="C36" s="94"/>
      <c r="D36" s="97" t="s">
        <v>168</v>
      </c>
      <c r="E36" s="94"/>
    </row>
    <row r="37">
      <c r="A37" s="92" t="s">
        <v>90</v>
      </c>
      <c r="B37" s="93" t="s">
        <v>91</v>
      </c>
      <c r="C37" s="94"/>
      <c r="D37" s="94" t="s">
        <v>159</v>
      </c>
      <c r="E37" s="94"/>
    </row>
    <row r="38">
      <c r="A38" s="92" t="s">
        <v>92</v>
      </c>
      <c r="B38" s="93" t="s">
        <v>93</v>
      </c>
      <c r="C38" s="94"/>
      <c r="D38" s="97" t="s">
        <v>155</v>
      </c>
      <c r="E38" s="94"/>
    </row>
    <row r="39">
      <c r="A39" s="92" t="s">
        <v>94</v>
      </c>
      <c r="B39" s="100" t="s">
        <v>95</v>
      </c>
      <c r="C39" s="94"/>
      <c r="D39" s="94"/>
      <c r="E39" s="94"/>
    </row>
    <row r="40">
      <c r="A40" s="92" t="s">
        <v>96</v>
      </c>
      <c r="B40" s="93" t="s">
        <v>97</v>
      </c>
      <c r="C40" s="94"/>
      <c r="D40" s="98" t="s">
        <v>169</v>
      </c>
      <c r="E40" s="94"/>
    </row>
    <row r="41">
      <c r="A41" s="92" t="s">
        <v>98</v>
      </c>
      <c r="B41" s="93" t="s">
        <v>99</v>
      </c>
      <c r="C41" s="96" t="s">
        <v>170</v>
      </c>
      <c r="D41" s="94"/>
      <c r="E41" s="94"/>
    </row>
    <row r="42">
      <c r="A42" s="92" t="s">
        <v>100</v>
      </c>
      <c r="B42" s="93" t="s">
        <v>101</v>
      </c>
      <c r="C42" s="94"/>
      <c r="D42" s="94" t="s">
        <v>171</v>
      </c>
      <c r="E42" s="94"/>
    </row>
    <row r="43">
      <c r="A43" s="92" t="s">
        <v>102</v>
      </c>
      <c r="B43" s="93" t="s">
        <v>103</v>
      </c>
      <c r="C43" s="96" t="s">
        <v>172</v>
      </c>
      <c r="D43" s="99" t="s">
        <v>173</v>
      </c>
      <c r="E43" s="94"/>
    </row>
    <row r="44">
      <c r="A44" s="92" t="s">
        <v>104</v>
      </c>
      <c r="B44" s="93" t="s">
        <v>105</v>
      </c>
      <c r="C44" s="94"/>
      <c r="D44" s="96" t="s">
        <v>174</v>
      </c>
      <c r="E44" s="94"/>
    </row>
    <row r="45">
      <c r="A45" s="92" t="s">
        <v>106</v>
      </c>
      <c r="B45" s="93" t="s">
        <v>107</v>
      </c>
      <c r="C45" s="94"/>
      <c r="D45" s="96" t="s">
        <v>175</v>
      </c>
      <c r="E45" s="94"/>
    </row>
    <row r="46">
      <c r="A46" s="92" t="s">
        <v>108</v>
      </c>
      <c r="B46" s="93" t="s">
        <v>109</v>
      </c>
      <c r="C46" s="94"/>
      <c r="D46" s="94"/>
      <c r="E46" s="94"/>
    </row>
    <row r="47">
      <c r="A47" s="92" t="s">
        <v>110</v>
      </c>
      <c r="B47" s="93" t="s">
        <v>111</v>
      </c>
      <c r="C47" s="94"/>
      <c r="D47" s="94"/>
      <c r="E47" s="94"/>
    </row>
    <row r="48">
      <c r="A48" s="92" t="s">
        <v>112</v>
      </c>
      <c r="B48" s="93" t="s">
        <v>113</v>
      </c>
      <c r="C48" s="94"/>
      <c r="D48" s="94" t="s">
        <v>159</v>
      </c>
      <c r="E48" s="94"/>
    </row>
    <row r="49">
      <c r="A49" s="92" t="s">
        <v>114</v>
      </c>
      <c r="B49" s="93" t="s">
        <v>115</v>
      </c>
      <c r="C49" s="94"/>
      <c r="D49" s="94" t="s">
        <v>171</v>
      </c>
      <c r="E49" s="94"/>
    </row>
    <row r="50">
      <c r="A50" s="92" t="s">
        <v>116</v>
      </c>
      <c r="B50" s="93" t="s">
        <v>117</v>
      </c>
      <c r="C50" s="97" t="s">
        <v>176</v>
      </c>
      <c r="D50" s="94" t="s">
        <v>159</v>
      </c>
      <c r="E50" s="94"/>
    </row>
    <row r="51">
      <c r="A51" s="92" t="s">
        <v>118</v>
      </c>
      <c r="B51" s="93" t="s">
        <v>119</v>
      </c>
      <c r="C51" s="94" t="s">
        <v>177</v>
      </c>
      <c r="D51" s="94"/>
      <c r="E51" s="94"/>
    </row>
    <row r="52">
      <c r="A52" s="92" t="s">
        <v>120</v>
      </c>
      <c r="B52" s="93" t="s">
        <v>121</v>
      </c>
      <c r="C52" s="94"/>
      <c r="D52" s="94"/>
      <c r="E52" s="94"/>
    </row>
    <row r="53">
      <c r="A53" s="92" t="s">
        <v>122</v>
      </c>
      <c r="B53" s="93" t="s">
        <v>123</v>
      </c>
      <c r="C53" s="94"/>
      <c r="D53" s="94" t="s">
        <v>171</v>
      </c>
      <c r="E53" s="94"/>
    </row>
    <row r="54">
      <c r="A54" s="92" t="s">
        <v>124</v>
      </c>
      <c r="B54" s="93" t="s">
        <v>125</v>
      </c>
      <c r="C54" s="94"/>
      <c r="D54" s="96" t="s">
        <v>178</v>
      </c>
      <c r="E54" s="94"/>
    </row>
    <row r="55">
      <c r="A55" s="92" t="s">
        <v>126</v>
      </c>
      <c r="B55" s="93" t="s">
        <v>127</v>
      </c>
      <c r="C55" s="94" t="s">
        <v>179</v>
      </c>
      <c r="D55" s="94"/>
      <c r="E55" s="94"/>
    </row>
    <row r="56">
      <c r="A56" s="92" t="s">
        <v>128</v>
      </c>
      <c r="B56" s="93" t="s">
        <v>129</v>
      </c>
      <c r="C56" s="94"/>
      <c r="D56" s="97" t="s">
        <v>180</v>
      </c>
      <c r="E56" s="94"/>
    </row>
    <row r="57">
      <c r="A57" s="92" t="s">
        <v>130</v>
      </c>
      <c r="B57" s="93" t="s">
        <v>131</v>
      </c>
      <c r="C57" s="94"/>
      <c r="D57" s="95" t="s">
        <v>160</v>
      </c>
      <c r="E57" s="94"/>
    </row>
    <row r="58">
      <c r="A58" s="92" t="s">
        <v>132</v>
      </c>
      <c r="B58" s="93" t="s">
        <v>133</v>
      </c>
      <c r="C58" s="94"/>
      <c r="D58" s="96" t="s">
        <v>181</v>
      </c>
      <c r="E58" s="94"/>
    </row>
    <row r="59">
      <c r="A59" s="92" t="s">
        <v>134</v>
      </c>
      <c r="B59" s="93" t="s">
        <v>135</v>
      </c>
      <c r="C59" s="94"/>
      <c r="D59" s="95" t="s">
        <v>160</v>
      </c>
      <c r="E59" s="94"/>
    </row>
    <row r="60">
      <c r="A60" s="94" t="s">
        <v>136</v>
      </c>
      <c r="B60" s="94" t="s">
        <v>137</v>
      </c>
      <c r="C60" s="94" t="s">
        <v>182</v>
      </c>
      <c r="D60" s="95" t="s">
        <v>183</v>
      </c>
      <c r="E60" s="9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8"/>
    <col customWidth="1" min="2" max="2" width="11.5"/>
    <col customWidth="1" min="3" max="5" width="8.63"/>
    <col customWidth="1" min="6" max="6" width="10.0"/>
    <col customWidth="1" min="7" max="11" width="8.63"/>
    <col customWidth="1" min="12" max="12" width="13.75"/>
    <col customWidth="1" min="13" max="26" width="8.63"/>
  </cols>
  <sheetData>
    <row r="1">
      <c r="A1" s="101"/>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ht="1.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row>
    <row r="3">
      <c r="A3" s="102"/>
      <c r="B3" s="102"/>
      <c r="C3" s="102"/>
      <c r="D3" s="102"/>
      <c r="E3" s="102"/>
      <c r="F3" s="102"/>
      <c r="G3" s="102"/>
      <c r="H3" s="102"/>
      <c r="I3" s="102"/>
      <c r="J3" s="102"/>
      <c r="K3" s="102"/>
      <c r="L3" s="103" t="s">
        <v>184</v>
      </c>
      <c r="M3" s="104"/>
      <c r="N3" s="102"/>
      <c r="O3" s="102"/>
      <c r="P3" s="102"/>
      <c r="Q3" s="102"/>
      <c r="R3" s="102"/>
      <c r="S3" s="102"/>
      <c r="T3" s="102"/>
      <c r="U3" s="102"/>
      <c r="V3" s="102"/>
      <c r="W3" s="102"/>
      <c r="X3" s="102"/>
      <c r="Y3" s="102"/>
      <c r="Z3" s="102"/>
    </row>
    <row r="4">
      <c r="A4" s="105" t="s">
        <v>185</v>
      </c>
      <c r="N4" s="102"/>
      <c r="O4" s="102"/>
      <c r="P4" s="102"/>
      <c r="Q4" s="102"/>
      <c r="R4" s="102"/>
      <c r="S4" s="102"/>
      <c r="T4" s="102"/>
      <c r="U4" s="102"/>
      <c r="V4" s="102"/>
      <c r="W4" s="102"/>
      <c r="X4" s="102"/>
      <c r="Y4" s="102"/>
      <c r="Z4" s="102"/>
    </row>
    <row r="5">
      <c r="A5" s="106" t="s">
        <v>186</v>
      </c>
      <c r="N5" s="102"/>
      <c r="O5" s="102"/>
      <c r="P5" s="102"/>
      <c r="Q5" s="102"/>
      <c r="R5" s="102"/>
      <c r="S5" s="102"/>
      <c r="T5" s="102"/>
      <c r="U5" s="102"/>
      <c r="V5" s="102"/>
      <c r="W5" s="102"/>
      <c r="X5" s="102"/>
      <c r="Y5" s="102"/>
      <c r="Z5" s="102"/>
    </row>
    <row r="6">
      <c r="A6" s="102"/>
      <c r="B6" s="102"/>
      <c r="C6" s="102"/>
      <c r="D6" s="102"/>
      <c r="E6" s="102"/>
      <c r="F6" s="102"/>
      <c r="G6" s="102"/>
      <c r="H6" s="102"/>
      <c r="I6" s="102"/>
      <c r="J6" s="102"/>
      <c r="K6" s="102"/>
      <c r="L6" s="107" t="s">
        <v>187</v>
      </c>
      <c r="M6" s="102"/>
      <c r="N6" s="102"/>
      <c r="O6" s="102"/>
      <c r="P6" s="102"/>
      <c r="Q6" s="102"/>
      <c r="R6" s="102"/>
      <c r="S6" s="102"/>
      <c r="T6" s="102"/>
      <c r="U6" s="102"/>
      <c r="V6" s="102"/>
      <c r="W6" s="102"/>
      <c r="X6" s="102"/>
      <c r="Y6" s="102"/>
      <c r="Z6" s="102"/>
    </row>
    <row r="7">
      <c r="A7" s="108" t="s">
        <v>188</v>
      </c>
      <c r="N7" s="102"/>
      <c r="O7" s="102"/>
      <c r="P7" s="102"/>
      <c r="Q7" s="102"/>
      <c r="R7" s="102"/>
      <c r="S7" s="102"/>
      <c r="T7" s="102"/>
      <c r="U7" s="102"/>
      <c r="V7" s="102"/>
      <c r="W7" s="102"/>
      <c r="X7" s="102"/>
      <c r="Y7" s="102"/>
      <c r="Z7" s="102"/>
    </row>
    <row r="8">
      <c r="A8" s="102"/>
      <c r="B8" s="102"/>
      <c r="C8" s="102"/>
      <c r="D8" s="102"/>
      <c r="E8" s="102"/>
      <c r="F8" s="102"/>
      <c r="G8" s="102"/>
      <c r="H8" s="102"/>
      <c r="I8" s="102"/>
      <c r="J8" s="102"/>
      <c r="K8" s="102"/>
      <c r="L8" s="102"/>
      <c r="M8" s="102"/>
      <c r="N8" s="102"/>
      <c r="O8" s="102"/>
      <c r="P8" s="102"/>
      <c r="Q8" s="102"/>
      <c r="R8" s="102"/>
      <c r="S8" s="102"/>
      <c r="T8" s="102"/>
      <c r="U8" s="102"/>
      <c r="V8" s="102"/>
      <c r="W8" s="102"/>
      <c r="X8" s="102"/>
      <c r="Y8" s="102"/>
      <c r="Z8" s="102"/>
    </row>
    <row r="9">
      <c r="A9" s="102"/>
      <c r="B9" s="109" t="s">
        <v>189</v>
      </c>
      <c r="C9" s="102"/>
      <c r="D9" s="102"/>
      <c r="E9" s="102"/>
      <c r="F9" s="102"/>
      <c r="G9" s="102"/>
      <c r="H9" s="102"/>
      <c r="I9" s="102"/>
      <c r="J9" s="102"/>
      <c r="K9" s="102"/>
      <c r="L9" s="102"/>
      <c r="M9" s="102"/>
      <c r="N9" s="102"/>
      <c r="O9" s="102"/>
      <c r="P9" s="102"/>
      <c r="Q9" s="102"/>
      <c r="R9" s="102"/>
      <c r="S9" s="102"/>
      <c r="T9" s="102"/>
      <c r="U9" s="102"/>
      <c r="V9" s="102"/>
      <c r="W9" s="102"/>
      <c r="X9" s="102"/>
      <c r="Y9" s="102"/>
      <c r="Z9" s="102"/>
    </row>
    <row r="10">
      <c r="A10" s="110" t="s">
        <v>190</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row>
    <row r="11">
      <c r="A11" s="111" t="s">
        <v>191</v>
      </c>
      <c r="B11" s="111" t="s">
        <v>192</v>
      </c>
      <c r="C11" s="112" t="s">
        <v>193</v>
      </c>
      <c r="D11" s="113" t="s">
        <v>194</v>
      </c>
      <c r="E11" s="104"/>
      <c r="F11" s="111" t="s">
        <v>195</v>
      </c>
      <c r="G11" s="111" t="s">
        <v>196</v>
      </c>
      <c r="H11" s="113" t="s">
        <v>197</v>
      </c>
      <c r="I11" s="104"/>
      <c r="J11" s="113" t="s">
        <v>198</v>
      </c>
      <c r="K11" s="104"/>
      <c r="L11" s="111" t="s">
        <v>199</v>
      </c>
      <c r="M11" s="111" t="s">
        <v>200</v>
      </c>
      <c r="N11" s="102"/>
      <c r="O11" s="102"/>
      <c r="P11" s="102"/>
      <c r="Q11" s="102"/>
      <c r="R11" s="102"/>
      <c r="S11" s="102"/>
      <c r="T11" s="102"/>
      <c r="U11" s="102"/>
      <c r="V11" s="102"/>
      <c r="W11" s="102"/>
      <c r="X11" s="102"/>
      <c r="Y11" s="102"/>
      <c r="Z11" s="102"/>
    </row>
    <row r="12">
      <c r="A12" s="114"/>
      <c r="B12" s="114"/>
      <c r="C12" s="115"/>
      <c r="D12" s="112" t="s">
        <v>201</v>
      </c>
      <c r="E12" s="112" t="s">
        <v>202</v>
      </c>
      <c r="F12" s="114"/>
      <c r="G12" s="114"/>
      <c r="H12" s="112" t="s">
        <v>203</v>
      </c>
      <c r="I12" s="112" t="s">
        <v>204</v>
      </c>
      <c r="J12" s="112" t="s">
        <v>203</v>
      </c>
      <c r="K12" s="112" t="s">
        <v>204</v>
      </c>
      <c r="L12" s="114"/>
      <c r="M12" s="114"/>
      <c r="N12" s="102"/>
      <c r="O12" s="102"/>
      <c r="P12" s="102"/>
      <c r="Q12" s="102"/>
      <c r="R12" s="102"/>
      <c r="S12" s="102"/>
      <c r="T12" s="102"/>
      <c r="U12" s="102"/>
      <c r="V12" s="102"/>
      <c r="W12" s="102"/>
      <c r="X12" s="102"/>
      <c r="Y12" s="102"/>
      <c r="Z12" s="102"/>
    </row>
    <row r="13">
      <c r="A13" s="116">
        <v>1.0</v>
      </c>
      <c r="B13" s="117" t="s">
        <v>205</v>
      </c>
      <c r="C13" s="118"/>
      <c r="D13" s="119">
        <v>36.0</v>
      </c>
      <c r="E13" s="119">
        <v>36.0</v>
      </c>
      <c r="F13" s="119">
        <v>5.0</v>
      </c>
      <c r="G13" s="120">
        <v>1.0</v>
      </c>
      <c r="H13" s="119" t="s">
        <v>206</v>
      </c>
      <c r="I13" s="119" t="s">
        <v>206</v>
      </c>
      <c r="J13" s="119">
        <v>2.0</v>
      </c>
      <c r="K13" s="119">
        <v>2.0</v>
      </c>
      <c r="L13" s="119" t="s">
        <v>207</v>
      </c>
      <c r="M13" s="116" t="s">
        <v>139</v>
      </c>
      <c r="N13" s="102"/>
      <c r="O13" s="102"/>
      <c r="P13" s="102"/>
      <c r="Q13" s="102"/>
      <c r="R13" s="102"/>
      <c r="S13" s="102"/>
      <c r="T13" s="102"/>
      <c r="U13" s="102"/>
      <c r="V13" s="102"/>
      <c r="W13" s="102"/>
      <c r="X13" s="102"/>
      <c r="Y13" s="102"/>
      <c r="Z13" s="102"/>
    </row>
    <row r="14">
      <c r="A14" s="116">
        <v>2.0</v>
      </c>
      <c r="B14" s="121" t="s">
        <v>208</v>
      </c>
      <c r="C14" s="118"/>
      <c r="D14" s="122">
        <v>30.0</v>
      </c>
      <c r="E14" s="122">
        <v>30.0</v>
      </c>
      <c r="F14" s="122">
        <v>5.0</v>
      </c>
      <c r="G14" s="119">
        <v>100.0</v>
      </c>
      <c r="H14" s="122">
        <v>1.0</v>
      </c>
      <c r="I14" s="122">
        <v>1.0</v>
      </c>
      <c r="J14" s="122" t="s">
        <v>206</v>
      </c>
      <c r="K14" s="122" t="s">
        <v>206</v>
      </c>
      <c r="L14" s="116" t="s">
        <v>209</v>
      </c>
      <c r="M14" s="116" t="s">
        <v>140</v>
      </c>
      <c r="N14" s="102"/>
      <c r="O14" s="102"/>
      <c r="P14" s="102"/>
      <c r="Q14" s="102"/>
      <c r="R14" s="102"/>
      <c r="S14" s="102"/>
      <c r="T14" s="102"/>
      <c r="U14" s="102"/>
      <c r="V14" s="102"/>
      <c r="W14" s="102"/>
      <c r="X14" s="102"/>
      <c r="Y14" s="102"/>
      <c r="Z14" s="102"/>
    </row>
    <row r="15">
      <c r="A15" s="116">
        <v>3.0</v>
      </c>
      <c r="B15" s="121" t="s">
        <v>14</v>
      </c>
      <c r="C15" s="118"/>
      <c r="D15" s="122">
        <v>54.0</v>
      </c>
      <c r="E15" s="122">
        <v>56.0</v>
      </c>
      <c r="F15" s="122">
        <v>5.0</v>
      </c>
      <c r="G15" s="123">
        <v>1.0</v>
      </c>
      <c r="H15" s="122" t="s">
        <v>206</v>
      </c>
      <c r="I15" s="122" t="s">
        <v>206</v>
      </c>
      <c r="J15" s="122">
        <v>2.0</v>
      </c>
      <c r="K15" s="122">
        <v>1.0</v>
      </c>
      <c r="L15" s="116" t="s">
        <v>210</v>
      </c>
      <c r="M15" s="116" t="s">
        <v>141</v>
      </c>
      <c r="N15" s="102"/>
      <c r="O15" s="102"/>
      <c r="Q15" s="102"/>
      <c r="R15" s="102"/>
      <c r="S15" s="102"/>
      <c r="T15" s="102"/>
      <c r="U15" s="102"/>
      <c r="V15" s="102"/>
      <c r="W15" s="102"/>
      <c r="X15" s="102"/>
      <c r="Y15" s="102"/>
      <c r="Z15" s="102"/>
    </row>
    <row r="16">
      <c r="A16" s="116">
        <v>4.0</v>
      </c>
      <c r="B16" s="121" t="s">
        <v>15</v>
      </c>
      <c r="C16" s="118"/>
      <c r="D16" s="122">
        <v>37.0</v>
      </c>
      <c r="E16" s="122">
        <v>40.0</v>
      </c>
      <c r="F16" s="122">
        <v>5.0</v>
      </c>
      <c r="G16" s="123">
        <v>1.0</v>
      </c>
      <c r="H16" s="122">
        <v>5.0</v>
      </c>
      <c r="I16" s="122">
        <v>4.0</v>
      </c>
      <c r="J16" s="122">
        <v>5.0</v>
      </c>
      <c r="K16" s="122">
        <v>4.0</v>
      </c>
      <c r="L16" s="116" t="s">
        <v>211</v>
      </c>
      <c r="M16" s="116" t="s">
        <v>142</v>
      </c>
      <c r="N16" s="102"/>
      <c r="O16" s="102"/>
      <c r="P16" s="102"/>
      <c r="Q16" s="102"/>
      <c r="R16" s="102"/>
      <c r="S16" s="102"/>
      <c r="T16" s="102"/>
      <c r="U16" s="102"/>
      <c r="V16" s="102"/>
      <c r="W16" s="102"/>
      <c r="X16" s="102"/>
      <c r="Y16" s="102"/>
      <c r="Z16" s="102"/>
    </row>
    <row r="17">
      <c r="A17" s="116">
        <v>5.0</v>
      </c>
      <c r="B17" s="121" t="s">
        <v>16</v>
      </c>
      <c r="C17" s="118"/>
      <c r="D17" s="122">
        <v>11.0</v>
      </c>
      <c r="E17" s="122">
        <v>11.0</v>
      </c>
      <c r="F17" s="122">
        <v>5.0</v>
      </c>
      <c r="G17" s="122">
        <v>100.0</v>
      </c>
      <c r="H17" s="122">
        <v>2.0</v>
      </c>
      <c r="I17" s="122">
        <v>2.0</v>
      </c>
      <c r="J17" s="118"/>
      <c r="K17" s="118"/>
      <c r="L17" s="116" t="s">
        <v>212</v>
      </c>
      <c r="M17" s="116" t="s">
        <v>143</v>
      </c>
      <c r="N17" s="102"/>
      <c r="O17" s="102"/>
      <c r="P17" s="102"/>
      <c r="Q17" s="102"/>
      <c r="R17" s="102"/>
      <c r="S17" s="102"/>
      <c r="T17" s="102"/>
      <c r="U17" s="102"/>
      <c r="V17" s="102"/>
      <c r="W17" s="102"/>
      <c r="X17" s="102"/>
      <c r="Y17" s="102"/>
      <c r="Z17" s="102"/>
    </row>
    <row r="18">
      <c r="A18" s="116">
        <v>6.0</v>
      </c>
      <c r="B18" s="121" t="s">
        <v>213</v>
      </c>
      <c r="C18" s="118"/>
      <c r="D18" s="122">
        <v>22.0</v>
      </c>
      <c r="E18" s="122">
        <v>22.0</v>
      </c>
      <c r="F18" s="122">
        <v>5.0</v>
      </c>
      <c r="G18" s="123">
        <v>1.0</v>
      </c>
      <c r="H18" s="122">
        <v>1.0</v>
      </c>
      <c r="I18" s="122">
        <v>1.0</v>
      </c>
      <c r="J18" s="122">
        <v>2.0</v>
      </c>
      <c r="K18" s="122">
        <v>2.0</v>
      </c>
      <c r="L18" s="116" t="s">
        <v>214</v>
      </c>
      <c r="M18" s="116" t="s">
        <v>215</v>
      </c>
      <c r="N18" s="102"/>
      <c r="O18" s="102"/>
      <c r="P18" s="102"/>
      <c r="Q18" s="102"/>
      <c r="R18" s="102"/>
      <c r="S18" s="102"/>
      <c r="T18" s="102"/>
      <c r="U18" s="102"/>
      <c r="V18" s="102"/>
      <c r="W18" s="102"/>
      <c r="X18" s="102"/>
      <c r="Y18" s="102"/>
      <c r="Z18" s="102"/>
    </row>
    <row r="19">
      <c r="A19" s="119">
        <v>7.0</v>
      </c>
      <c r="B19" s="124" t="s">
        <v>18</v>
      </c>
      <c r="C19" s="118"/>
      <c r="D19" s="122">
        <v>9.0</v>
      </c>
      <c r="E19" s="122">
        <v>7.0</v>
      </c>
      <c r="F19" s="122">
        <v>5.0</v>
      </c>
      <c r="G19" s="123">
        <v>1.0</v>
      </c>
      <c r="H19" s="122" t="s">
        <v>206</v>
      </c>
      <c r="I19" s="122" t="s">
        <v>206</v>
      </c>
      <c r="J19" s="122">
        <v>3.0</v>
      </c>
      <c r="K19" s="122">
        <v>3.0</v>
      </c>
      <c r="L19" s="119" t="s">
        <v>216</v>
      </c>
      <c r="M19" s="119" t="s">
        <v>145</v>
      </c>
      <c r="N19" s="102"/>
      <c r="O19" s="102"/>
      <c r="P19" s="102"/>
      <c r="Q19" s="102"/>
      <c r="R19" s="102"/>
      <c r="S19" s="102"/>
      <c r="T19" s="102"/>
      <c r="U19" s="102"/>
      <c r="V19" s="102"/>
      <c r="W19" s="102"/>
      <c r="X19" s="102"/>
      <c r="Y19" s="102"/>
      <c r="Z19" s="102"/>
    </row>
    <row r="20" ht="21.75" customHeight="1">
      <c r="A20" s="119">
        <v>8.0</v>
      </c>
      <c r="B20" s="121" t="s">
        <v>19</v>
      </c>
      <c r="C20" s="118"/>
      <c r="D20" s="125">
        <v>46337.0</v>
      </c>
      <c r="E20" s="125">
        <v>46337.0</v>
      </c>
      <c r="F20" s="122" t="s">
        <v>217</v>
      </c>
      <c r="G20" s="122">
        <v>100.0</v>
      </c>
      <c r="H20" s="122" t="s">
        <v>206</v>
      </c>
      <c r="I20" s="122" t="s">
        <v>206</v>
      </c>
      <c r="J20" s="122" t="s">
        <v>206</v>
      </c>
      <c r="K20" s="122" t="s">
        <v>206</v>
      </c>
      <c r="L20" s="116" t="s">
        <v>209</v>
      </c>
      <c r="M20" s="116" t="s">
        <v>140</v>
      </c>
      <c r="N20" s="102"/>
      <c r="O20" s="102"/>
      <c r="P20" s="102"/>
      <c r="Q20" s="102"/>
      <c r="R20" s="102"/>
      <c r="S20" s="102"/>
      <c r="T20" s="102"/>
      <c r="U20" s="102"/>
      <c r="V20" s="102"/>
      <c r="W20" s="102"/>
      <c r="X20" s="102"/>
      <c r="Y20" s="102"/>
      <c r="Z20" s="102"/>
    </row>
    <row r="21" ht="25.5" customHeight="1">
      <c r="A21" s="119">
        <v>9.0</v>
      </c>
      <c r="B21" s="121" t="s">
        <v>20</v>
      </c>
      <c r="C21" s="118" t="s">
        <v>218</v>
      </c>
      <c r="D21" s="125">
        <v>46336.0</v>
      </c>
      <c r="E21" s="125">
        <v>46336.0</v>
      </c>
      <c r="F21" s="122" t="s">
        <v>219</v>
      </c>
      <c r="G21" s="123">
        <v>1.0</v>
      </c>
      <c r="H21" s="122" t="s">
        <v>206</v>
      </c>
      <c r="I21" s="122" t="s">
        <v>206</v>
      </c>
      <c r="J21" s="122" t="s">
        <v>206</v>
      </c>
      <c r="K21" s="122" t="s">
        <v>206</v>
      </c>
      <c r="L21" s="119" t="s">
        <v>207</v>
      </c>
      <c r="M21" s="116" t="s">
        <v>139</v>
      </c>
      <c r="N21" s="102"/>
      <c r="O21" s="102"/>
      <c r="P21" s="102"/>
      <c r="Q21" s="102"/>
      <c r="R21" s="102"/>
      <c r="S21" s="102"/>
      <c r="T21" s="102"/>
      <c r="U21" s="102"/>
      <c r="V21" s="102"/>
      <c r="W21" s="102"/>
      <c r="X21" s="102"/>
      <c r="Y21" s="102"/>
      <c r="Z21" s="102"/>
    </row>
    <row r="22" ht="1.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c r="A23" s="126" t="s">
        <v>220</v>
      </c>
      <c r="B23" s="127"/>
      <c r="C23" s="127"/>
      <c r="D23" s="127"/>
      <c r="E23" s="127"/>
      <c r="F23" s="127"/>
      <c r="G23" s="128"/>
      <c r="H23" s="129" t="s">
        <v>221</v>
      </c>
      <c r="I23" s="127"/>
      <c r="J23" s="127"/>
      <c r="K23" s="127"/>
      <c r="L23" s="127"/>
      <c r="M23" s="128"/>
      <c r="N23" s="102"/>
      <c r="O23" s="102"/>
      <c r="P23" s="102"/>
      <c r="Q23" s="102"/>
      <c r="R23" s="102"/>
      <c r="S23" s="102"/>
      <c r="T23" s="102"/>
      <c r="U23" s="102"/>
      <c r="V23" s="102"/>
      <c r="W23" s="102"/>
      <c r="X23" s="102"/>
      <c r="Y23" s="102"/>
      <c r="Z23" s="102"/>
    </row>
    <row r="24" ht="25.5" customHeight="1">
      <c r="A24" s="130" t="s">
        <v>222</v>
      </c>
      <c r="B24" s="131"/>
      <c r="C24" s="131"/>
      <c r="D24" s="131"/>
      <c r="E24" s="131"/>
      <c r="F24" s="131"/>
      <c r="G24" s="132"/>
      <c r="H24" s="130" t="s">
        <v>223</v>
      </c>
      <c r="I24" s="131"/>
      <c r="J24" s="131"/>
      <c r="K24" s="131"/>
      <c r="L24" s="131"/>
      <c r="M24" s="132"/>
      <c r="N24" s="102"/>
      <c r="O24" s="102"/>
      <c r="P24" s="102"/>
      <c r="Q24" s="102"/>
      <c r="R24" s="102"/>
      <c r="S24" s="102"/>
      <c r="T24" s="102"/>
      <c r="U24" s="102"/>
      <c r="V24" s="102"/>
      <c r="W24" s="102"/>
      <c r="X24" s="102"/>
      <c r="Y24" s="102"/>
      <c r="Z24" s="102"/>
    </row>
    <row r="25">
      <c r="A25" s="129" t="s">
        <v>224</v>
      </c>
      <c r="B25" s="127"/>
      <c r="C25" s="127"/>
      <c r="D25" s="127"/>
      <c r="E25" s="127"/>
      <c r="F25" s="127"/>
      <c r="G25" s="127"/>
      <c r="H25" s="127"/>
      <c r="I25" s="127"/>
      <c r="J25" s="127"/>
      <c r="K25" s="127"/>
      <c r="L25" s="127"/>
      <c r="M25" s="128"/>
      <c r="N25" s="102"/>
      <c r="O25" s="102"/>
      <c r="P25" s="102"/>
      <c r="Q25" s="102"/>
      <c r="R25" s="102"/>
      <c r="S25" s="102"/>
      <c r="T25" s="102"/>
      <c r="U25" s="102"/>
      <c r="V25" s="102"/>
      <c r="W25" s="102"/>
      <c r="X25" s="102"/>
      <c r="Y25" s="102"/>
      <c r="Z25" s="102"/>
    </row>
    <row r="26" ht="30.0" customHeight="1">
      <c r="A26" s="133" t="s">
        <v>225</v>
      </c>
      <c r="B26" s="131"/>
      <c r="C26" s="131"/>
      <c r="D26" s="131"/>
      <c r="E26" s="131"/>
      <c r="F26" s="131"/>
      <c r="G26" s="131"/>
      <c r="H26" s="131"/>
      <c r="I26" s="131"/>
      <c r="J26" s="131"/>
      <c r="K26" s="131"/>
      <c r="L26" s="131"/>
      <c r="M26" s="132"/>
      <c r="N26" s="102"/>
      <c r="O26" s="102"/>
      <c r="P26" s="102"/>
      <c r="Q26" s="102"/>
      <c r="R26" s="102"/>
      <c r="S26" s="102"/>
      <c r="T26" s="102"/>
      <c r="U26" s="102"/>
      <c r="V26" s="102"/>
      <c r="W26" s="102"/>
      <c r="X26" s="102"/>
      <c r="Y26" s="102"/>
      <c r="Z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c r="A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c r="A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c r="A31" s="108" t="s">
        <v>226</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sheetData>
  <mergeCells count="21">
    <mergeCell ref="F11:F12"/>
    <mergeCell ref="G11:G12"/>
    <mergeCell ref="A23:G23"/>
    <mergeCell ref="A24:G24"/>
    <mergeCell ref="A25:M25"/>
    <mergeCell ref="A26:M26"/>
    <mergeCell ref="A28:B28"/>
    <mergeCell ref="A29:B29"/>
    <mergeCell ref="H11:I11"/>
    <mergeCell ref="J11:K11"/>
    <mergeCell ref="L11:L12"/>
    <mergeCell ref="M11:M12"/>
    <mergeCell ref="H23:M23"/>
    <mergeCell ref="H24:M24"/>
    <mergeCell ref="L3:M3"/>
    <mergeCell ref="A4:M4"/>
    <mergeCell ref="A5:M5"/>
    <mergeCell ref="A7:M7"/>
    <mergeCell ref="A11:A12"/>
    <mergeCell ref="B11:B12"/>
    <mergeCell ref="D11:E11"/>
  </mergeCells>
  <printOptions horizontalCentered="1"/>
  <pageMargins bottom="0.75" footer="0.0" header="0.0" left="0.7" right="0.7" top="0.75"/>
  <pageSetup scale="94"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8"/>
    <col customWidth="1" min="3" max="3" width="28.63"/>
    <col customWidth="1" min="4" max="4" width="11.25"/>
    <col customWidth="1" min="5" max="5" width="10.0"/>
    <col customWidth="1" min="6" max="6" width="12.0"/>
    <col customWidth="1" min="7" max="7" width="11.88"/>
    <col customWidth="1" min="8" max="8" width="11.0"/>
    <col customWidth="1" min="9" max="11" width="9.13"/>
  </cols>
  <sheetData>
    <row r="1">
      <c r="A1" s="102" t="s">
        <v>227</v>
      </c>
      <c r="B1" s="102"/>
      <c r="C1" s="102"/>
      <c r="D1" s="102"/>
      <c r="E1" s="102"/>
      <c r="F1" s="102"/>
      <c r="G1" s="102"/>
      <c r="H1" s="102"/>
      <c r="I1" s="102"/>
      <c r="J1" s="102"/>
      <c r="K1" s="102"/>
      <c r="L1" s="102"/>
      <c r="M1" s="102"/>
      <c r="N1" s="102"/>
      <c r="O1" s="102"/>
      <c r="P1" s="102"/>
      <c r="Q1" s="102"/>
      <c r="R1" s="102"/>
      <c r="S1" s="102"/>
      <c r="T1" s="102"/>
      <c r="U1" s="102"/>
      <c r="V1" s="102"/>
      <c r="W1" s="102"/>
      <c r="X1" s="102"/>
    </row>
    <row r="2">
      <c r="A2" s="134" t="s">
        <v>228</v>
      </c>
      <c r="L2" s="102"/>
      <c r="M2" s="102"/>
      <c r="N2" s="102"/>
      <c r="O2" s="102"/>
      <c r="P2" s="102"/>
      <c r="Q2" s="102"/>
      <c r="R2" s="102"/>
      <c r="S2" s="102"/>
      <c r="T2" s="102"/>
      <c r="U2" s="102"/>
      <c r="V2" s="102"/>
      <c r="W2" s="102"/>
      <c r="X2" s="102"/>
    </row>
    <row r="3">
      <c r="A3" s="135" t="s">
        <v>229</v>
      </c>
      <c r="L3" s="102"/>
      <c r="M3" s="102"/>
      <c r="N3" s="102"/>
      <c r="O3" s="102"/>
      <c r="P3" s="102"/>
      <c r="Q3" s="102"/>
      <c r="R3" s="102"/>
      <c r="S3" s="102"/>
      <c r="T3" s="102"/>
      <c r="U3" s="102"/>
      <c r="V3" s="102"/>
      <c r="W3" s="102"/>
      <c r="X3" s="102"/>
    </row>
    <row r="4">
      <c r="A4" s="135" t="s">
        <v>230</v>
      </c>
      <c r="L4" s="102"/>
      <c r="M4" s="102"/>
      <c r="N4" s="102"/>
      <c r="O4" s="102"/>
      <c r="P4" s="102"/>
      <c r="Q4" s="102"/>
      <c r="R4" s="102"/>
      <c r="S4" s="102"/>
      <c r="T4" s="102"/>
      <c r="U4" s="102"/>
      <c r="V4" s="102"/>
      <c r="W4" s="102"/>
      <c r="X4" s="102"/>
    </row>
    <row r="5">
      <c r="A5" s="107" t="s">
        <v>231</v>
      </c>
      <c r="B5" s="101" t="s">
        <v>232</v>
      </c>
      <c r="C5" s="136" t="s">
        <v>233</v>
      </c>
      <c r="I5" s="102"/>
      <c r="J5" s="102"/>
      <c r="K5" s="102"/>
      <c r="L5" s="102"/>
      <c r="M5" s="102"/>
      <c r="N5" s="102"/>
      <c r="O5" s="102"/>
      <c r="P5" s="102"/>
      <c r="Q5" s="102"/>
      <c r="R5" s="102"/>
      <c r="S5" s="102"/>
      <c r="T5" s="102"/>
      <c r="U5" s="102"/>
      <c r="V5" s="102"/>
      <c r="W5" s="102"/>
      <c r="X5" s="102"/>
    </row>
    <row r="6">
      <c r="A6" s="107" t="s">
        <v>234</v>
      </c>
      <c r="B6" s="102"/>
      <c r="C6" s="102"/>
      <c r="D6" s="102"/>
      <c r="E6" s="102"/>
      <c r="F6" s="102"/>
      <c r="G6" s="102"/>
      <c r="H6" s="107" t="s">
        <v>235</v>
      </c>
      <c r="I6" s="107"/>
      <c r="J6" s="107"/>
      <c r="K6" s="107"/>
      <c r="L6" s="102"/>
      <c r="M6" s="102"/>
      <c r="N6" s="102"/>
      <c r="O6" s="102"/>
      <c r="P6" s="102"/>
      <c r="Q6" s="102"/>
      <c r="R6" s="102"/>
      <c r="S6" s="102"/>
      <c r="T6" s="102"/>
      <c r="U6" s="102"/>
      <c r="V6" s="102"/>
      <c r="W6" s="102"/>
      <c r="X6" s="102"/>
    </row>
    <row r="7" ht="3.75" customHeight="1">
      <c r="A7" s="102"/>
      <c r="B7" s="102"/>
      <c r="C7" s="102"/>
      <c r="D7" s="102"/>
      <c r="E7" s="102"/>
      <c r="F7" s="102"/>
      <c r="G7" s="102"/>
      <c r="H7" s="102"/>
      <c r="I7" s="102"/>
      <c r="J7" s="102"/>
      <c r="K7" s="102"/>
      <c r="L7" s="102"/>
      <c r="M7" s="102"/>
      <c r="N7" s="102"/>
      <c r="O7" s="102"/>
      <c r="P7" s="102"/>
      <c r="Q7" s="102"/>
      <c r="R7" s="102"/>
      <c r="S7" s="102"/>
      <c r="T7" s="102"/>
      <c r="U7" s="102"/>
      <c r="V7" s="102"/>
      <c r="W7" s="102"/>
      <c r="X7" s="102"/>
    </row>
    <row r="8">
      <c r="A8" s="137" t="s">
        <v>236</v>
      </c>
      <c r="B8" s="137" t="s">
        <v>8</v>
      </c>
      <c r="C8" s="137" t="s">
        <v>237</v>
      </c>
      <c r="D8" s="138" t="s">
        <v>205</v>
      </c>
      <c r="E8" s="138" t="s">
        <v>208</v>
      </c>
      <c r="F8" s="138" t="s">
        <v>238</v>
      </c>
      <c r="G8" s="138" t="s">
        <v>239</v>
      </c>
      <c r="H8" s="138" t="s">
        <v>16</v>
      </c>
      <c r="I8" s="138" t="s">
        <v>240</v>
      </c>
      <c r="J8" s="139" t="s">
        <v>18</v>
      </c>
      <c r="K8" s="138" t="s">
        <v>241</v>
      </c>
      <c r="L8" s="102"/>
      <c r="M8" s="102"/>
      <c r="N8" s="102"/>
      <c r="O8" s="102"/>
      <c r="P8" s="102"/>
      <c r="Q8" s="102"/>
      <c r="R8" s="102"/>
      <c r="S8" s="102"/>
      <c r="T8" s="102"/>
      <c r="U8" s="102"/>
      <c r="V8" s="102"/>
      <c r="W8" s="102"/>
      <c r="X8" s="102"/>
    </row>
    <row r="9">
      <c r="A9" s="34"/>
      <c r="B9" s="34"/>
      <c r="C9" s="34"/>
      <c r="D9" s="138" t="s">
        <v>242</v>
      </c>
      <c r="E9" s="138" t="s">
        <v>242</v>
      </c>
      <c r="F9" s="138" t="s">
        <v>242</v>
      </c>
      <c r="G9" s="138" t="s">
        <v>242</v>
      </c>
      <c r="H9" s="138" t="s">
        <v>242</v>
      </c>
      <c r="I9" s="140" t="s">
        <v>242</v>
      </c>
      <c r="J9" s="140" t="s">
        <v>242</v>
      </c>
      <c r="K9" s="141"/>
      <c r="L9" s="102"/>
      <c r="M9" s="102"/>
      <c r="N9" s="102"/>
      <c r="O9" s="102"/>
      <c r="P9" s="102"/>
      <c r="Q9" s="102"/>
      <c r="R9" s="102"/>
      <c r="S9" s="102"/>
      <c r="T9" s="102"/>
      <c r="U9" s="102"/>
      <c r="V9" s="102"/>
      <c r="W9" s="102"/>
      <c r="X9" s="102"/>
    </row>
    <row r="10">
      <c r="A10" s="142">
        <v>1.0</v>
      </c>
      <c r="B10" s="92" t="s">
        <v>24</v>
      </c>
      <c r="C10" s="93" t="s">
        <v>25</v>
      </c>
      <c r="D10" s="143" t="s">
        <v>243</v>
      </c>
      <c r="E10" s="143" t="s">
        <v>243</v>
      </c>
      <c r="F10" s="144" t="s">
        <v>243</v>
      </c>
      <c r="G10" s="139" t="s">
        <v>243</v>
      </c>
      <c r="H10" s="143">
        <v>17.0</v>
      </c>
      <c r="I10" s="139" t="s">
        <v>243</v>
      </c>
      <c r="J10" s="139">
        <v>38.0</v>
      </c>
      <c r="K10" s="138">
        <f t="shared" ref="K10:K66" si="1">COUNTIF(D10:J10,"&lt;22")</f>
        <v>1</v>
      </c>
      <c r="L10" s="145">
        <f t="shared" ref="L10:L65" si="2">COUNTIF(D10:I10,"&lt;22")</f>
        <v>1</v>
      </c>
      <c r="M10" s="145">
        <f t="shared" ref="M10:M65" si="3">COUNTIF(H10,"&lt;18")</f>
        <v>1</v>
      </c>
      <c r="N10" s="102"/>
      <c r="O10" s="102"/>
      <c r="P10" s="102"/>
      <c r="Q10" s="102"/>
      <c r="R10" s="102"/>
      <c r="S10" s="102"/>
      <c r="T10" s="102"/>
      <c r="U10" s="102"/>
      <c r="V10" s="102"/>
      <c r="W10" s="102"/>
      <c r="X10" s="102"/>
    </row>
    <row r="11">
      <c r="A11" s="142">
        <v>2.0</v>
      </c>
      <c r="B11" s="92" t="s">
        <v>26</v>
      </c>
      <c r="C11" s="93" t="s">
        <v>27</v>
      </c>
      <c r="D11" s="139">
        <v>20.0</v>
      </c>
      <c r="E11" s="143">
        <v>15.0</v>
      </c>
      <c r="F11" s="146">
        <v>16.0</v>
      </c>
      <c r="G11" s="139">
        <v>15.0</v>
      </c>
      <c r="H11" s="143">
        <v>33.0</v>
      </c>
      <c r="I11" s="139">
        <v>10.0</v>
      </c>
      <c r="J11" s="139">
        <v>29.0</v>
      </c>
      <c r="K11" s="138">
        <f t="shared" si="1"/>
        <v>5</v>
      </c>
      <c r="L11" s="145">
        <f t="shared" si="2"/>
        <v>5</v>
      </c>
      <c r="M11" s="145">
        <f t="shared" si="3"/>
        <v>0</v>
      </c>
      <c r="N11" s="102"/>
      <c r="O11" s="102"/>
      <c r="P11" s="102"/>
      <c r="Q11" s="102"/>
      <c r="R11" s="102"/>
      <c r="S11" s="102"/>
      <c r="T11" s="102"/>
      <c r="U11" s="102"/>
      <c r="V11" s="102"/>
      <c r="W11" s="102"/>
      <c r="X11" s="102"/>
    </row>
    <row r="12">
      <c r="A12" s="142">
        <v>3.0</v>
      </c>
      <c r="B12" s="92" t="s">
        <v>28</v>
      </c>
      <c r="C12" s="93" t="s">
        <v>29</v>
      </c>
      <c r="D12" s="143">
        <v>42.0</v>
      </c>
      <c r="E12" s="143">
        <v>39.0</v>
      </c>
      <c r="F12" s="146">
        <v>45.0</v>
      </c>
      <c r="G12" s="143">
        <v>21.0</v>
      </c>
      <c r="H12" s="143">
        <v>45.0</v>
      </c>
      <c r="I12" s="139">
        <v>43.0</v>
      </c>
      <c r="J12" s="139">
        <v>42.0</v>
      </c>
      <c r="K12" s="138">
        <f t="shared" si="1"/>
        <v>1</v>
      </c>
      <c r="L12" s="145">
        <f t="shared" si="2"/>
        <v>1</v>
      </c>
      <c r="M12" s="145">
        <f t="shared" si="3"/>
        <v>0</v>
      </c>
      <c r="N12" s="102"/>
      <c r="O12" s="102"/>
      <c r="P12" s="102"/>
      <c r="Q12" s="102"/>
      <c r="R12" s="102"/>
      <c r="S12" s="102"/>
      <c r="T12" s="102"/>
      <c r="U12" s="102"/>
      <c r="V12" s="102"/>
      <c r="W12" s="102"/>
      <c r="X12" s="102"/>
    </row>
    <row r="13">
      <c r="A13" s="142">
        <v>4.0</v>
      </c>
      <c r="B13" s="92" t="s">
        <v>30</v>
      </c>
      <c r="C13" s="93" t="s">
        <v>31</v>
      </c>
      <c r="D13" s="139">
        <v>11.0</v>
      </c>
      <c r="E13" s="143">
        <v>43.0</v>
      </c>
      <c r="F13" s="146">
        <v>30.0</v>
      </c>
      <c r="G13" s="147">
        <v>36.0</v>
      </c>
      <c r="H13" s="143">
        <v>29.0</v>
      </c>
      <c r="I13" s="139">
        <v>28.0</v>
      </c>
      <c r="J13" s="139">
        <v>33.0</v>
      </c>
      <c r="K13" s="138">
        <f t="shared" si="1"/>
        <v>1</v>
      </c>
      <c r="L13" s="145">
        <f t="shared" si="2"/>
        <v>1</v>
      </c>
      <c r="M13" s="145">
        <f t="shared" si="3"/>
        <v>0</v>
      </c>
      <c r="N13" s="102"/>
      <c r="O13" s="102"/>
      <c r="P13" s="102"/>
      <c r="Q13" s="102"/>
      <c r="R13" s="102"/>
      <c r="S13" s="102"/>
      <c r="T13" s="102"/>
      <c r="U13" s="102"/>
      <c r="V13" s="102"/>
      <c r="W13" s="102"/>
      <c r="X13" s="102"/>
    </row>
    <row r="14">
      <c r="A14" s="142">
        <v>5.0</v>
      </c>
      <c r="B14" s="92" t="s">
        <v>32</v>
      </c>
      <c r="C14" s="93" t="s">
        <v>33</v>
      </c>
      <c r="D14" s="143">
        <v>27.0</v>
      </c>
      <c r="E14" s="143">
        <v>42.0</v>
      </c>
      <c r="F14" s="146">
        <v>32.0</v>
      </c>
      <c r="G14" s="143">
        <v>21.0</v>
      </c>
      <c r="H14" s="143">
        <v>21.0</v>
      </c>
      <c r="I14" s="139">
        <v>30.0</v>
      </c>
      <c r="J14" s="139">
        <v>35.0</v>
      </c>
      <c r="K14" s="138">
        <f t="shared" si="1"/>
        <v>2</v>
      </c>
      <c r="L14" s="145">
        <f t="shared" si="2"/>
        <v>2</v>
      </c>
      <c r="M14" s="145">
        <f t="shared" si="3"/>
        <v>0</v>
      </c>
      <c r="N14" s="102"/>
      <c r="O14" s="102"/>
      <c r="P14" s="102"/>
      <c r="Q14" s="102"/>
      <c r="R14" s="102"/>
      <c r="S14" s="102"/>
      <c r="T14" s="102"/>
      <c r="U14" s="102"/>
      <c r="V14" s="102"/>
      <c r="W14" s="102"/>
      <c r="X14" s="102"/>
    </row>
    <row r="15">
      <c r="A15" s="142">
        <v>6.0</v>
      </c>
      <c r="B15" s="148" t="s">
        <v>34</v>
      </c>
      <c r="C15" s="149" t="s">
        <v>35</v>
      </c>
      <c r="D15" s="143" t="s">
        <v>243</v>
      </c>
      <c r="E15" s="143" t="s">
        <v>243</v>
      </c>
      <c r="F15" s="144">
        <v>12.0</v>
      </c>
      <c r="G15" s="139">
        <v>7.0</v>
      </c>
      <c r="H15" s="143">
        <v>45.0</v>
      </c>
      <c r="I15" s="139">
        <v>34.0</v>
      </c>
      <c r="J15" s="139">
        <v>32.0</v>
      </c>
      <c r="K15" s="138">
        <f t="shared" si="1"/>
        <v>2</v>
      </c>
      <c r="L15" s="145">
        <f t="shared" si="2"/>
        <v>2</v>
      </c>
      <c r="M15" s="145">
        <f t="shared" si="3"/>
        <v>0</v>
      </c>
      <c r="N15" s="102"/>
      <c r="O15" s="102"/>
      <c r="P15" s="102"/>
      <c r="Q15" s="102"/>
      <c r="R15" s="102"/>
      <c r="S15" s="102"/>
      <c r="T15" s="102"/>
      <c r="U15" s="102"/>
      <c r="V15" s="102"/>
      <c r="W15" s="102"/>
      <c r="X15" s="102"/>
    </row>
    <row r="16">
      <c r="A16" s="142">
        <v>7.0</v>
      </c>
      <c r="B16" s="92" t="s">
        <v>36</v>
      </c>
      <c r="C16" s="93" t="s">
        <v>37</v>
      </c>
      <c r="D16" s="143">
        <v>12.0</v>
      </c>
      <c r="E16" s="143" t="s">
        <v>243</v>
      </c>
      <c r="F16" s="144">
        <v>14.0</v>
      </c>
      <c r="G16" s="139">
        <v>17.0</v>
      </c>
      <c r="H16" s="143">
        <v>48.0</v>
      </c>
      <c r="I16" s="139">
        <v>25.0</v>
      </c>
      <c r="J16" s="139">
        <v>39.0</v>
      </c>
      <c r="K16" s="138">
        <f t="shared" si="1"/>
        <v>3</v>
      </c>
      <c r="L16" s="145">
        <f t="shared" si="2"/>
        <v>3</v>
      </c>
      <c r="M16" s="145">
        <f t="shared" si="3"/>
        <v>0</v>
      </c>
      <c r="N16" s="102"/>
      <c r="O16" s="102"/>
      <c r="P16" s="102"/>
      <c r="Q16" s="102"/>
      <c r="R16" s="102"/>
      <c r="S16" s="102"/>
      <c r="T16" s="102"/>
      <c r="U16" s="102"/>
      <c r="V16" s="102"/>
      <c r="W16" s="102"/>
      <c r="X16" s="102"/>
    </row>
    <row r="17">
      <c r="A17" s="142">
        <v>8.0</v>
      </c>
      <c r="B17" s="92" t="s">
        <v>38</v>
      </c>
      <c r="C17" s="93" t="s">
        <v>39</v>
      </c>
      <c r="D17" s="143">
        <v>21.0</v>
      </c>
      <c r="E17" s="143">
        <v>19.0</v>
      </c>
      <c r="F17" s="146">
        <v>15.0</v>
      </c>
      <c r="G17" s="143">
        <v>22.0</v>
      </c>
      <c r="H17" s="143">
        <v>34.0</v>
      </c>
      <c r="I17" s="139">
        <v>24.0</v>
      </c>
      <c r="J17" s="139">
        <v>28.0</v>
      </c>
      <c r="K17" s="138">
        <f t="shared" si="1"/>
        <v>3</v>
      </c>
      <c r="L17" s="145">
        <f t="shared" si="2"/>
        <v>3</v>
      </c>
      <c r="M17" s="145">
        <f t="shared" si="3"/>
        <v>0</v>
      </c>
      <c r="N17" s="102"/>
      <c r="O17" s="102"/>
      <c r="P17" s="102"/>
      <c r="Q17" s="102"/>
      <c r="R17" s="102"/>
      <c r="S17" s="102"/>
      <c r="T17" s="102"/>
      <c r="U17" s="102"/>
      <c r="V17" s="102"/>
      <c r="W17" s="102"/>
      <c r="X17" s="102"/>
    </row>
    <row r="18">
      <c r="A18" s="142">
        <v>9.0</v>
      </c>
      <c r="B18" s="92" t="s">
        <v>40</v>
      </c>
      <c r="C18" s="93" t="s">
        <v>41</v>
      </c>
      <c r="D18" s="143">
        <v>12.0</v>
      </c>
      <c r="E18" s="143">
        <v>18.0</v>
      </c>
      <c r="F18" s="146">
        <v>18.0</v>
      </c>
      <c r="G18" s="143">
        <v>10.0</v>
      </c>
      <c r="H18" s="143">
        <v>28.0</v>
      </c>
      <c r="I18" s="139">
        <v>10.0</v>
      </c>
      <c r="J18" s="139">
        <v>33.0</v>
      </c>
      <c r="K18" s="138">
        <f t="shared" si="1"/>
        <v>5</v>
      </c>
      <c r="L18" s="145">
        <f t="shared" si="2"/>
        <v>5</v>
      </c>
      <c r="M18" s="145">
        <f t="shared" si="3"/>
        <v>0</v>
      </c>
      <c r="N18" s="102"/>
      <c r="O18" s="102"/>
      <c r="P18" s="102"/>
      <c r="Q18" s="102"/>
      <c r="R18" s="102"/>
      <c r="S18" s="102"/>
      <c r="T18" s="102"/>
      <c r="U18" s="102"/>
      <c r="V18" s="102"/>
      <c r="W18" s="102"/>
      <c r="X18" s="102"/>
    </row>
    <row r="19">
      <c r="A19" s="142">
        <v>10.0</v>
      </c>
      <c r="B19" s="92" t="s">
        <v>42</v>
      </c>
      <c r="C19" s="93" t="s">
        <v>43</v>
      </c>
      <c r="D19" s="143">
        <v>42.0</v>
      </c>
      <c r="E19" s="143">
        <v>31.0</v>
      </c>
      <c r="F19" s="146">
        <v>41.0</v>
      </c>
      <c r="G19" s="143">
        <v>30.0</v>
      </c>
      <c r="H19" s="143">
        <v>35.0</v>
      </c>
      <c r="I19" s="139">
        <v>27.0</v>
      </c>
      <c r="J19" s="139">
        <v>36.0</v>
      </c>
      <c r="K19" s="138">
        <f t="shared" si="1"/>
        <v>0</v>
      </c>
      <c r="L19" s="145">
        <f t="shared" si="2"/>
        <v>0</v>
      </c>
      <c r="M19" s="145">
        <f t="shared" si="3"/>
        <v>0</v>
      </c>
      <c r="N19" s="102"/>
      <c r="O19" s="102"/>
      <c r="P19" s="102"/>
      <c r="Q19" s="102"/>
      <c r="R19" s="102"/>
      <c r="S19" s="102"/>
      <c r="T19" s="102"/>
      <c r="U19" s="102"/>
      <c r="V19" s="102"/>
      <c r="W19" s="102"/>
      <c r="X19" s="102"/>
    </row>
    <row r="20">
      <c r="A20" s="142">
        <v>11.0</v>
      </c>
      <c r="B20" s="92" t="s">
        <v>44</v>
      </c>
      <c r="C20" s="93" t="s">
        <v>45</v>
      </c>
      <c r="D20" s="143">
        <v>14.0</v>
      </c>
      <c r="E20" s="143">
        <v>15.0</v>
      </c>
      <c r="F20" s="146">
        <v>22.0</v>
      </c>
      <c r="G20" s="147">
        <v>23.0</v>
      </c>
      <c r="H20" s="143">
        <v>24.0</v>
      </c>
      <c r="I20" s="139">
        <v>22.0</v>
      </c>
      <c r="J20" s="139">
        <v>28.0</v>
      </c>
      <c r="K20" s="138">
        <f t="shared" si="1"/>
        <v>2</v>
      </c>
      <c r="L20" s="145">
        <f t="shared" si="2"/>
        <v>2</v>
      </c>
      <c r="M20" s="145">
        <f t="shared" si="3"/>
        <v>0</v>
      </c>
      <c r="N20" s="102"/>
      <c r="O20" s="102"/>
      <c r="P20" s="102"/>
      <c r="Q20" s="102"/>
      <c r="R20" s="102"/>
      <c r="S20" s="102"/>
      <c r="T20" s="102"/>
      <c r="U20" s="102"/>
      <c r="V20" s="102"/>
      <c r="W20" s="102"/>
      <c r="X20" s="102"/>
    </row>
    <row r="21">
      <c r="A21" s="142">
        <v>12.0</v>
      </c>
      <c r="B21" s="92" t="s">
        <v>46</v>
      </c>
      <c r="C21" s="93" t="s">
        <v>47</v>
      </c>
      <c r="D21" s="143">
        <v>39.0</v>
      </c>
      <c r="E21" s="143">
        <v>48.0</v>
      </c>
      <c r="F21" s="146">
        <v>47.0</v>
      </c>
      <c r="G21" s="143">
        <v>43.0</v>
      </c>
      <c r="H21" s="143">
        <v>41.0</v>
      </c>
      <c r="I21" s="139">
        <v>43.0</v>
      </c>
      <c r="J21" s="139">
        <v>42.0</v>
      </c>
      <c r="K21" s="138">
        <f t="shared" si="1"/>
        <v>0</v>
      </c>
      <c r="L21" s="145">
        <f t="shared" si="2"/>
        <v>0</v>
      </c>
      <c r="M21" s="145">
        <f t="shared" si="3"/>
        <v>0</v>
      </c>
      <c r="N21" s="102"/>
      <c r="O21" s="102"/>
      <c r="P21" s="102"/>
      <c r="Q21" s="102"/>
      <c r="R21" s="102"/>
      <c r="S21" s="102"/>
      <c r="T21" s="102"/>
      <c r="U21" s="102"/>
      <c r="V21" s="102"/>
      <c r="W21" s="102"/>
      <c r="X21" s="102"/>
    </row>
    <row r="22">
      <c r="A22" s="142">
        <v>13.0</v>
      </c>
      <c r="B22" s="92" t="s">
        <v>48</v>
      </c>
      <c r="C22" s="93" t="s">
        <v>49</v>
      </c>
      <c r="D22" s="143">
        <v>36.0</v>
      </c>
      <c r="E22" s="143">
        <v>32.0</v>
      </c>
      <c r="F22" s="146">
        <v>29.0</v>
      </c>
      <c r="G22" s="143">
        <v>30.0</v>
      </c>
      <c r="H22" s="143">
        <v>39.0</v>
      </c>
      <c r="I22" s="139">
        <v>31.0</v>
      </c>
      <c r="J22" s="139">
        <v>33.0</v>
      </c>
      <c r="K22" s="138">
        <f t="shared" si="1"/>
        <v>0</v>
      </c>
      <c r="L22" s="145">
        <f t="shared" si="2"/>
        <v>0</v>
      </c>
      <c r="M22" s="145">
        <f t="shared" si="3"/>
        <v>0</v>
      </c>
      <c r="N22" s="102"/>
      <c r="O22" s="102"/>
      <c r="P22" s="102"/>
      <c r="Q22" s="102"/>
      <c r="R22" s="102"/>
      <c r="S22" s="102"/>
      <c r="T22" s="102"/>
      <c r="U22" s="102"/>
      <c r="V22" s="102"/>
      <c r="W22" s="102"/>
      <c r="X22" s="102"/>
    </row>
    <row r="23">
      <c r="A23" s="150">
        <v>14.0</v>
      </c>
      <c r="B23" s="148" t="s">
        <v>50</v>
      </c>
      <c r="C23" s="149" t="s">
        <v>51</v>
      </c>
      <c r="D23" s="143">
        <v>33.0</v>
      </c>
      <c r="E23" s="143">
        <v>39.0</v>
      </c>
      <c r="F23" s="146">
        <v>37.0</v>
      </c>
      <c r="G23" s="143">
        <v>23.0</v>
      </c>
      <c r="H23" s="143">
        <v>39.0</v>
      </c>
      <c r="I23" s="139">
        <v>40.0</v>
      </c>
      <c r="J23" s="139">
        <v>39.0</v>
      </c>
      <c r="K23" s="138">
        <f t="shared" si="1"/>
        <v>0</v>
      </c>
      <c r="L23" s="145">
        <f t="shared" si="2"/>
        <v>0</v>
      </c>
      <c r="M23" s="145">
        <f t="shared" si="3"/>
        <v>0</v>
      </c>
      <c r="N23" s="102"/>
      <c r="O23" s="102"/>
      <c r="P23" s="102"/>
      <c r="Q23" s="102"/>
      <c r="R23" s="102"/>
      <c r="S23" s="102"/>
      <c r="T23" s="102"/>
      <c r="U23" s="102"/>
      <c r="V23" s="102"/>
      <c r="W23" s="102"/>
      <c r="X23" s="102"/>
    </row>
    <row r="24">
      <c r="A24" s="142">
        <v>15.0</v>
      </c>
      <c r="B24" s="92" t="s">
        <v>52</v>
      </c>
      <c r="C24" s="93" t="s">
        <v>53</v>
      </c>
      <c r="D24" s="143">
        <v>39.0</v>
      </c>
      <c r="E24" s="143">
        <v>32.0</v>
      </c>
      <c r="F24" s="146">
        <v>24.0</v>
      </c>
      <c r="G24" s="143">
        <v>28.0</v>
      </c>
      <c r="H24" s="143">
        <v>27.0</v>
      </c>
      <c r="I24" s="139">
        <v>28.0</v>
      </c>
      <c r="J24" s="139">
        <v>32.0</v>
      </c>
      <c r="K24" s="138">
        <f t="shared" si="1"/>
        <v>0</v>
      </c>
      <c r="L24" s="145">
        <f t="shared" si="2"/>
        <v>0</v>
      </c>
      <c r="M24" s="145">
        <f t="shared" si="3"/>
        <v>0</v>
      </c>
      <c r="N24" s="102"/>
      <c r="O24" s="102"/>
      <c r="P24" s="102"/>
      <c r="Q24" s="102"/>
      <c r="R24" s="102"/>
      <c r="S24" s="102"/>
      <c r="T24" s="102"/>
      <c r="U24" s="102"/>
      <c r="V24" s="102"/>
      <c r="W24" s="102"/>
      <c r="X24" s="102"/>
    </row>
    <row r="25">
      <c r="A25" s="151">
        <v>16.0</v>
      </c>
      <c r="B25" s="92" t="s">
        <v>54</v>
      </c>
      <c r="C25" s="93" t="s">
        <v>55</v>
      </c>
      <c r="D25" s="143">
        <v>13.0</v>
      </c>
      <c r="E25" s="143">
        <v>32.0</v>
      </c>
      <c r="F25" s="146">
        <v>16.0</v>
      </c>
      <c r="G25" s="147">
        <v>15.0</v>
      </c>
      <c r="H25" s="143">
        <v>38.0</v>
      </c>
      <c r="I25" s="139">
        <v>27.0</v>
      </c>
      <c r="J25" s="139">
        <v>25.0</v>
      </c>
      <c r="K25" s="138">
        <f t="shared" si="1"/>
        <v>3</v>
      </c>
      <c r="L25" s="145">
        <f t="shared" si="2"/>
        <v>3</v>
      </c>
      <c r="M25" s="145">
        <f t="shared" si="3"/>
        <v>0</v>
      </c>
      <c r="N25" s="102"/>
      <c r="O25" s="102"/>
      <c r="P25" s="102"/>
      <c r="Q25" s="102"/>
      <c r="R25" s="102"/>
      <c r="S25" s="102"/>
      <c r="T25" s="102"/>
      <c r="U25" s="102"/>
      <c r="V25" s="102"/>
      <c r="W25" s="102"/>
      <c r="X25" s="102"/>
    </row>
    <row r="26">
      <c r="A26" s="142">
        <v>17.0</v>
      </c>
      <c r="B26" s="92" t="s">
        <v>56</v>
      </c>
      <c r="C26" s="93" t="s">
        <v>57</v>
      </c>
      <c r="D26" s="143">
        <v>49.0</v>
      </c>
      <c r="E26" s="143">
        <v>48.0</v>
      </c>
      <c r="F26" s="146">
        <v>37.0</v>
      </c>
      <c r="G26" s="143">
        <v>23.0</v>
      </c>
      <c r="H26" s="143">
        <v>50.0</v>
      </c>
      <c r="I26" s="139">
        <v>47.0</v>
      </c>
      <c r="J26" s="139">
        <v>40.0</v>
      </c>
      <c r="K26" s="138">
        <f t="shared" si="1"/>
        <v>0</v>
      </c>
      <c r="L26" s="145">
        <f t="shared" si="2"/>
        <v>0</v>
      </c>
      <c r="M26" s="145">
        <f t="shared" si="3"/>
        <v>0</v>
      </c>
      <c r="N26" s="102"/>
      <c r="O26" s="102"/>
      <c r="P26" s="102"/>
      <c r="Q26" s="102"/>
      <c r="R26" s="102"/>
      <c r="S26" s="102"/>
      <c r="T26" s="102"/>
      <c r="U26" s="102"/>
      <c r="V26" s="102"/>
      <c r="W26" s="102"/>
      <c r="X26" s="102"/>
    </row>
    <row r="27">
      <c r="A27" s="142">
        <v>18.0</v>
      </c>
      <c r="B27" s="92" t="s">
        <v>58</v>
      </c>
      <c r="C27" s="93" t="s">
        <v>59</v>
      </c>
      <c r="D27" s="143">
        <v>45.0</v>
      </c>
      <c r="E27" s="143">
        <v>37.0</v>
      </c>
      <c r="F27" s="146">
        <v>32.0</v>
      </c>
      <c r="G27" s="143">
        <v>42.0</v>
      </c>
      <c r="H27" s="143">
        <v>39.0</v>
      </c>
      <c r="I27" s="139">
        <v>44.0</v>
      </c>
      <c r="J27" s="139">
        <v>37.0</v>
      </c>
      <c r="K27" s="138">
        <f t="shared" si="1"/>
        <v>0</v>
      </c>
      <c r="L27" s="145">
        <f t="shared" si="2"/>
        <v>0</v>
      </c>
      <c r="M27" s="145">
        <f t="shared" si="3"/>
        <v>0</v>
      </c>
      <c r="N27" s="102"/>
      <c r="O27" s="102"/>
      <c r="P27" s="102"/>
      <c r="Q27" s="102"/>
      <c r="R27" s="102"/>
      <c r="S27" s="102"/>
      <c r="T27" s="102"/>
      <c r="U27" s="102"/>
      <c r="V27" s="102"/>
      <c r="W27" s="102"/>
      <c r="X27" s="102"/>
    </row>
    <row r="28">
      <c r="A28" s="142">
        <v>19.0</v>
      </c>
      <c r="B28" s="92" t="s">
        <v>60</v>
      </c>
      <c r="C28" s="93" t="s">
        <v>61</v>
      </c>
      <c r="D28" s="143">
        <v>34.0</v>
      </c>
      <c r="E28" s="143">
        <v>20.0</v>
      </c>
      <c r="F28" s="146">
        <v>7.0</v>
      </c>
      <c r="G28" s="143">
        <v>18.0</v>
      </c>
      <c r="H28" s="143">
        <v>40.0</v>
      </c>
      <c r="I28" s="139">
        <v>31.0</v>
      </c>
      <c r="J28" s="139">
        <v>19.0</v>
      </c>
      <c r="K28" s="138">
        <f t="shared" si="1"/>
        <v>4</v>
      </c>
      <c r="L28" s="145">
        <f t="shared" si="2"/>
        <v>3</v>
      </c>
      <c r="M28" s="145">
        <f t="shared" si="3"/>
        <v>0</v>
      </c>
      <c r="N28" s="102"/>
      <c r="O28" s="102"/>
      <c r="P28" s="102"/>
      <c r="Q28" s="102"/>
      <c r="R28" s="102"/>
      <c r="S28" s="102"/>
      <c r="T28" s="102"/>
      <c r="U28" s="102"/>
      <c r="V28" s="102"/>
      <c r="W28" s="102"/>
      <c r="X28" s="102"/>
    </row>
    <row r="29">
      <c r="A29" s="142">
        <v>20.0</v>
      </c>
      <c r="B29" s="92" t="s">
        <v>62</v>
      </c>
      <c r="C29" s="93" t="s">
        <v>63</v>
      </c>
      <c r="D29" s="143">
        <v>50.0</v>
      </c>
      <c r="E29" s="143">
        <v>36.0</v>
      </c>
      <c r="F29" s="146">
        <v>34.0</v>
      </c>
      <c r="G29" s="143">
        <v>31.0</v>
      </c>
      <c r="H29" s="143">
        <v>47.0</v>
      </c>
      <c r="I29" s="139">
        <v>43.0</v>
      </c>
      <c r="J29" s="139">
        <v>39.0</v>
      </c>
      <c r="K29" s="138">
        <f t="shared" si="1"/>
        <v>0</v>
      </c>
      <c r="L29" s="145">
        <f t="shared" si="2"/>
        <v>0</v>
      </c>
      <c r="M29" s="145">
        <f t="shared" si="3"/>
        <v>0</v>
      </c>
      <c r="N29" s="102"/>
      <c r="O29" s="102"/>
      <c r="P29" s="102"/>
      <c r="Q29" s="102"/>
      <c r="R29" s="102"/>
      <c r="S29" s="102"/>
      <c r="T29" s="102"/>
      <c r="U29" s="102"/>
      <c r="V29" s="102"/>
      <c r="W29" s="102"/>
      <c r="X29" s="102"/>
    </row>
    <row r="30">
      <c r="A30" s="142">
        <v>21.0</v>
      </c>
      <c r="B30" s="92" t="s">
        <v>64</v>
      </c>
      <c r="C30" s="93" t="s">
        <v>65</v>
      </c>
      <c r="D30" s="143">
        <v>17.0</v>
      </c>
      <c r="E30" s="143">
        <v>31.0</v>
      </c>
      <c r="F30" s="146">
        <v>17.0</v>
      </c>
      <c r="G30" s="143">
        <v>10.0</v>
      </c>
      <c r="H30" s="143">
        <v>34.0</v>
      </c>
      <c r="I30" s="139">
        <v>10.0</v>
      </c>
      <c r="J30" s="139">
        <v>35.0</v>
      </c>
      <c r="K30" s="138">
        <f t="shared" si="1"/>
        <v>4</v>
      </c>
      <c r="L30" s="145">
        <f t="shared" si="2"/>
        <v>4</v>
      </c>
      <c r="M30" s="145">
        <f t="shared" si="3"/>
        <v>0</v>
      </c>
      <c r="N30" s="102"/>
      <c r="O30" s="102"/>
      <c r="P30" s="102"/>
      <c r="Q30" s="102"/>
      <c r="R30" s="102"/>
      <c r="S30" s="102"/>
      <c r="T30" s="102"/>
      <c r="U30" s="102"/>
      <c r="V30" s="102"/>
      <c r="W30" s="102"/>
      <c r="X30" s="102"/>
    </row>
    <row r="31">
      <c r="A31" s="142">
        <v>22.0</v>
      </c>
      <c r="B31" s="92" t="s">
        <v>66</v>
      </c>
      <c r="C31" s="93" t="s">
        <v>67</v>
      </c>
      <c r="D31" s="143">
        <v>21.0</v>
      </c>
      <c r="E31" s="143">
        <v>44.0</v>
      </c>
      <c r="F31" s="146">
        <v>22.0</v>
      </c>
      <c r="G31" s="143">
        <v>4.0</v>
      </c>
      <c r="H31" s="143">
        <v>32.0</v>
      </c>
      <c r="I31" s="139">
        <v>14.0</v>
      </c>
      <c r="J31" s="139">
        <v>24.0</v>
      </c>
      <c r="K31" s="138">
        <f t="shared" si="1"/>
        <v>3</v>
      </c>
      <c r="L31" s="145">
        <f t="shared" si="2"/>
        <v>3</v>
      </c>
      <c r="M31" s="145">
        <f t="shared" si="3"/>
        <v>0</v>
      </c>
      <c r="N31" s="102"/>
      <c r="O31" s="102"/>
      <c r="P31" s="102"/>
      <c r="Q31" s="102"/>
      <c r="R31" s="102"/>
      <c r="S31" s="102"/>
      <c r="T31" s="102"/>
      <c r="U31" s="102"/>
      <c r="V31" s="102"/>
      <c r="W31" s="102"/>
      <c r="X31" s="102"/>
    </row>
    <row r="32">
      <c r="A32" s="142">
        <v>23.0</v>
      </c>
      <c r="B32" s="92" t="s">
        <v>68</v>
      </c>
      <c r="C32" s="93" t="s">
        <v>69</v>
      </c>
      <c r="D32" s="143">
        <v>40.0</v>
      </c>
      <c r="E32" s="143">
        <v>49.0</v>
      </c>
      <c r="F32" s="146">
        <v>50.0</v>
      </c>
      <c r="G32" s="143">
        <v>41.0</v>
      </c>
      <c r="H32" s="143">
        <v>43.0</v>
      </c>
      <c r="I32" s="139">
        <v>45.0</v>
      </c>
      <c r="J32" s="139">
        <v>36.0</v>
      </c>
      <c r="K32" s="138">
        <f t="shared" si="1"/>
        <v>0</v>
      </c>
      <c r="L32" s="145">
        <f t="shared" si="2"/>
        <v>0</v>
      </c>
      <c r="M32" s="145">
        <f t="shared" si="3"/>
        <v>0</v>
      </c>
      <c r="N32" s="102"/>
      <c r="O32" s="102"/>
      <c r="P32" s="102"/>
      <c r="Q32" s="102"/>
      <c r="R32" s="102"/>
      <c r="S32" s="102"/>
      <c r="T32" s="102"/>
      <c r="U32" s="102"/>
      <c r="V32" s="102"/>
      <c r="W32" s="102"/>
      <c r="X32" s="102"/>
    </row>
    <row r="33">
      <c r="A33" s="142">
        <v>24.0</v>
      </c>
      <c r="B33" s="92" t="s">
        <v>70</v>
      </c>
      <c r="C33" s="93" t="s">
        <v>71</v>
      </c>
      <c r="D33" s="143">
        <v>44.0</v>
      </c>
      <c r="E33" s="143">
        <v>23.0</v>
      </c>
      <c r="F33" s="146">
        <v>50.0</v>
      </c>
      <c r="G33" s="143">
        <v>43.0</v>
      </c>
      <c r="H33" s="143">
        <v>48.0</v>
      </c>
      <c r="I33" s="139">
        <v>45.0</v>
      </c>
      <c r="J33" s="139">
        <v>41.0</v>
      </c>
      <c r="K33" s="138">
        <f t="shared" si="1"/>
        <v>0</v>
      </c>
      <c r="L33" s="145">
        <f t="shared" si="2"/>
        <v>0</v>
      </c>
      <c r="M33" s="145">
        <f t="shared" si="3"/>
        <v>0</v>
      </c>
      <c r="N33" s="102"/>
      <c r="O33" s="102"/>
      <c r="P33" s="102"/>
      <c r="Q33" s="102"/>
      <c r="R33" s="102"/>
      <c r="S33" s="102"/>
      <c r="T33" s="102"/>
      <c r="U33" s="102"/>
      <c r="V33" s="102"/>
      <c r="W33" s="102"/>
      <c r="X33" s="102"/>
    </row>
    <row r="34">
      <c r="A34" s="142">
        <v>25.0</v>
      </c>
      <c r="B34" s="92" t="s">
        <v>72</v>
      </c>
      <c r="C34" s="93" t="s">
        <v>73</v>
      </c>
      <c r="D34" s="143">
        <v>31.0</v>
      </c>
      <c r="E34" s="143">
        <v>36.0</v>
      </c>
      <c r="F34" s="146">
        <v>28.0</v>
      </c>
      <c r="G34" s="143">
        <v>15.0</v>
      </c>
      <c r="H34" s="143">
        <v>35.0</v>
      </c>
      <c r="I34" s="139">
        <v>21.0</v>
      </c>
      <c r="J34" s="139">
        <v>30.0</v>
      </c>
      <c r="K34" s="138">
        <f t="shared" si="1"/>
        <v>2</v>
      </c>
      <c r="L34" s="145">
        <f t="shared" si="2"/>
        <v>2</v>
      </c>
      <c r="M34" s="145">
        <f t="shared" si="3"/>
        <v>0</v>
      </c>
      <c r="N34" s="102"/>
      <c r="O34" s="102"/>
      <c r="P34" s="102"/>
      <c r="Q34" s="102"/>
      <c r="R34" s="102"/>
      <c r="S34" s="102"/>
      <c r="T34" s="102"/>
      <c r="U34" s="102"/>
      <c r="V34" s="102"/>
      <c r="W34" s="102"/>
      <c r="X34" s="102"/>
    </row>
    <row r="35">
      <c r="A35" s="142">
        <v>26.0</v>
      </c>
      <c r="B35" s="92" t="s">
        <v>74</v>
      </c>
      <c r="C35" s="93" t="s">
        <v>75</v>
      </c>
      <c r="D35" s="143">
        <v>20.0</v>
      </c>
      <c r="E35" s="143">
        <v>23.0</v>
      </c>
      <c r="F35" s="146">
        <v>24.0</v>
      </c>
      <c r="G35" s="143">
        <v>7.0</v>
      </c>
      <c r="H35" s="143">
        <v>28.0</v>
      </c>
      <c r="I35" s="139">
        <v>22.0</v>
      </c>
      <c r="J35" s="139">
        <v>29.0</v>
      </c>
      <c r="K35" s="138">
        <f t="shared" si="1"/>
        <v>2</v>
      </c>
      <c r="L35" s="145">
        <f t="shared" si="2"/>
        <v>2</v>
      </c>
      <c r="M35" s="145">
        <f t="shared" si="3"/>
        <v>0</v>
      </c>
      <c r="N35" s="102"/>
      <c r="O35" s="102"/>
      <c r="P35" s="102"/>
      <c r="Q35" s="102"/>
      <c r="R35" s="102"/>
      <c r="S35" s="102"/>
      <c r="T35" s="102"/>
      <c r="U35" s="102"/>
      <c r="V35" s="102"/>
      <c r="W35" s="102"/>
      <c r="X35" s="102"/>
    </row>
    <row r="36">
      <c r="A36" s="142">
        <v>27.0</v>
      </c>
      <c r="B36" s="92" t="s">
        <v>76</v>
      </c>
      <c r="C36" s="93" t="s">
        <v>77</v>
      </c>
      <c r="D36" s="143">
        <v>48.0</v>
      </c>
      <c r="E36" s="143">
        <v>45.0</v>
      </c>
      <c r="F36" s="146">
        <v>40.0</v>
      </c>
      <c r="G36" s="143">
        <v>37.0</v>
      </c>
      <c r="H36" s="143">
        <v>43.0</v>
      </c>
      <c r="I36" s="139">
        <v>44.0</v>
      </c>
      <c r="J36" s="139">
        <v>42.0</v>
      </c>
      <c r="K36" s="138">
        <f t="shared" si="1"/>
        <v>0</v>
      </c>
      <c r="L36" s="145">
        <f t="shared" si="2"/>
        <v>0</v>
      </c>
      <c r="M36" s="145">
        <f t="shared" si="3"/>
        <v>0</v>
      </c>
      <c r="N36" s="102"/>
      <c r="O36" s="102"/>
      <c r="P36" s="102"/>
      <c r="Q36" s="102"/>
      <c r="R36" s="102"/>
      <c r="S36" s="102"/>
      <c r="T36" s="102"/>
      <c r="U36" s="102"/>
      <c r="V36" s="102"/>
      <c r="W36" s="102"/>
      <c r="X36" s="102"/>
    </row>
    <row r="37">
      <c r="A37" s="142">
        <v>28.0</v>
      </c>
      <c r="B37" s="92" t="s">
        <v>78</v>
      </c>
      <c r="C37" s="93" t="s">
        <v>79</v>
      </c>
      <c r="D37" s="143">
        <v>24.0</v>
      </c>
      <c r="E37" s="143">
        <v>33.0</v>
      </c>
      <c r="F37" s="146">
        <v>20.0</v>
      </c>
      <c r="G37" s="143">
        <v>15.0</v>
      </c>
      <c r="H37" s="143">
        <v>42.0</v>
      </c>
      <c r="I37" s="139">
        <v>24.0</v>
      </c>
      <c r="J37" s="139">
        <v>34.0</v>
      </c>
      <c r="K37" s="138">
        <f t="shared" si="1"/>
        <v>2</v>
      </c>
      <c r="L37" s="145">
        <f t="shared" si="2"/>
        <v>2</v>
      </c>
      <c r="M37" s="145">
        <f t="shared" si="3"/>
        <v>0</v>
      </c>
      <c r="N37" s="102"/>
      <c r="O37" s="102"/>
      <c r="P37" s="102"/>
      <c r="Q37" s="102"/>
      <c r="R37" s="102"/>
      <c r="S37" s="102"/>
      <c r="T37" s="102"/>
      <c r="U37" s="102"/>
      <c r="V37" s="102"/>
      <c r="W37" s="102"/>
      <c r="X37" s="102"/>
    </row>
    <row r="38">
      <c r="A38" s="142">
        <v>29.0</v>
      </c>
      <c r="B38" s="92" t="s">
        <v>80</v>
      </c>
      <c r="C38" s="93" t="s">
        <v>81</v>
      </c>
      <c r="D38" s="143">
        <v>8.0</v>
      </c>
      <c r="E38" s="143" t="s">
        <v>243</v>
      </c>
      <c r="F38" s="146">
        <v>21.0</v>
      </c>
      <c r="G38" s="143" t="s">
        <v>243</v>
      </c>
      <c r="H38" s="143">
        <v>29.0</v>
      </c>
      <c r="I38" s="139">
        <v>5.0</v>
      </c>
      <c r="J38" s="139">
        <v>29.0</v>
      </c>
      <c r="K38" s="138">
        <f t="shared" si="1"/>
        <v>3</v>
      </c>
      <c r="L38" s="145">
        <f t="shared" si="2"/>
        <v>3</v>
      </c>
      <c r="M38" s="145">
        <f t="shared" si="3"/>
        <v>0</v>
      </c>
      <c r="N38" s="102"/>
      <c r="O38" s="102"/>
      <c r="P38" s="102"/>
      <c r="Q38" s="102"/>
      <c r="R38" s="102"/>
      <c r="S38" s="102"/>
      <c r="T38" s="102"/>
      <c r="U38" s="102"/>
      <c r="V38" s="102"/>
      <c r="W38" s="102"/>
      <c r="X38" s="102"/>
    </row>
    <row r="39">
      <c r="A39" s="142">
        <v>30.0</v>
      </c>
      <c r="B39" s="92" t="s">
        <v>82</v>
      </c>
      <c r="C39" s="93" t="s">
        <v>83</v>
      </c>
      <c r="D39" s="143">
        <v>29.0</v>
      </c>
      <c r="E39" s="143">
        <v>23.0</v>
      </c>
      <c r="F39" s="146">
        <v>21.0</v>
      </c>
      <c r="G39" s="143">
        <v>28.0</v>
      </c>
      <c r="H39" s="143">
        <v>38.0</v>
      </c>
      <c r="I39" s="139">
        <v>23.0</v>
      </c>
      <c r="J39" s="139">
        <v>30.0</v>
      </c>
      <c r="K39" s="138">
        <f t="shared" si="1"/>
        <v>1</v>
      </c>
      <c r="L39" s="145">
        <f t="shared" si="2"/>
        <v>1</v>
      </c>
      <c r="M39" s="145">
        <f t="shared" si="3"/>
        <v>0</v>
      </c>
      <c r="N39" s="102"/>
      <c r="O39" s="102"/>
      <c r="P39" s="102"/>
      <c r="Q39" s="102"/>
      <c r="R39" s="102"/>
      <c r="S39" s="102"/>
      <c r="T39" s="102"/>
      <c r="U39" s="102"/>
      <c r="V39" s="102"/>
      <c r="W39" s="102"/>
      <c r="X39" s="102"/>
    </row>
    <row r="40">
      <c r="A40" s="142">
        <v>31.0</v>
      </c>
      <c r="B40" s="92" t="s">
        <v>84</v>
      </c>
      <c r="C40" s="93" t="s">
        <v>85</v>
      </c>
      <c r="D40" s="143">
        <v>41.0</v>
      </c>
      <c r="E40" s="143">
        <v>34.0</v>
      </c>
      <c r="F40" s="146">
        <v>33.0</v>
      </c>
      <c r="G40" s="143">
        <v>36.0</v>
      </c>
      <c r="H40" s="143">
        <v>50.0</v>
      </c>
      <c r="I40" s="139">
        <v>36.0</v>
      </c>
      <c r="J40" s="139">
        <v>39.0</v>
      </c>
      <c r="K40" s="138">
        <f t="shared" si="1"/>
        <v>0</v>
      </c>
      <c r="L40" s="145">
        <f t="shared" si="2"/>
        <v>0</v>
      </c>
      <c r="M40" s="145">
        <f t="shared" si="3"/>
        <v>0</v>
      </c>
      <c r="N40" s="102"/>
      <c r="O40" s="102"/>
      <c r="P40" s="102"/>
      <c r="Q40" s="102"/>
      <c r="R40" s="102"/>
      <c r="S40" s="102"/>
      <c r="T40" s="102"/>
      <c r="U40" s="102"/>
      <c r="V40" s="102"/>
      <c r="W40" s="102"/>
      <c r="X40" s="102"/>
    </row>
    <row r="41">
      <c r="A41" s="142">
        <v>32.0</v>
      </c>
      <c r="B41" s="92" t="s">
        <v>86</v>
      </c>
      <c r="C41" s="93" t="s">
        <v>87</v>
      </c>
      <c r="D41" s="143">
        <v>50.0</v>
      </c>
      <c r="E41" s="143">
        <v>50.0</v>
      </c>
      <c r="F41" s="146">
        <v>49.0</v>
      </c>
      <c r="G41" s="143">
        <v>40.0</v>
      </c>
      <c r="H41" s="143">
        <v>39.0</v>
      </c>
      <c r="I41" s="139">
        <v>46.0</v>
      </c>
      <c r="J41" s="139">
        <v>39.0</v>
      </c>
      <c r="K41" s="138">
        <f t="shared" si="1"/>
        <v>0</v>
      </c>
      <c r="L41" s="145">
        <f t="shared" si="2"/>
        <v>0</v>
      </c>
      <c r="M41" s="145">
        <f t="shared" si="3"/>
        <v>0</v>
      </c>
      <c r="N41" s="102"/>
      <c r="O41" s="102"/>
      <c r="P41" s="102"/>
      <c r="Q41" s="102"/>
      <c r="R41" s="102"/>
      <c r="S41" s="102"/>
      <c r="T41" s="102"/>
      <c r="U41" s="102"/>
      <c r="V41" s="102"/>
      <c r="W41" s="102"/>
      <c r="X41" s="102"/>
    </row>
    <row r="42">
      <c r="A42" s="142">
        <v>33.0</v>
      </c>
      <c r="B42" s="92" t="s">
        <v>88</v>
      </c>
      <c r="C42" s="93" t="s">
        <v>89</v>
      </c>
      <c r="D42" s="143">
        <v>43.0</v>
      </c>
      <c r="E42" s="143">
        <v>36.0</v>
      </c>
      <c r="F42" s="146">
        <v>47.0</v>
      </c>
      <c r="G42" s="143">
        <v>40.0</v>
      </c>
      <c r="H42" s="143">
        <v>44.0</v>
      </c>
      <c r="I42" s="139">
        <v>48.0</v>
      </c>
      <c r="J42" s="139">
        <v>39.0</v>
      </c>
      <c r="K42" s="138">
        <f t="shared" si="1"/>
        <v>0</v>
      </c>
      <c r="L42" s="145">
        <f t="shared" si="2"/>
        <v>0</v>
      </c>
      <c r="M42" s="145">
        <f t="shared" si="3"/>
        <v>0</v>
      </c>
      <c r="N42" s="102"/>
      <c r="O42" s="102"/>
      <c r="P42" s="102"/>
      <c r="Q42" s="102"/>
      <c r="R42" s="102"/>
      <c r="S42" s="102"/>
      <c r="T42" s="102"/>
      <c r="U42" s="102"/>
      <c r="V42" s="102"/>
      <c r="W42" s="102"/>
      <c r="X42" s="102"/>
    </row>
    <row r="43">
      <c r="A43" s="142">
        <v>34.0</v>
      </c>
      <c r="B43" s="92" t="s">
        <v>90</v>
      </c>
      <c r="C43" s="93" t="s">
        <v>91</v>
      </c>
      <c r="D43" s="143">
        <v>50.0</v>
      </c>
      <c r="E43" s="143">
        <v>40.0</v>
      </c>
      <c r="F43" s="146">
        <v>43.0</v>
      </c>
      <c r="G43" s="143">
        <v>39.0</v>
      </c>
      <c r="H43" s="143">
        <v>41.0</v>
      </c>
      <c r="I43" s="139">
        <v>36.0</v>
      </c>
      <c r="J43" s="139">
        <v>42.0</v>
      </c>
      <c r="K43" s="138">
        <f t="shared" si="1"/>
        <v>0</v>
      </c>
      <c r="L43" s="145">
        <f t="shared" si="2"/>
        <v>0</v>
      </c>
      <c r="M43" s="145">
        <f t="shared" si="3"/>
        <v>0</v>
      </c>
      <c r="N43" s="102"/>
      <c r="O43" s="102"/>
      <c r="P43" s="102"/>
      <c r="Q43" s="102"/>
      <c r="R43" s="102"/>
      <c r="S43" s="102"/>
      <c r="T43" s="102"/>
      <c r="U43" s="102"/>
      <c r="V43" s="102"/>
      <c r="W43" s="102"/>
      <c r="X43" s="102"/>
    </row>
    <row r="44">
      <c r="A44" s="142">
        <v>35.0</v>
      </c>
      <c r="B44" s="92" t="s">
        <v>92</v>
      </c>
      <c r="C44" s="93" t="s">
        <v>93</v>
      </c>
      <c r="D44" s="143">
        <v>29.0</v>
      </c>
      <c r="E44" s="143">
        <v>37.0</v>
      </c>
      <c r="F44" s="146">
        <v>20.0</v>
      </c>
      <c r="G44" s="152">
        <v>2.0</v>
      </c>
      <c r="H44" s="143">
        <v>30.0</v>
      </c>
      <c r="I44" s="139">
        <v>11.0</v>
      </c>
      <c r="J44" s="139">
        <v>30.0</v>
      </c>
      <c r="K44" s="138">
        <f t="shared" si="1"/>
        <v>3</v>
      </c>
      <c r="L44" s="145">
        <f t="shared" si="2"/>
        <v>3</v>
      </c>
      <c r="M44" s="145">
        <f t="shared" si="3"/>
        <v>0</v>
      </c>
      <c r="N44" s="102"/>
      <c r="O44" s="102"/>
      <c r="P44" s="102"/>
      <c r="Q44" s="102"/>
      <c r="R44" s="102"/>
      <c r="S44" s="102"/>
      <c r="T44" s="102"/>
      <c r="U44" s="102"/>
      <c r="V44" s="102"/>
      <c r="W44" s="102"/>
      <c r="X44" s="102"/>
    </row>
    <row r="45">
      <c r="A45" s="142">
        <v>36.0</v>
      </c>
      <c r="B45" s="92" t="s">
        <v>94</v>
      </c>
      <c r="C45" s="100" t="s">
        <v>95</v>
      </c>
      <c r="D45" s="143">
        <v>40.0</v>
      </c>
      <c r="E45" s="143">
        <v>31.0</v>
      </c>
      <c r="F45" s="146">
        <v>42.0</v>
      </c>
      <c r="G45" s="143">
        <v>44.0</v>
      </c>
      <c r="H45" s="143">
        <v>32.0</v>
      </c>
      <c r="I45" s="139">
        <v>27.0</v>
      </c>
      <c r="J45" s="139">
        <v>36.0</v>
      </c>
      <c r="K45" s="138">
        <f t="shared" si="1"/>
        <v>0</v>
      </c>
      <c r="L45" s="145">
        <f t="shared" si="2"/>
        <v>0</v>
      </c>
      <c r="M45" s="145">
        <f t="shared" si="3"/>
        <v>0</v>
      </c>
      <c r="N45" s="102"/>
      <c r="O45" s="102"/>
      <c r="P45" s="102"/>
      <c r="Q45" s="102"/>
      <c r="R45" s="102"/>
      <c r="S45" s="102"/>
      <c r="T45" s="102"/>
      <c r="U45" s="102"/>
      <c r="V45" s="102"/>
      <c r="W45" s="102"/>
      <c r="X45" s="102"/>
    </row>
    <row r="46">
      <c r="A46" s="142">
        <v>37.0</v>
      </c>
      <c r="B46" s="92" t="s">
        <v>96</v>
      </c>
      <c r="C46" s="93" t="s">
        <v>97</v>
      </c>
      <c r="D46" s="143">
        <v>38.0</v>
      </c>
      <c r="E46" s="143">
        <v>32.0</v>
      </c>
      <c r="F46" s="146">
        <v>34.0</v>
      </c>
      <c r="G46" s="143">
        <v>32.0</v>
      </c>
      <c r="H46" s="143">
        <v>42.0</v>
      </c>
      <c r="I46" s="139">
        <v>38.0</v>
      </c>
      <c r="J46" s="139">
        <v>39.0</v>
      </c>
      <c r="K46" s="138">
        <f t="shared" si="1"/>
        <v>0</v>
      </c>
      <c r="L46" s="145">
        <f t="shared" si="2"/>
        <v>0</v>
      </c>
      <c r="M46" s="145">
        <f t="shared" si="3"/>
        <v>0</v>
      </c>
      <c r="N46" s="102"/>
      <c r="O46" s="102"/>
      <c r="P46" s="102"/>
      <c r="Q46" s="102"/>
      <c r="R46" s="102"/>
      <c r="S46" s="102"/>
      <c r="T46" s="102"/>
      <c r="U46" s="102"/>
      <c r="V46" s="102"/>
      <c r="W46" s="102"/>
      <c r="X46" s="102"/>
    </row>
    <row r="47">
      <c r="A47" s="142">
        <v>38.0</v>
      </c>
      <c r="B47" s="92" t="s">
        <v>98</v>
      </c>
      <c r="C47" s="93" t="s">
        <v>99</v>
      </c>
      <c r="D47" s="143" t="s">
        <v>243</v>
      </c>
      <c r="E47" s="143" t="s">
        <v>243</v>
      </c>
      <c r="F47" s="146">
        <v>24.0</v>
      </c>
      <c r="G47" s="143">
        <v>8.0</v>
      </c>
      <c r="H47" s="143">
        <v>29.0</v>
      </c>
      <c r="I47" s="139">
        <v>26.0</v>
      </c>
      <c r="J47" s="139">
        <v>34.0</v>
      </c>
      <c r="K47" s="138">
        <f t="shared" si="1"/>
        <v>1</v>
      </c>
      <c r="L47" s="145">
        <f t="shared" si="2"/>
        <v>1</v>
      </c>
      <c r="M47" s="145">
        <f t="shared" si="3"/>
        <v>0</v>
      </c>
      <c r="N47" s="102"/>
      <c r="O47" s="102"/>
      <c r="P47" s="102"/>
      <c r="Q47" s="102"/>
      <c r="R47" s="102"/>
      <c r="S47" s="102"/>
      <c r="T47" s="102"/>
      <c r="U47" s="102"/>
      <c r="V47" s="102"/>
      <c r="W47" s="102"/>
      <c r="X47" s="102"/>
    </row>
    <row r="48">
      <c r="A48" s="142">
        <v>39.0</v>
      </c>
      <c r="B48" s="92" t="s">
        <v>100</v>
      </c>
      <c r="C48" s="93" t="s">
        <v>101</v>
      </c>
      <c r="D48" s="143">
        <v>31.0</v>
      </c>
      <c r="E48" s="143">
        <v>17.0</v>
      </c>
      <c r="F48" s="144">
        <v>8.0</v>
      </c>
      <c r="G48" s="143">
        <v>17.0</v>
      </c>
      <c r="H48" s="143">
        <v>27.0</v>
      </c>
      <c r="I48" s="139">
        <v>25.0</v>
      </c>
      <c r="J48" s="139">
        <v>42.0</v>
      </c>
      <c r="K48" s="138">
        <f t="shared" si="1"/>
        <v>3</v>
      </c>
      <c r="L48" s="145">
        <f t="shared" si="2"/>
        <v>3</v>
      </c>
      <c r="M48" s="145">
        <f t="shared" si="3"/>
        <v>0</v>
      </c>
      <c r="N48" s="102"/>
      <c r="O48" s="102"/>
      <c r="P48" s="102"/>
      <c r="Q48" s="102"/>
      <c r="R48" s="102"/>
      <c r="S48" s="102"/>
      <c r="T48" s="102"/>
      <c r="U48" s="102"/>
      <c r="V48" s="102"/>
      <c r="W48" s="102"/>
      <c r="X48" s="102"/>
    </row>
    <row r="49">
      <c r="A49" s="142">
        <v>40.0</v>
      </c>
      <c r="B49" s="92" t="s">
        <v>102</v>
      </c>
      <c r="C49" s="93" t="s">
        <v>103</v>
      </c>
      <c r="D49" s="143">
        <v>34.0</v>
      </c>
      <c r="E49" s="143">
        <v>30.0</v>
      </c>
      <c r="F49" s="146">
        <v>24.0</v>
      </c>
      <c r="G49" s="143">
        <v>18.0</v>
      </c>
      <c r="H49" s="143">
        <v>32.0</v>
      </c>
      <c r="I49" s="139">
        <v>28.0</v>
      </c>
      <c r="J49" s="139">
        <v>36.0</v>
      </c>
      <c r="K49" s="138">
        <f t="shared" si="1"/>
        <v>1</v>
      </c>
      <c r="L49" s="145">
        <f t="shared" si="2"/>
        <v>1</v>
      </c>
      <c r="M49" s="145">
        <f t="shared" si="3"/>
        <v>0</v>
      </c>
      <c r="N49" s="102"/>
      <c r="O49" s="102"/>
      <c r="P49" s="102"/>
      <c r="Q49" s="102"/>
      <c r="R49" s="102"/>
      <c r="S49" s="102"/>
      <c r="T49" s="102"/>
      <c r="U49" s="102"/>
      <c r="V49" s="102"/>
      <c r="W49" s="102"/>
      <c r="X49" s="102"/>
    </row>
    <row r="50">
      <c r="A50" s="142">
        <v>41.0</v>
      </c>
      <c r="B50" s="92" t="s">
        <v>104</v>
      </c>
      <c r="C50" s="93" t="s">
        <v>105</v>
      </c>
      <c r="D50" s="143">
        <v>31.0</v>
      </c>
      <c r="E50" s="143" t="s">
        <v>243</v>
      </c>
      <c r="F50" s="144">
        <v>40.0</v>
      </c>
      <c r="G50" s="139" t="s">
        <v>244</v>
      </c>
      <c r="H50" s="143">
        <v>40.0</v>
      </c>
      <c r="I50" s="139">
        <v>10.0</v>
      </c>
      <c r="J50" s="139">
        <v>36.0</v>
      </c>
      <c r="K50" s="138">
        <f t="shared" si="1"/>
        <v>1</v>
      </c>
      <c r="L50" s="145">
        <f t="shared" si="2"/>
        <v>1</v>
      </c>
      <c r="M50" s="145">
        <f t="shared" si="3"/>
        <v>0</v>
      </c>
      <c r="N50" s="102"/>
      <c r="O50" s="102"/>
      <c r="P50" s="102"/>
      <c r="Q50" s="102"/>
      <c r="R50" s="102"/>
      <c r="S50" s="102"/>
      <c r="T50" s="102"/>
      <c r="U50" s="102"/>
      <c r="V50" s="102"/>
      <c r="W50" s="102"/>
      <c r="X50" s="102"/>
    </row>
    <row r="51">
      <c r="A51" s="142">
        <v>42.0</v>
      </c>
      <c r="B51" s="92" t="s">
        <v>106</v>
      </c>
      <c r="C51" s="93" t="s">
        <v>107</v>
      </c>
      <c r="D51" s="143">
        <v>48.0</v>
      </c>
      <c r="E51" s="143">
        <v>50.0</v>
      </c>
      <c r="F51" s="146">
        <v>50.0</v>
      </c>
      <c r="G51" s="143">
        <v>42.0</v>
      </c>
      <c r="H51" s="143">
        <v>50.0</v>
      </c>
      <c r="I51" s="139">
        <v>47.0</v>
      </c>
      <c r="J51" s="139">
        <v>43.0</v>
      </c>
      <c r="K51" s="138">
        <f t="shared" si="1"/>
        <v>0</v>
      </c>
      <c r="L51" s="145">
        <f t="shared" si="2"/>
        <v>0</v>
      </c>
      <c r="M51" s="145">
        <f t="shared" si="3"/>
        <v>0</v>
      </c>
      <c r="N51" s="102"/>
      <c r="O51" s="102"/>
      <c r="P51" s="102"/>
      <c r="Q51" s="102"/>
      <c r="R51" s="102"/>
      <c r="S51" s="102"/>
      <c r="T51" s="102"/>
      <c r="U51" s="102"/>
      <c r="V51" s="102"/>
      <c r="W51" s="102"/>
      <c r="X51" s="102"/>
    </row>
    <row r="52">
      <c r="A52" s="142">
        <v>43.0</v>
      </c>
      <c r="B52" s="92" t="s">
        <v>108</v>
      </c>
      <c r="C52" s="93" t="s">
        <v>109</v>
      </c>
      <c r="D52" s="143" t="s">
        <v>243</v>
      </c>
      <c r="E52" s="143" t="s">
        <v>243</v>
      </c>
      <c r="F52" s="146">
        <v>14.0</v>
      </c>
      <c r="G52" s="143">
        <v>15.0</v>
      </c>
      <c r="H52" s="143">
        <v>30.0</v>
      </c>
      <c r="I52" s="139">
        <v>16.0</v>
      </c>
      <c r="J52" s="139">
        <v>14.0</v>
      </c>
      <c r="K52" s="138">
        <f t="shared" si="1"/>
        <v>4</v>
      </c>
      <c r="L52" s="145">
        <f t="shared" si="2"/>
        <v>3</v>
      </c>
      <c r="M52" s="145">
        <f t="shared" si="3"/>
        <v>0</v>
      </c>
      <c r="N52" s="102"/>
      <c r="O52" s="102"/>
      <c r="P52" s="102"/>
      <c r="Q52" s="102"/>
      <c r="R52" s="102"/>
      <c r="S52" s="102"/>
      <c r="T52" s="102"/>
      <c r="U52" s="102"/>
      <c r="V52" s="102"/>
      <c r="W52" s="102"/>
      <c r="X52" s="102"/>
    </row>
    <row r="53">
      <c r="A53" s="142">
        <v>44.0</v>
      </c>
      <c r="B53" s="148" t="s">
        <v>110</v>
      </c>
      <c r="C53" s="149" t="s">
        <v>111</v>
      </c>
      <c r="D53" s="143" t="s">
        <v>243</v>
      </c>
      <c r="E53" s="143" t="s">
        <v>243</v>
      </c>
      <c r="F53" s="144">
        <v>41.0</v>
      </c>
      <c r="G53" s="143">
        <v>12.0</v>
      </c>
      <c r="H53" s="143">
        <v>22.0</v>
      </c>
      <c r="I53" s="139">
        <v>17.0</v>
      </c>
      <c r="J53" s="139">
        <v>20.0</v>
      </c>
      <c r="K53" s="138">
        <f t="shared" si="1"/>
        <v>3</v>
      </c>
      <c r="L53" s="145">
        <f t="shared" si="2"/>
        <v>2</v>
      </c>
      <c r="M53" s="145">
        <f t="shared" si="3"/>
        <v>0</v>
      </c>
      <c r="N53" s="102"/>
      <c r="O53" s="102"/>
      <c r="P53" s="102"/>
      <c r="Q53" s="102"/>
      <c r="R53" s="102"/>
      <c r="S53" s="102"/>
      <c r="T53" s="102"/>
      <c r="U53" s="102"/>
      <c r="V53" s="102"/>
      <c r="W53" s="102"/>
      <c r="X53" s="102"/>
    </row>
    <row r="54">
      <c r="A54" s="142">
        <v>45.0</v>
      </c>
      <c r="B54" s="92" t="s">
        <v>112</v>
      </c>
      <c r="C54" s="93" t="s">
        <v>113</v>
      </c>
      <c r="D54" s="143">
        <v>22.0</v>
      </c>
      <c r="E54" s="143">
        <v>14.0</v>
      </c>
      <c r="F54" s="146">
        <v>23.0</v>
      </c>
      <c r="G54" s="143">
        <v>16.0</v>
      </c>
      <c r="H54" s="143">
        <v>36.0</v>
      </c>
      <c r="I54" s="139">
        <v>16.0</v>
      </c>
      <c r="J54" s="139">
        <v>35.0</v>
      </c>
      <c r="K54" s="138">
        <f t="shared" si="1"/>
        <v>3</v>
      </c>
      <c r="L54" s="145">
        <f t="shared" si="2"/>
        <v>3</v>
      </c>
      <c r="M54" s="145">
        <f t="shared" si="3"/>
        <v>0</v>
      </c>
      <c r="N54" s="102"/>
      <c r="O54" s="102"/>
      <c r="P54" s="102"/>
      <c r="Q54" s="102"/>
      <c r="R54" s="102"/>
      <c r="S54" s="102"/>
      <c r="T54" s="102"/>
      <c r="U54" s="102"/>
      <c r="V54" s="102"/>
      <c r="W54" s="102"/>
      <c r="X54" s="102"/>
    </row>
    <row r="55">
      <c r="A55" s="142">
        <v>46.0</v>
      </c>
      <c r="B55" s="92" t="s">
        <v>114</v>
      </c>
      <c r="C55" s="93" t="s">
        <v>115</v>
      </c>
      <c r="D55" s="143">
        <v>2.0</v>
      </c>
      <c r="E55" s="143">
        <v>0.0</v>
      </c>
      <c r="F55" s="144">
        <v>0.0</v>
      </c>
      <c r="G55" s="143">
        <v>2.0</v>
      </c>
      <c r="H55" s="143">
        <v>42.0</v>
      </c>
      <c r="I55" s="139">
        <v>15.0</v>
      </c>
      <c r="J55" s="139">
        <v>37.0</v>
      </c>
      <c r="K55" s="138">
        <f t="shared" si="1"/>
        <v>5</v>
      </c>
      <c r="L55" s="145">
        <f t="shared" si="2"/>
        <v>5</v>
      </c>
      <c r="M55" s="145">
        <f t="shared" si="3"/>
        <v>0</v>
      </c>
      <c r="N55" s="102"/>
      <c r="O55" s="102"/>
      <c r="P55" s="102"/>
      <c r="Q55" s="102"/>
      <c r="R55" s="102"/>
      <c r="S55" s="102"/>
      <c r="T55" s="102"/>
      <c r="U55" s="102"/>
      <c r="V55" s="102"/>
      <c r="W55" s="102"/>
      <c r="X55" s="102"/>
    </row>
    <row r="56">
      <c r="A56" s="142">
        <v>47.0</v>
      </c>
      <c r="B56" s="92" t="s">
        <v>116</v>
      </c>
      <c r="C56" s="93" t="s">
        <v>117</v>
      </c>
      <c r="D56" s="143">
        <v>1.0</v>
      </c>
      <c r="E56" s="143">
        <v>3.0</v>
      </c>
      <c r="F56" s="144">
        <v>8.0</v>
      </c>
      <c r="G56" s="139">
        <v>3.0</v>
      </c>
      <c r="H56" s="143">
        <v>32.0</v>
      </c>
      <c r="I56" s="139">
        <v>14.0</v>
      </c>
      <c r="J56" s="139">
        <v>29.0</v>
      </c>
      <c r="K56" s="138">
        <f t="shared" si="1"/>
        <v>5</v>
      </c>
      <c r="L56" s="145">
        <f t="shared" si="2"/>
        <v>5</v>
      </c>
      <c r="M56" s="145">
        <f t="shared" si="3"/>
        <v>0</v>
      </c>
      <c r="N56" s="102"/>
      <c r="O56" s="102"/>
      <c r="P56" s="102"/>
      <c r="Q56" s="102"/>
      <c r="R56" s="102"/>
      <c r="S56" s="102"/>
      <c r="T56" s="102"/>
      <c r="U56" s="102"/>
      <c r="V56" s="102"/>
      <c r="W56" s="102"/>
      <c r="X56" s="102"/>
    </row>
    <row r="57">
      <c r="A57" s="142">
        <v>48.0</v>
      </c>
      <c r="B57" s="92" t="s">
        <v>118</v>
      </c>
      <c r="C57" s="93" t="s">
        <v>119</v>
      </c>
      <c r="D57" s="143">
        <v>7.0</v>
      </c>
      <c r="E57" s="143" t="s">
        <v>243</v>
      </c>
      <c r="F57" s="144">
        <v>37.0</v>
      </c>
      <c r="G57" s="143" t="s">
        <v>244</v>
      </c>
      <c r="H57" s="143" t="s">
        <v>243</v>
      </c>
      <c r="I57" s="139">
        <v>22.0</v>
      </c>
      <c r="J57" s="139" t="s">
        <v>243</v>
      </c>
      <c r="K57" s="138">
        <f t="shared" si="1"/>
        <v>1</v>
      </c>
      <c r="L57" s="145">
        <f t="shared" si="2"/>
        <v>1</v>
      </c>
      <c r="M57" s="145">
        <f t="shared" si="3"/>
        <v>0</v>
      </c>
      <c r="N57" s="102"/>
      <c r="O57" s="102"/>
      <c r="P57" s="102"/>
      <c r="Q57" s="102"/>
      <c r="R57" s="102"/>
      <c r="S57" s="102"/>
      <c r="T57" s="102"/>
      <c r="U57" s="102"/>
      <c r="V57" s="102"/>
      <c r="W57" s="102"/>
      <c r="X57" s="102"/>
    </row>
    <row r="58">
      <c r="A58" s="142">
        <v>9.0</v>
      </c>
      <c r="B58" s="92" t="s">
        <v>120</v>
      </c>
      <c r="C58" s="93" t="s">
        <v>121</v>
      </c>
      <c r="D58" s="143">
        <v>39.0</v>
      </c>
      <c r="E58" s="143">
        <v>19.0</v>
      </c>
      <c r="F58" s="146">
        <v>41.0</v>
      </c>
      <c r="G58" s="143">
        <v>27.0</v>
      </c>
      <c r="H58" s="143">
        <v>28.0</v>
      </c>
      <c r="I58" s="139">
        <v>27.0</v>
      </c>
      <c r="J58" s="139">
        <v>22.0</v>
      </c>
      <c r="K58" s="138">
        <f t="shared" si="1"/>
        <v>1</v>
      </c>
      <c r="L58" s="145">
        <f t="shared" si="2"/>
        <v>1</v>
      </c>
      <c r="M58" s="145">
        <f t="shared" si="3"/>
        <v>0</v>
      </c>
      <c r="N58" s="102"/>
      <c r="O58" s="102"/>
      <c r="P58" s="102"/>
      <c r="Q58" s="102"/>
      <c r="R58" s="102"/>
      <c r="S58" s="102"/>
      <c r="T58" s="102"/>
      <c r="U58" s="102"/>
      <c r="V58" s="102"/>
      <c r="W58" s="102"/>
      <c r="X58" s="102"/>
    </row>
    <row r="59">
      <c r="A59" s="142">
        <v>50.0</v>
      </c>
      <c r="B59" s="92" t="s">
        <v>122</v>
      </c>
      <c r="C59" s="93" t="s">
        <v>123</v>
      </c>
      <c r="D59" s="143">
        <v>45.0</v>
      </c>
      <c r="E59" s="143">
        <v>40.0</v>
      </c>
      <c r="F59" s="146">
        <v>43.0</v>
      </c>
      <c r="G59" s="143">
        <v>48.0</v>
      </c>
      <c r="H59" s="143">
        <v>30.0</v>
      </c>
      <c r="I59" s="139">
        <v>31.0</v>
      </c>
      <c r="J59" s="139">
        <v>36.0</v>
      </c>
      <c r="K59" s="138">
        <f t="shared" si="1"/>
        <v>0</v>
      </c>
      <c r="L59" s="145">
        <f t="shared" si="2"/>
        <v>0</v>
      </c>
      <c r="M59" s="145">
        <f t="shared" si="3"/>
        <v>0</v>
      </c>
      <c r="N59" s="102"/>
      <c r="O59" s="102"/>
      <c r="P59" s="102"/>
      <c r="Q59" s="102"/>
      <c r="R59" s="102"/>
      <c r="S59" s="102"/>
      <c r="T59" s="102"/>
      <c r="U59" s="102"/>
      <c r="V59" s="102"/>
      <c r="W59" s="102"/>
      <c r="X59" s="102"/>
    </row>
    <row r="60">
      <c r="A60" s="142">
        <v>51.0</v>
      </c>
      <c r="B60" s="92" t="s">
        <v>124</v>
      </c>
      <c r="C60" s="93" t="s">
        <v>125</v>
      </c>
      <c r="D60" s="143">
        <v>21.0</v>
      </c>
      <c r="E60" s="143">
        <v>34.0</v>
      </c>
      <c r="F60" s="146">
        <v>28.0</v>
      </c>
      <c r="G60" s="143">
        <v>26.0</v>
      </c>
      <c r="H60" s="143">
        <v>45.0</v>
      </c>
      <c r="I60" s="139">
        <v>34.0</v>
      </c>
      <c r="J60" s="139">
        <v>43.0</v>
      </c>
      <c r="K60" s="138">
        <f t="shared" si="1"/>
        <v>1</v>
      </c>
      <c r="L60" s="145">
        <f t="shared" si="2"/>
        <v>1</v>
      </c>
      <c r="M60" s="145">
        <f t="shared" si="3"/>
        <v>0</v>
      </c>
      <c r="N60" s="102"/>
      <c r="O60" s="102"/>
      <c r="P60" s="102"/>
      <c r="Q60" s="102"/>
      <c r="R60" s="102"/>
      <c r="S60" s="102"/>
      <c r="T60" s="102"/>
      <c r="U60" s="102"/>
      <c r="V60" s="102"/>
      <c r="W60" s="102"/>
      <c r="X60" s="102"/>
    </row>
    <row r="61">
      <c r="A61" s="142">
        <v>52.0</v>
      </c>
      <c r="B61" s="92" t="s">
        <v>126</v>
      </c>
      <c r="C61" s="93" t="s">
        <v>127</v>
      </c>
      <c r="D61" s="143">
        <v>23.0</v>
      </c>
      <c r="E61" s="143" t="s">
        <v>243</v>
      </c>
      <c r="F61" s="144" t="s">
        <v>243</v>
      </c>
      <c r="G61" s="143">
        <v>12.0</v>
      </c>
      <c r="H61" s="143">
        <v>24.0</v>
      </c>
      <c r="I61" s="139" t="s">
        <v>243</v>
      </c>
      <c r="J61" s="139">
        <v>31.0</v>
      </c>
      <c r="K61" s="138">
        <f t="shared" si="1"/>
        <v>1</v>
      </c>
      <c r="L61" s="145">
        <f t="shared" si="2"/>
        <v>1</v>
      </c>
      <c r="M61" s="145">
        <f t="shared" si="3"/>
        <v>0</v>
      </c>
      <c r="N61" s="102"/>
      <c r="O61" s="102"/>
      <c r="P61" s="102"/>
      <c r="Q61" s="102"/>
      <c r="R61" s="102"/>
      <c r="S61" s="102"/>
      <c r="T61" s="102"/>
      <c r="U61" s="102"/>
      <c r="V61" s="102"/>
      <c r="W61" s="102"/>
      <c r="X61" s="102"/>
    </row>
    <row r="62">
      <c r="A62" s="142">
        <v>53.0</v>
      </c>
      <c r="B62" s="92" t="s">
        <v>128</v>
      </c>
      <c r="C62" s="93" t="s">
        <v>129</v>
      </c>
      <c r="D62" s="143">
        <v>21.0</v>
      </c>
      <c r="E62" s="143">
        <v>13.0</v>
      </c>
      <c r="F62" s="144" t="s">
        <v>243</v>
      </c>
      <c r="G62" s="139" t="s">
        <v>243</v>
      </c>
      <c r="H62" s="143" t="s">
        <v>243</v>
      </c>
      <c r="I62" s="139">
        <v>26.0</v>
      </c>
      <c r="J62" s="139" t="s">
        <v>243</v>
      </c>
      <c r="K62" s="138">
        <f t="shared" si="1"/>
        <v>2</v>
      </c>
      <c r="L62" s="145">
        <f t="shared" si="2"/>
        <v>2</v>
      </c>
      <c r="M62" s="145">
        <f t="shared" si="3"/>
        <v>0</v>
      </c>
      <c r="N62" s="102"/>
      <c r="O62" s="102"/>
      <c r="P62" s="102"/>
      <c r="Q62" s="102"/>
      <c r="R62" s="102"/>
      <c r="S62" s="102"/>
      <c r="T62" s="102"/>
      <c r="U62" s="102"/>
      <c r="V62" s="102"/>
      <c r="W62" s="102"/>
      <c r="X62" s="102"/>
    </row>
    <row r="63">
      <c r="A63" s="142">
        <v>54.0</v>
      </c>
      <c r="B63" s="92" t="s">
        <v>130</v>
      </c>
      <c r="C63" s="93" t="s">
        <v>131</v>
      </c>
      <c r="D63" s="143">
        <v>37.0</v>
      </c>
      <c r="E63" s="143">
        <v>50.0</v>
      </c>
      <c r="F63" s="146">
        <v>42.0</v>
      </c>
      <c r="G63" s="143">
        <v>22.0</v>
      </c>
      <c r="H63" s="143">
        <v>42.0</v>
      </c>
      <c r="I63" s="139">
        <v>45.0</v>
      </c>
      <c r="J63" s="139">
        <v>44.0</v>
      </c>
      <c r="K63" s="138">
        <f t="shared" si="1"/>
        <v>0</v>
      </c>
      <c r="L63" s="145">
        <f t="shared" si="2"/>
        <v>0</v>
      </c>
      <c r="M63" s="145">
        <f t="shared" si="3"/>
        <v>0</v>
      </c>
      <c r="N63" s="102"/>
      <c r="O63" s="102"/>
      <c r="P63" s="102"/>
      <c r="Q63" s="102"/>
      <c r="R63" s="102"/>
      <c r="S63" s="102"/>
      <c r="T63" s="102"/>
      <c r="U63" s="102"/>
      <c r="V63" s="102"/>
      <c r="W63" s="102"/>
      <c r="X63" s="102"/>
    </row>
    <row r="64">
      <c r="A64" s="142">
        <v>55.0</v>
      </c>
      <c r="B64" s="92" t="s">
        <v>132</v>
      </c>
      <c r="C64" s="93" t="s">
        <v>133</v>
      </c>
      <c r="D64" s="143">
        <v>44.0</v>
      </c>
      <c r="E64" s="143">
        <v>50.0</v>
      </c>
      <c r="F64" s="146">
        <v>50.0</v>
      </c>
      <c r="G64" s="143">
        <v>42.0</v>
      </c>
      <c r="H64" s="143">
        <v>50.0</v>
      </c>
      <c r="I64" s="139">
        <v>50.0</v>
      </c>
      <c r="J64" s="139">
        <v>43.0</v>
      </c>
      <c r="K64" s="138">
        <f t="shared" si="1"/>
        <v>0</v>
      </c>
      <c r="L64" s="145">
        <f t="shared" si="2"/>
        <v>0</v>
      </c>
      <c r="M64" s="145">
        <f t="shared" si="3"/>
        <v>0</v>
      </c>
      <c r="N64" s="102"/>
      <c r="O64" s="102"/>
      <c r="P64" s="102"/>
      <c r="Q64" s="102"/>
      <c r="R64" s="102"/>
      <c r="S64" s="102"/>
      <c r="T64" s="102"/>
      <c r="U64" s="102"/>
      <c r="V64" s="102"/>
      <c r="W64" s="102"/>
      <c r="X64" s="102"/>
    </row>
    <row r="65">
      <c r="A65" s="142">
        <v>56.0</v>
      </c>
      <c r="B65" s="92" t="s">
        <v>134</v>
      </c>
      <c r="C65" s="93" t="s">
        <v>135</v>
      </c>
      <c r="D65" s="143">
        <v>50.0</v>
      </c>
      <c r="E65" s="143">
        <v>50.0</v>
      </c>
      <c r="F65" s="146">
        <v>50.0</v>
      </c>
      <c r="G65" s="143">
        <v>48.0</v>
      </c>
      <c r="H65" s="143">
        <v>49.0</v>
      </c>
      <c r="I65" s="139">
        <v>47.0</v>
      </c>
      <c r="J65" s="139">
        <v>43.0</v>
      </c>
      <c r="K65" s="138">
        <f t="shared" si="1"/>
        <v>0</v>
      </c>
      <c r="L65" s="145">
        <f t="shared" si="2"/>
        <v>0</v>
      </c>
      <c r="M65" s="145">
        <f t="shared" si="3"/>
        <v>0</v>
      </c>
      <c r="N65" s="102"/>
      <c r="O65" s="102"/>
      <c r="P65" s="102"/>
      <c r="Q65" s="102"/>
      <c r="R65" s="102"/>
      <c r="S65" s="102"/>
      <c r="T65" s="102"/>
      <c r="U65" s="102"/>
      <c r="V65" s="102"/>
      <c r="W65" s="102"/>
      <c r="X65" s="102"/>
    </row>
    <row r="66">
      <c r="A66" s="142">
        <v>57.0</v>
      </c>
      <c r="B66" s="92" t="s">
        <v>136</v>
      </c>
      <c r="C66" s="93" t="s">
        <v>137</v>
      </c>
      <c r="D66" s="143">
        <v>29.0</v>
      </c>
      <c r="E66" s="143">
        <v>34.0</v>
      </c>
      <c r="F66" s="144" t="s">
        <v>243</v>
      </c>
      <c r="G66" s="139">
        <v>36.0</v>
      </c>
      <c r="H66" s="153"/>
      <c r="I66" s="139">
        <v>29.0</v>
      </c>
      <c r="J66" s="139" t="s">
        <v>243</v>
      </c>
      <c r="K66" s="138">
        <f t="shared" si="1"/>
        <v>0</v>
      </c>
      <c r="L66" s="145"/>
      <c r="M66" s="145"/>
      <c r="N66" s="102"/>
      <c r="O66" s="102"/>
      <c r="P66" s="102"/>
      <c r="Q66" s="102"/>
      <c r="R66" s="102"/>
      <c r="S66" s="102"/>
      <c r="T66" s="102"/>
      <c r="U66" s="102"/>
      <c r="V66" s="102"/>
      <c r="W66" s="102"/>
      <c r="X66" s="102"/>
    </row>
    <row r="67">
      <c r="A67" s="154" t="s">
        <v>245</v>
      </c>
      <c r="B67" s="131"/>
      <c r="C67" s="132"/>
      <c r="D67" s="155">
        <f t="shared" ref="D67:J67" si="4">57-D68</f>
        <v>52</v>
      </c>
      <c r="E67" s="155">
        <f t="shared" si="4"/>
        <v>47</v>
      </c>
      <c r="F67" s="155">
        <f t="shared" si="4"/>
        <v>53</v>
      </c>
      <c r="G67" s="155">
        <f t="shared" si="4"/>
        <v>54</v>
      </c>
      <c r="H67" s="155">
        <f t="shared" si="4"/>
        <v>55</v>
      </c>
      <c r="I67" s="156">
        <f t="shared" si="4"/>
        <v>55</v>
      </c>
      <c r="J67" s="138">
        <f t="shared" si="4"/>
        <v>54</v>
      </c>
      <c r="K67" s="157"/>
      <c r="L67" s="102"/>
      <c r="M67" s="102"/>
      <c r="N67" s="102"/>
      <c r="O67" s="102"/>
      <c r="P67" s="102"/>
      <c r="Q67" s="102"/>
      <c r="R67" s="102"/>
      <c r="S67" s="102"/>
      <c r="T67" s="102"/>
      <c r="U67" s="102"/>
      <c r="V67" s="102"/>
      <c r="W67" s="102"/>
      <c r="X67" s="102"/>
    </row>
    <row r="68">
      <c r="A68" s="158" t="s">
        <v>246</v>
      </c>
      <c r="B68" s="159"/>
      <c r="C68" s="104"/>
      <c r="D68" s="155">
        <f t="shared" ref="D68:J68" si="5">COUNTIF(D10:D66,"AB")</f>
        <v>5</v>
      </c>
      <c r="E68" s="155">
        <f t="shared" si="5"/>
        <v>10</v>
      </c>
      <c r="F68" s="155">
        <f t="shared" si="5"/>
        <v>4</v>
      </c>
      <c r="G68" s="155">
        <f t="shared" si="5"/>
        <v>3</v>
      </c>
      <c r="H68" s="155">
        <f t="shared" si="5"/>
        <v>2</v>
      </c>
      <c r="I68" s="155">
        <f t="shared" si="5"/>
        <v>2</v>
      </c>
      <c r="J68" s="155">
        <f t="shared" si="5"/>
        <v>3</v>
      </c>
      <c r="K68" s="102"/>
      <c r="L68" s="102"/>
      <c r="M68" s="102"/>
      <c r="N68" s="102"/>
      <c r="O68" s="102"/>
      <c r="P68" s="102"/>
      <c r="Q68" s="102"/>
      <c r="R68" s="102"/>
      <c r="S68" s="102"/>
      <c r="T68" s="102"/>
      <c r="U68" s="102"/>
      <c r="V68" s="102"/>
      <c r="W68" s="102"/>
      <c r="X68" s="102"/>
    </row>
    <row r="69">
      <c r="A69" s="158" t="s">
        <v>247</v>
      </c>
      <c r="B69" s="159"/>
      <c r="C69" s="104"/>
      <c r="D69" s="155">
        <f t="shared" ref="D69:J69" si="6">COUNTIF(D10:D66,"&lt;22")</f>
        <v>16</v>
      </c>
      <c r="E69" s="155">
        <f t="shared" si="6"/>
        <v>11</v>
      </c>
      <c r="F69" s="155">
        <f t="shared" si="6"/>
        <v>16</v>
      </c>
      <c r="G69" s="155">
        <f t="shared" si="6"/>
        <v>23</v>
      </c>
      <c r="H69" s="155">
        <f t="shared" si="6"/>
        <v>2</v>
      </c>
      <c r="I69" s="155">
        <f t="shared" si="6"/>
        <v>13</v>
      </c>
      <c r="J69" s="155">
        <f t="shared" si="6"/>
        <v>3</v>
      </c>
      <c r="K69" s="102"/>
      <c r="L69" s="102"/>
      <c r="M69" s="102"/>
      <c r="N69" s="102"/>
      <c r="O69" s="102"/>
      <c r="P69" s="102"/>
      <c r="Q69" s="102"/>
      <c r="R69" s="102"/>
      <c r="S69" s="102"/>
      <c r="T69" s="102"/>
      <c r="U69" s="102"/>
      <c r="V69" s="102"/>
      <c r="W69" s="102"/>
      <c r="X69" s="102"/>
    </row>
    <row r="70">
      <c r="A70" s="160" t="s">
        <v>138</v>
      </c>
      <c r="B70" s="159"/>
      <c r="C70" s="104"/>
      <c r="D70" s="155" t="s">
        <v>139</v>
      </c>
      <c r="E70" s="155" t="s">
        <v>140</v>
      </c>
      <c r="F70" s="155" t="s">
        <v>141</v>
      </c>
      <c r="G70" s="155" t="s">
        <v>142</v>
      </c>
      <c r="H70" s="156" t="s">
        <v>143</v>
      </c>
      <c r="I70" s="138" t="s">
        <v>144</v>
      </c>
      <c r="J70" s="139" t="s">
        <v>145</v>
      </c>
      <c r="K70" s="102"/>
      <c r="L70" s="102"/>
      <c r="M70" s="102"/>
      <c r="N70" s="102"/>
      <c r="O70" s="102"/>
      <c r="P70" s="102"/>
      <c r="Q70" s="102"/>
      <c r="R70" s="102"/>
      <c r="S70" s="102"/>
      <c r="T70" s="102"/>
      <c r="U70" s="102"/>
      <c r="V70" s="102"/>
      <c r="W70" s="102"/>
      <c r="X70" s="102"/>
    </row>
    <row r="71" ht="16.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row>
    <row r="72">
      <c r="A72" s="85" t="s">
        <v>248</v>
      </c>
      <c r="B72" s="102"/>
      <c r="C72" s="102"/>
      <c r="D72" s="85" t="s">
        <v>249</v>
      </c>
      <c r="G72" s="102"/>
      <c r="H72" s="85" t="s">
        <v>250</v>
      </c>
      <c r="I72" s="102"/>
      <c r="J72" s="102"/>
      <c r="K72" s="102"/>
      <c r="L72" s="102"/>
      <c r="M72" s="102"/>
      <c r="N72" s="102"/>
      <c r="O72" s="102"/>
      <c r="P72" s="102"/>
      <c r="Q72" s="102"/>
      <c r="R72" s="102"/>
      <c r="S72" s="102"/>
      <c r="T72" s="102"/>
      <c r="U72" s="102"/>
      <c r="V72" s="102"/>
      <c r="W72" s="102"/>
      <c r="X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row>
    <row r="83">
      <c r="A83" s="85" t="s">
        <v>251</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row>
    <row r="997">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row>
  </sheetData>
  <mergeCells count="11">
    <mergeCell ref="A67:C67"/>
    <mergeCell ref="A68:C68"/>
    <mergeCell ref="A69:C69"/>
    <mergeCell ref="A70:C70"/>
    <mergeCell ref="A2:K2"/>
    <mergeCell ref="A3:K3"/>
    <mergeCell ref="A4:K4"/>
    <mergeCell ref="C5:H5"/>
    <mergeCell ref="A8:A9"/>
    <mergeCell ref="B8:B9"/>
    <mergeCell ref="C8:C9"/>
  </mergeCells>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5"/>
    <col customWidth="1" min="2" max="2" width="13.5"/>
    <col customWidth="1" min="3" max="3" width="23.13"/>
    <col customWidth="1" min="4" max="4" width="8.63"/>
    <col customWidth="1" min="5" max="5" width="19.63"/>
    <col customWidth="1" min="6" max="6" width="60.5"/>
  </cols>
  <sheetData>
    <row r="1" ht="35.25" customHeight="1">
      <c r="A1" s="161"/>
      <c r="B1" s="162"/>
      <c r="C1" s="162"/>
      <c r="D1" s="162"/>
      <c r="E1" s="162"/>
      <c r="F1" s="163" t="s">
        <v>252</v>
      </c>
      <c r="G1" s="164"/>
      <c r="H1" s="164"/>
      <c r="I1" s="164"/>
      <c r="J1" s="164"/>
      <c r="K1" s="164"/>
      <c r="L1" s="164"/>
      <c r="M1" s="164"/>
      <c r="N1" s="164"/>
      <c r="O1" s="164"/>
      <c r="P1" s="164"/>
      <c r="Q1" s="164"/>
      <c r="R1" s="164"/>
      <c r="S1" s="164"/>
      <c r="T1" s="164"/>
      <c r="U1" s="164"/>
      <c r="V1" s="164"/>
      <c r="W1" s="164"/>
      <c r="X1" s="164"/>
      <c r="Y1" s="164"/>
      <c r="Z1" s="164"/>
    </row>
    <row r="2" ht="35.25" customHeight="1">
      <c r="A2" s="165" t="s">
        <v>253</v>
      </c>
      <c r="G2" s="164"/>
      <c r="H2" s="164"/>
      <c r="I2" s="164"/>
      <c r="J2" s="164"/>
      <c r="K2" s="164"/>
      <c r="L2" s="164"/>
      <c r="M2" s="164"/>
      <c r="N2" s="164"/>
      <c r="O2" s="164"/>
      <c r="P2" s="164"/>
      <c r="Q2" s="164"/>
      <c r="R2" s="164"/>
      <c r="S2" s="164"/>
      <c r="T2" s="164"/>
      <c r="U2" s="164"/>
      <c r="V2" s="164"/>
      <c r="W2" s="164"/>
      <c r="X2" s="164"/>
      <c r="Y2" s="164"/>
      <c r="Z2" s="164"/>
    </row>
    <row r="3" ht="35.25" customHeight="1">
      <c r="A3" s="166" t="s">
        <v>230</v>
      </c>
      <c r="G3" s="164"/>
      <c r="H3" s="164"/>
      <c r="I3" s="164"/>
      <c r="J3" s="164"/>
      <c r="K3" s="164"/>
      <c r="L3" s="164"/>
      <c r="M3" s="164"/>
      <c r="N3" s="164"/>
      <c r="O3" s="164"/>
      <c r="P3" s="164"/>
      <c r="Q3" s="164"/>
      <c r="R3" s="164"/>
      <c r="S3" s="164"/>
      <c r="T3" s="164"/>
      <c r="U3" s="164"/>
      <c r="V3" s="164"/>
      <c r="W3" s="164"/>
      <c r="X3" s="164"/>
      <c r="Y3" s="164"/>
      <c r="Z3" s="164"/>
    </row>
    <row r="4" ht="35.25" customHeight="1">
      <c r="A4" s="167" t="s">
        <v>254</v>
      </c>
      <c r="G4" s="164"/>
      <c r="H4" s="164"/>
      <c r="I4" s="164"/>
      <c r="J4" s="164"/>
      <c r="K4" s="164"/>
      <c r="L4" s="164"/>
      <c r="M4" s="164"/>
      <c r="N4" s="164"/>
      <c r="O4" s="164"/>
      <c r="P4" s="164"/>
      <c r="Q4" s="164"/>
      <c r="R4" s="164"/>
      <c r="S4" s="164"/>
      <c r="T4" s="164"/>
      <c r="U4" s="164"/>
      <c r="V4" s="164"/>
      <c r="W4" s="164"/>
      <c r="X4" s="164"/>
      <c r="Y4" s="164"/>
      <c r="Z4" s="164"/>
    </row>
    <row r="5" ht="35.25" customHeight="1">
      <c r="A5" s="167" t="s">
        <v>255</v>
      </c>
      <c r="G5" s="164"/>
      <c r="H5" s="164"/>
      <c r="I5" s="164"/>
      <c r="J5" s="164"/>
      <c r="K5" s="164"/>
      <c r="L5" s="164"/>
      <c r="M5" s="164"/>
      <c r="N5" s="164"/>
      <c r="O5" s="164"/>
      <c r="P5" s="164"/>
      <c r="Q5" s="164"/>
      <c r="R5" s="164"/>
      <c r="S5" s="164"/>
      <c r="T5" s="164"/>
      <c r="U5" s="164"/>
      <c r="V5" s="164"/>
      <c r="W5" s="164"/>
      <c r="X5" s="164"/>
      <c r="Y5" s="164"/>
      <c r="Z5" s="164"/>
    </row>
    <row r="6" ht="35.25" customHeight="1">
      <c r="A6" s="168"/>
      <c r="B6" s="169"/>
      <c r="C6" s="169"/>
      <c r="D6" s="169"/>
      <c r="E6" s="169"/>
      <c r="F6" s="169"/>
      <c r="G6" s="164"/>
      <c r="H6" s="164"/>
      <c r="I6" s="164"/>
      <c r="J6" s="164"/>
      <c r="K6" s="164"/>
      <c r="L6" s="164"/>
      <c r="M6" s="164"/>
      <c r="N6" s="164"/>
      <c r="O6" s="164"/>
      <c r="P6" s="164"/>
      <c r="Q6" s="164"/>
      <c r="R6" s="164"/>
      <c r="S6" s="164"/>
      <c r="T6" s="164"/>
      <c r="U6" s="164"/>
      <c r="V6" s="164"/>
      <c r="W6" s="164"/>
      <c r="X6" s="164"/>
      <c r="Y6" s="164"/>
      <c r="Z6" s="164"/>
    </row>
    <row r="7" ht="35.25" customHeight="1">
      <c r="A7" s="170" t="s">
        <v>7</v>
      </c>
      <c r="B7" s="170" t="s">
        <v>8</v>
      </c>
      <c r="C7" s="170" t="s">
        <v>256</v>
      </c>
      <c r="D7" s="171" t="s">
        <v>257</v>
      </c>
      <c r="E7" s="172" t="s">
        <v>258</v>
      </c>
      <c r="F7" s="170" t="s">
        <v>259</v>
      </c>
      <c r="G7" s="173"/>
      <c r="H7" s="173"/>
      <c r="I7" s="173"/>
      <c r="J7" s="173"/>
      <c r="K7" s="173"/>
      <c r="L7" s="173"/>
      <c r="M7" s="173"/>
      <c r="N7" s="173"/>
      <c r="O7" s="173"/>
      <c r="P7" s="173"/>
      <c r="Q7" s="173"/>
      <c r="R7" s="173"/>
      <c r="S7" s="173"/>
      <c r="T7" s="173"/>
      <c r="U7" s="173"/>
      <c r="V7" s="173"/>
      <c r="W7" s="173"/>
      <c r="X7" s="173"/>
      <c r="Y7" s="173"/>
      <c r="Z7" s="173"/>
    </row>
    <row r="8" ht="35.25" customHeight="1">
      <c r="A8" s="174">
        <v>1.0</v>
      </c>
      <c r="B8" s="175" t="s">
        <v>24</v>
      </c>
      <c r="C8" s="176" t="s">
        <v>25</v>
      </c>
      <c r="D8" s="177">
        <v>47.0</v>
      </c>
      <c r="E8" s="178" t="s">
        <v>209</v>
      </c>
      <c r="F8" s="179" t="s">
        <v>260</v>
      </c>
      <c r="G8" s="164"/>
      <c r="H8" s="164"/>
      <c r="I8" s="164"/>
      <c r="J8" s="164"/>
      <c r="K8" s="164"/>
      <c r="L8" s="164"/>
      <c r="M8" s="164"/>
      <c r="N8" s="164"/>
      <c r="O8" s="164"/>
      <c r="P8" s="164"/>
      <c r="Q8" s="164"/>
      <c r="R8" s="164"/>
      <c r="S8" s="164"/>
      <c r="T8" s="164"/>
      <c r="U8" s="164"/>
      <c r="V8" s="164"/>
      <c r="W8" s="164"/>
      <c r="X8" s="164"/>
      <c r="Y8" s="164"/>
      <c r="Z8" s="164"/>
    </row>
    <row r="9" ht="35.25" customHeight="1">
      <c r="A9" s="180">
        <v>2.0</v>
      </c>
      <c r="B9" s="175" t="s">
        <v>26</v>
      </c>
      <c r="C9" s="176" t="s">
        <v>27</v>
      </c>
      <c r="D9" s="177">
        <v>72.0</v>
      </c>
      <c r="E9" s="28"/>
      <c r="F9" s="179" t="s">
        <v>261</v>
      </c>
      <c r="G9" s="164"/>
      <c r="H9" s="164"/>
      <c r="I9" s="164"/>
      <c r="J9" s="164"/>
      <c r="K9" s="164"/>
      <c r="L9" s="164"/>
      <c r="M9" s="164"/>
      <c r="N9" s="164"/>
      <c r="O9" s="164"/>
      <c r="P9" s="164"/>
      <c r="Q9" s="164"/>
      <c r="R9" s="164"/>
      <c r="S9" s="164"/>
      <c r="T9" s="164"/>
      <c r="U9" s="164"/>
      <c r="V9" s="164"/>
      <c r="W9" s="164"/>
      <c r="X9" s="164"/>
      <c r="Y9" s="164"/>
      <c r="Z9" s="164"/>
    </row>
    <row r="10" ht="35.25" customHeight="1">
      <c r="A10" s="174">
        <v>3.0</v>
      </c>
      <c r="B10" s="175" t="s">
        <v>34</v>
      </c>
      <c r="C10" s="176" t="s">
        <v>35</v>
      </c>
      <c r="D10" s="177">
        <v>58.0</v>
      </c>
      <c r="E10" s="28"/>
      <c r="F10" s="179" t="s">
        <v>262</v>
      </c>
      <c r="G10" s="164"/>
      <c r="H10" s="164"/>
      <c r="I10" s="164"/>
      <c r="J10" s="164"/>
      <c r="K10" s="164"/>
      <c r="L10" s="164"/>
      <c r="M10" s="164"/>
      <c r="N10" s="164"/>
      <c r="O10" s="164"/>
      <c r="P10" s="164"/>
      <c r="Q10" s="164"/>
      <c r="R10" s="164"/>
      <c r="S10" s="164"/>
      <c r="T10" s="164"/>
      <c r="U10" s="164"/>
      <c r="V10" s="164"/>
      <c r="W10" s="164"/>
      <c r="X10" s="164"/>
      <c r="Y10" s="164"/>
      <c r="Z10" s="164"/>
    </row>
    <row r="11" ht="35.25" customHeight="1">
      <c r="A11" s="180">
        <v>4.0</v>
      </c>
      <c r="B11" s="175" t="s">
        <v>36</v>
      </c>
      <c r="C11" s="176" t="s">
        <v>37</v>
      </c>
      <c r="D11" s="177">
        <v>64.0</v>
      </c>
      <c r="E11" s="28"/>
      <c r="F11" s="181" t="s">
        <v>263</v>
      </c>
      <c r="G11" s="164"/>
      <c r="H11" s="164"/>
      <c r="I11" s="164"/>
      <c r="J11" s="164"/>
      <c r="K11" s="164"/>
      <c r="L11" s="164"/>
      <c r="M11" s="164"/>
      <c r="N11" s="164"/>
      <c r="O11" s="164"/>
      <c r="P11" s="164"/>
      <c r="Q11" s="164"/>
      <c r="R11" s="164"/>
      <c r="S11" s="164"/>
      <c r="T11" s="164"/>
      <c r="U11" s="164"/>
      <c r="V11" s="164"/>
      <c r="W11" s="164"/>
      <c r="X11" s="164"/>
      <c r="Y11" s="164"/>
      <c r="Z11" s="164"/>
    </row>
    <row r="12" ht="35.25" customHeight="1">
      <c r="A12" s="174">
        <v>5.0</v>
      </c>
      <c r="B12" s="175" t="s">
        <v>38</v>
      </c>
      <c r="C12" s="176" t="s">
        <v>39</v>
      </c>
      <c r="D12" s="177">
        <v>71.0</v>
      </c>
      <c r="E12" s="28"/>
      <c r="F12" s="179" t="s">
        <v>264</v>
      </c>
      <c r="G12" s="164"/>
      <c r="H12" s="164"/>
      <c r="I12" s="164"/>
      <c r="J12" s="164"/>
      <c r="K12" s="164"/>
      <c r="L12" s="164"/>
      <c r="M12" s="164"/>
      <c r="N12" s="164"/>
      <c r="O12" s="164"/>
      <c r="P12" s="164"/>
      <c r="Q12" s="164"/>
      <c r="R12" s="164"/>
      <c r="S12" s="164"/>
      <c r="T12" s="164"/>
      <c r="U12" s="164"/>
      <c r="V12" s="164"/>
      <c r="W12" s="164"/>
      <c r="X12" s="164"/>
      <c r="Y12" s="164"/>
      <c r="Z12" s="164"/>
    </row>
    <row r="13" ht="35.25" customHeight="1">
      <c r="A13" s="180">
        <v>6.0</v>
      </c>
      <c r="B13" s="175" t="s">
        <v>54</v>
      </c>
      <c r="C13" s="176" t="s">
        <v>55</v>
      </c>
      <c r="D13" s="177">
        <v>67.0</v>
      </c>
      <c r="E13" s="28"/>
      <c r="F13" s="181" t="s">
        <v>265</v>
      </c>
      <c r="G13" s="164"/>
      <c r="H13" s="164"/>
      <c r="I13" s="164"/>
      <c r="J13" s="164"/>
      <c r="K13" s="164"/>
      <c r="L13" s="164"/>
      <c r="M13" s="164"/>
      <c r="N13" s="164"/>
      <c r="O13" s="164"/>
      <c r="P13" s="164"/>
      <c r="Q13" s="164"/>
      <c r="R13" s="164"/>
      <c r="S13" s="164"/>
      <c r="T13" s="164"/>
      <c r="U13" s="164"/>
      <c r="V13" s="164"/>
      <c r="W13" s="164"/>
      <c r="X13" s="164"/>
      <c r="Y13" s="164"/>
      <c r="Z13" s="164"/>
    </row>
    <row r="14" ht="35.25" customHeight="1">
      <c r="A14" s="174">
        <v>7.0</v>
      </c>
      <c r="B14" s="175" t="s">
        <v>66</v>
      </c>
      <c r="C14" s="176" t="s">
        <v>67</v>
      </c>
      <c r="D14" s="177">
        <v>68.0</v>
      </c>
      <c r="E14" s="28"/>
      <c r="F14" s="179" t="s">
        <v>266</v>
      </c>
      <c r="G14" s="164"/>
      <c r="H14" s="164"/>
      <c r="I14" s="164"/>
      <c r="J14" s="164"/>
      <c r="K14" s="164"/>
      <c r="L14" s="164"/>
      <c r="M14" s="164"/>
      <c r="N14" s="164"/>
      <c r="O14" s="164"/>
      <c r="P14" s="164"/>
      <c r="Q14" s="164"/>
      <c r="R14" s="164"/>
      <c r="S14" s="164"/>
      <c r="T14" s="164"/>
      <c r="U14" s="164"/>
      <c r="V14" s="164"/>
      <c r="W14" s="164"/>
      <c r="X14" s="164"/>
      <c r="Y14" s="164"/>
      <c r="Z14" s="164"/>
    </row>
    <row r="15" ht="35.25" customHeight="1">
      <c r="A15" s="180">
        <v>8.0</v>
      </c>
      <c r="B15" s="175" t="s">
        <v>80</v>
      </c>
      <c r="C15" s="176" t="s">
        <v>81</v>
      </c>
      <c r="D15" s="177">
        <v>45.0</v>
      </c>
      <c r="E15" s="34"/>
      <c r="F15" s="179" t="s">
        <v>267</v>
      </c>
      <c r="G15" s="164"/>
      <c r="H15" s="164"/>
      <c r="I15" s="164"/>
      <c r="J15" s="164"/>
      <c r="K15" s="164"/>
      <c r="L15" s="164"/>
      <c r="M15" s="164"/>
      <c r="N15" s="164"/>
      <c r="O15" s="164"/>
      <c r="P15" s="164"/>
      <c r="Q15" s="164"/>
      <c r="R15" s="164"/>
      <c r="S15" s="164"/>
      <c r="T15" s="164"/>
      <c r="U15" s="164"/>
      <c r="V15" s="164"/>
      <c r="W15" s="164"/>
      <c r="X15" s="164"/>
      <c r="Y15" s="164"/>
      <c r="Z15" s="164"/>
    </row>
    <row r="16" ht="35.25" customHeight="1">
      <c r="A16" s="174">
        <v>9.0</v>
      </c>
      <c r="B16" s="175" t="s">
        <v>92</v>
      </c>
      <c r="C16" s="176" t="s">
        <v>93</v>
      </c>
      <c r="D16" s="177">
        <v>67.0</v>
      </c>
      <c r="E16" s="182" t="s">
        <v>268</v>
      </c>
      <c r="F16" s="179" t="s">
        <v>269</v>
      </c>
      <c r="G16" s="164"/>
      <c r="H16" s="164"/>
      <c r="I16" s="164"/>
      <c r="J16" s="164"/>
      <c r="K16" s="164"/>
      <c r="L16" s="164"/>
      <c r="M16" s="164"/>
      <c r="N16" s="164"/>
      <c r="O16" s="164"/>
      <c r="P16" s="164"/>
      <c r="Q16" s="164"/>
      <c r="R16" s="164"/>
      <c r="S16" s="164"/>
      <c r="T16" s="164"/>
      <c r="U16" s="164"/>
      <c r="V16" s="164"/>
      <c r="W16" s="164"/>
      <c r="X16" s="164"/>
      <c r="Y16" s="164"/>
      <c r="Z16" s="164"/>
    </row>
    <row r="17" ht="35.25" customHeight="1">
      <c r="A17" s="180">
        <v>10.0</v>
      </c>
      <c r="B17" s="175" t="s">
        <v>104</v>
      </c>
      <c r="C17" s="176" t="s">
        <v>105</v>
      </c>
      <c r="D17" s="177">
        <v>69.0</v>
      </c>
      <c r="E17" s="28"/>
      <c r="F17" s="179" t="s">
        <v>270</v>
      </c>
      <c r="G17" s="164"/>
      <c r="H17" s="161"/>
      <c r="I17" s="164"/>
      <c r="J17" s="164"/>
      <c r="K17" s="164"/>
      <c r="L17" s="164"/>
      <c r="M17" s="164"/>
      <c r="N17" s="164"/>
      <c r="O17" s="164"/>
      <c r="P17" s="164"/>
      <c r="Q17" s="164"/>
      <c r="R17" s="164"/>
      <c r="S17" s="164"/>
      <c r="T17" s="164"/>
      <c r="U17" s="164"/>
      <c r="V17" s="164"/>
      <c r="W17" s="164"/>
      <c r="X17" s="164"/>
      <c r="Y17" s="164"/>
      <c r="Z17" s="164"/>
    </row>
    <row r="18" ht="35.25" customHeight="1">
      <c r="A18" s="174">
        <v>11.0</v>
      </c>
      <c r="B18" s="175" t="s">
        <v>108</v>
      </c>
      <c r="C18" s="176" t="s">
        <v>109</v>
      </c>
      <c r="D18" s="177">
        <v>61.0</v>
      </c>
      <c r="E18" s="28"/>
      <c r="F18" s="179" t="s">
        <v>271</v>
      </c>
      <c r="G18" s="164"/>
      <c r="H18" s="164"/>
      <c r="I18" s="164"/>
      <c r="J18" s="164"/>
      <c r="K18" s="164"/>
      <c r="L18" s="164"/>
      <c r="M18" s="164"/>
      <c r="N18" s="164"/>
      <c r="O18" s="164"/>
      <c r="P18" s="164"/>
      <c r="Q18" s="164"/>
      <c r="R18" s="164"/>
      <c r="S18" s="164"/>
      <c r="T18" s="164"/>
      <c r="U18" s="164"/>
      <c r="V18" s="164"/>
      <c r="W18" s="164"/>
      <c r="X18" s="164"/>
      <c r="Y18" s="164"/>
      <c r="Z18" s="164"/>
    </row>
    <row r="19" ht="35.25" customHeight="1">
      <c r="A19" s="180">
        <v>12.0</v>
      </c>
      <c r="B19" s="175" t="s">
        <v>110</v>
      </c>
      <c r="C19" s="176" t="s">
        <v>111</v>
      </c>
      <c r="D19" s="177">
        <v>20.0</v>
      </c>
      <c r="E19" s="28"/>
      <c r="F19" s="179" t="s">
        <v>272</v>
      </c>
      <c r="G19" s="164"/>
      <c r="H19" s="164"/>
      <c r="I19" s="164"/>
      <c r="J19" s="164"/>
      <c r="K19" s="164"/>
      <c r="L19" s="164"/>
      <c r="M19" s="164"/>
      <c r="N19" s="164"/>
      <c r="O19" s="164"/>
      <c r="P19" s="164"/>
      <c r="Q19" s="164"/>
      <c r="R19" s="164"/>
      <c r="S19" s="164"/>
      <c r="T19" s="164"/>
      <c r="U19" s="164"/>
      <c r="V19" s="164"/>
      <c r="W19" s="164"/>
      <c r="X19" s="164"/>
      <c r="Y19" s="164"/>
      <c r="Z19" s="164"/>
    </row>
    <row r="20" ht="35.25" customHeight="1">
      <c r="A20" s="174">
        <v>13.0</v>
      </c>
      <c r="B20" s="175" t="s">
        <v>112</v>
      </c>
      <c r="C20" s="176" t="s">
        <v>113</v>
      </c>
      <c r="D20" s="177">
        <v>81.0</v>
      </c>
      <c r="E20" s="28"/>
      <c r="F20" s="179" t="s">
        <v>273</v>
      </c>
      <c r="G20" s="164"/>
      <c r="H20" s="164"/>
      <c r="I20" s="164"/>
      <c r="J20" s="164"/>
      <c r="K20" s="164"/>
      <c r="L20" s="164"/>
      <c r="M20" s="164"/>
      <c r="N20" s="164"/>
      <c r="O20" s="164"/>
      <c r="P20" s="164"/>
      <c r="Q20" s="164"/>
      <c r="R20" s="164"/>
      <c r="S20" s="164"/>
      <c r="T20" s="164"/>
      <c r="U20" s="164"/>
      <c r="V20" s="164"/>
      <c r="W20" s="164"/>
      <c r="X20" s="164"/>
      <c r="Y20" s="164"/>
      <c r="Z20" s="164"/>
    </row>
    <row r="21" ht="35.25" customHeight="1">
      <c r="A21" s="180">
        <v>14.0</v>
      </c>
      <c r="B21" s="175" t="s">
        <v>118</v>
      </c>
      <c r="C21" s="176" t="s">
        <v>119</v>
      </c>
      <c r="D21" s="177">
        <v>50.0</v>
      </c>
      <c r="E21" s="34"/>
      <c r="F21" s="179" t="s">
        <v>274</v>
      </c>
      <c r="G21" s="164"/>
      <c r="H21" s="164"/>
      <c r="I21" s="164"/>
      <c r="J21" s="164"/>
      <c r="K21" s="164"/>
      <c r="L21" s="164"/>
      <c r="M21" s="164"/>
      <c r="N21" s="164"/>
      <c r="O21" s="164"/>
      <c r="P21" s="164"/>
      <c r="Q21" s="164"/>
      <c r="R21" s="164"/>
      <c r="S21" s="164"/>
      <c r="T21" s="164"/>
      <c r="U21" s="164"/>
      <c r="V21" s="164"/>
      <c r="W21" s="164"/>
      <c r="X21" s="164"/>
      <c r="Y21" s="164"/>
      <c r="Z21" s="164"/>
    </row>
    <row r="22" ht="35.25" customHeight="1">
      <c r="A22" s="174">
        <v>15.0</v>
      </c>
      <c r="B22" s="175" t="s">
        <v>128</v>
      </c>
      <c r="C22" s="176" t="s">
        <v>129</v>
      </c>
      <c r="D22" s="177">
        <v>48.0</v>
      </c>
      <c r="E22" s="183" t="s">
        <v>275</v>
      </c>
      <c r="F22" s="181" t="s">
        <v>276</v>
      </c>
      <c r="G22" s="164"/>
      <c r="H22" s="164"/>
      <c r="I22" s="164"/>
      <c r="J22" s="164"/>
      <c r="K22" s="164"/>
      <c r="L22" s="164"/>
      <c r="M22" s="164"/>
      <c r="N22" s="164"/>
      <c r="O22" s="164"/>
      <c r="P22" s="164"/>
      <c r="Q22" s="164"/>
      <c r="R22" s="164"/>
      <c r="S22" s="164"/>
      <c r="T22" s="164"/>
      <c r="U22" s="164"/>
      <c r="V22" s="164"/>
      <c r="W22" s="164"/>
      <c r="X22" s="164"/>
      <c r="Y22" s="164"/>
      <c r="Z22" s="164"/>
    </row>
    <row r="23" ht="35.25" customHeight="1">
      <c r="A23" s="180">
        <v>16.0</v>
      </c>
      <c r="B23" s="175" t="s">
        <v>136</v>
      </c>
      <c r="C23" s="176" t="s">
        <v>137</v>
      </c>
      <c r="D23" s="177">
        <v>56.0</v>
      </c>
      <c r="E23" s="183" t="s">
        <v>277</v>
      </c>
      <c r="F23" s="179" t="s">
        <v>278</v>
      </c>
      <c r="G23" s="164"/>
      <c r="H23" s="164"/>
      <c r="I23" s="164"/>
      <c r="J23" s="164"/>
      <c r="K23" s="164"/>
      <c r="L23" s="164"/>
      <c r="M23" s="164"/>
      <c r="N23" s="164"/>
      <c r="O23" s="164"/>
      <c r="P23" s="164"/>
      <c r="Q23" s="164"/>
      <c r="R23" s="164"/>
      <c r="S23" s="164"/>
      <c r="T23" s="164"/>
      <c r="U23" s="164"/>
      <c r="V23" s="164"/>
      <c r="W23" s="164"/>
      <c r="X23" s="164"/>
      <c r="Y23" s="164"/>
      <c r="Z23" s="164"/>
    </row>
    <row r="24" ht="35.25" customHeight="1">
      <c r="A24" s="164"/>
      <c r="B24" s="164"/>
      <c r="C24" s="164"/>
      <c r="D24" s="184"/>
      <c r="E24" s="164"/>
      <c r="F24" s="164"/>
      <c r="G24" s="164"/>
      <c r="H24" s="164"/>
      <c r="I24" s="164"/>
      <c r="J24" s="164"/>
      <c r="K24" s="164"/>
      <c r="L24" s="164"/>
      <c r="M24" s="164"/>
      <c r="N24" s="164"/>
      <c r="O24" s="164"/>
      <c r="P24" s="164"/>
      <c r="Q24" s="164"/>
      <c r="R24" s="164"/>
      <c r="S24" s="164"/>
      <c r="T24" s="164"/>
      <c r="U24" s="164"/>
      <c r="V24" s="164"/>
      <c r="W24" s="164"/>
      <c r="X24" s="164"/>
      <c r="Y24" s="164"/>
      <c r="Z24" s="164"/>
    </row>
    <row r="25" ht="35.25" customHeight="1">
      <c r="A25" s="164"/>
      <c r="B25" s="164"/>
      <c r="C25" s="164"/>
      <c r="D25" s="184"/>
      <c r="E25" s="164"/>
      <c r="F25" s="164"/>
      <c r="G25" s="164"/>
      <c r="H25" s="164"/>
      <c r="I25" s="164"/>
      <c r="J25" s="164"/>
      <c r="K25" s="164"/>
      <c r="L25" s="164"/>
      <c r="M25" s="164"/>
      <c r="N25" s="164"/>
      <c r="O25" s="164"/>
      <c r="P25" s="164"/>
      <c r="Q25" s="164"/>
      <c r="R25" s="164"/>
      <c r="S25" s="164"/>
      <c r="T25" s="164"/>
      <c r="U25" s="164"/>
      <c r="V25" s="164"/>
      <c r="W25" s="164"/>
      <c r="X25" s="164"/>
      <c r="Y25" s="164"/>
      <c r="Z25" s="164"/>
    </row>
    <row r="26" ht="35.25" customHeight="1">
      <c r="A26" s="164"/>
      <c r="B26" s="185" t="s">
        <v>279</v>
      </c>
      <c r="C26" s="164"/>
      <c r="D26" s="184"/>
      <c r="E26" s="164"/>
      <c r="F26" s="186" t="s">
        <v>280</v>
      </c>
      <c r="G26" s="164"/>
      <c r="H26" s="164"/>
      <c r="I26" s="164"/>
      <c r="J26" s="164"/>
      <c r="K26" s="164"/>
      <c r="L26" s="164"/>
      <c r="M26" s="164"/>
      <c r="N26" s="164"/>
      <c r="O26" s="164"/>
      <c r="P26" s="164"/>
      <c r="Q26" s="164"/>
      <c r="R26" s="164"/>
      <c r="S26" s="164"/>
      <c r="T26" s="164"/>
      <c r="U26" s="164"/>
      <c r="V26" s="164"/>
      <c r="W26" s="164"/>
      <c r="X26" s="164"/>
      <c r="Y26" s="164"/>
      <c r="Z26" s="164"/>
    </row>
    <row r="27" ht="35.25" customHeight="1">
      <c r="A27" s="164"/>
      <c r="B27" s="164"/>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row>
    <row r="28" ht="35.25" customHeight="1">
      <c r="A28" s="164"/>
      <c r="B28" s="164"/>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row>
    <row r="29" ht="35.25" customHeight="1">
      <c r="A29" s="164"/>
      <c r="B29" s="164"/>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row>
    <row r="30" ht="35.25" customHeight="1">
      <c r="A30" s="164"/>
      <c r="B30" s="164"/>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row>
    <row r="31" ht="35.25" customHeight="1">
      <c r="A31" s="164"/>
      <c r="B31" s="164"/>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row>
    <row r="32" ht="35.25" customHeight="1">
      <c r="A32" s="164"/>
      <c r="B32" s="164"/>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row>
    <row r="33" ht="35.25" customHeight="1">
      <c r="A33" s="164"/>
      <c r="B33" s="164"/>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row>
    <row r="34" ht="35.25" customHeight="1">
      <c r="A34" s="164"/>
      <c r="B34" s="164"/>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row>
    <row r="35" ht="35.25" customHeight="1">
      <c r="A35" s="164"/>
      <c r="B35" s="164"/>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row>
    <row r="36" ht="35.25" customHeight="1">
      <c r="A36" s="164"/>
      <c r="B36" s="164"/>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row>
    <row r="37" ht="35.25" customHeight="1">
      <c r="A37" s="164"/>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row>
    <row r="38" ht="35.25" customHeight="1">
      <c r="A38" s="164"/>
      <c r="B38" s="164"/>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row>
    <row r="39" ht="35.25" customHeight="1">
      <c r="A39" s="164"/>
      <c r="B39" s="164"/>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row>
    <row r="40" ht="35.25" customHeight="1">
      <c r="A40" s="164"/>
      <c r="B40" s="164"/>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row>
    <row r="41" ht="35.25" customHeight="1">
      <c r="A41" s="164"/>
      <c r="B41" s="164"/>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row>
    <row r="42" ht="35.25" customHeight="1">
      <c r="A42" s="164"/>
      <c r="B42" s="164"/>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row>
    <row r="43" ht="35.25" customHeight="1">
      <c r="A43" s="164"/>
      <c r="B43" s="164"/>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row>
    <row r="44" ht="35.25" customHeight="1">
      <c r="A44" s="164"/>
      <c r="B44" s="16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row>
    <row r="45" ht="35.25" customHeight="1">
      <c r="A45" s="164"/>
      <c r="B45" s="164"/>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row>
    <row r="46" ht="35.25" customHeight="1">
      <c r="A46" s="164"/>
      <c r="B46" s="164"/>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row>
    <row r="47" ht="35.25" customHeight="1">
      <c r="A47" s="164"/>
      <c r="B47" s="164"/>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row>
    <row r="48" ht="35.25" customHeight="1">
      <c r="A48" s="164"/>
      <c r="B48" s="164"/>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35.25" customHeight="1">
      <c r="A49" s="164"/>
      <c r="B49" s="164"/>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35.25" customHeight="1">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35.25" customHeight="1">
      <c r="A51" s="164"/>
      <c r="B51" s="164"/>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35.25" customHeight="1">
      <c r="A52" s="164"/>
      <c r="B52" s="164"/>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35.25" customHeight="1">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35.25" customHeight="1">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35.25" customHeight="1">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35.25" customHeight="1">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35.25" customHeight="1">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35.25" customHeight="1">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35.25" customHeight="1">
      <c r="A59" s="164"/>
      <c r="B59" s="164"/>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35.25" customHeight="1">
      <c r="A60" s="164"/>
      <c r="B60" s="164"/>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35.25" customHeight="1">
      <c r="A61" s="164"/>
      <c r="B61" s="164"/>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35.25" customHeight="1">
      <c r="A62" s="164"/>
      <c r="B62" s="164"/>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35.25" customHeight="1">
      <c r="A63" s="164"/>
      <c r="B63" s="164"/>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35.25" customHeight="1">
      <c r="A64" s="164"/>
      <c r="B64" s="164"/>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35.25" customHeight="1">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35.25" customHeight="1">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35.25" customHeight="1">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35.25" customHeight="1">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35.25" customHeight="1">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35.25" customHeight="1">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35.25" customHeight="1">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35.25" customHeight="1">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35.25" customHeight="1">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35.25" customHeight="1">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35.25" customHeight="1">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35.25" customHeight="1">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35.25" customHeight="1">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35.25" customHeight="1">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35.25" customHeight="1">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35.25" customHeight="1">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35.25" customHeight="1">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35.25" customHeight="1">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35.25" customHeight="1">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35.25" customHeight="1">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35.25" customHeight="1">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35.25" customHeight="1">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35.25" customHeight="1">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35.25" customHeight="1">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35.25" customHeight="1">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35.25" customHeight="1">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35.25" customHeight="1">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35.25" customHeight="1">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35.25" customHeight="1">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35.25" customHeight="1">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35.25" customHeight="1">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35.25" customHeight="1">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35.25" customHeight="1">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35.25" customHeight="1">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35.25" customHeight="1">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35.25" customHeight="1">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35.25" customHeight="1">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35.25" customHeight="1">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35.25" customHeight="1">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35.25" customHeight="1">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35.25" customHeight="1">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35.25" customHeight="1">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35.25" customHeight="1">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35.25" customHeight="1">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35.25" customHeight="1">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35.25" customHeight="1">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35.25" customHeight="1">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35.25" customHeight="1">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35.25" customHeight="1">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35.25" customHeight="1">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35.25" customHeight="1">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35.25" customHeight="1">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35.25" customHeight="1">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35.25" customHeight="1">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35.25" customHeight="1">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ht="35.25" customHeight="1">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ht="35.25" customHeight="1">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ht="35.25" customHeight="1">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ht="35.25" customHeight="1">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ht="35.25" customHeight="1">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ht="35.25" customHeight="1">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ht="35.25" customHeight="1">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ht="35.25" customHeight="1">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ht="35.25" customHeight="1">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ht="35.25" customHeight="1">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ht="35.25" customHeight="1">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ht="35.25" customHeight="1">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ht="35.25" customHeight="1">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ht="35.25" customHeight="1">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ht="35.25" customHeight="1">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ht="35.25" customHeight="1">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ht="35.25" customHeight="1">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ht="35.25" customHeight="1">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ht="35.25" customHeight="1">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ht="35.25" customHeight="1">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ht="35.25" customHeight="1">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ht="35.25" customHeight="1">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ht="35.25" customHeight="1">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ht="35.25" customHeight="1">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ht="35.25" customHeight="1">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ht="35.25" customHeight="1">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ht="35.25" customHeight="1">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ht="35.25" customHeight="1">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ht="35.25" customHeight="1">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ht="35.25" customHeight="1">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ht="35.25" customHeight="1">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ht="35.25" customHeight="1">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ht="35.25" customHeight="1">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ht="35.25" customHeight="1">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ht="35.25" customHeight="1">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ht="35.25" customHeight="1">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ht="35.25" customHeight="1">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ht="35.25" customHeight="1">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ht="35.25" customHeight="1">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ht="35.25" customHeight="1">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ht="35.25" customHeight="1">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ht="35.25" customHeight="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ht="35.25" customHeight="1">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ht="35.25" customHeight="1">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ht="35.25" customHeight="1">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ht="35.25" customHeight="1">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ht="35.25" customHeight="1">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ht="35.25" customHeight="1">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ht="35.25" customHeight="1">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ht="35.25" customHeight="1">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ht="35.25" customHeight="1">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ht="35.25" customHeight="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ht="35.25" customHeight="1">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ht="35.25" customHeight="1">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ht="35.25" customHeight="1">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ht="35.25" customHeight="1">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ht="35.25" customHeight="1">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ht="35.25" customHeight="1">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ht="35.25" customHeight="1">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ht="35.25" customHeight="1">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ht="35.25" customHeight="1">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ht="35.25" customHeight="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ht="35.25" customHeight="1">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ht="35.25" customHeight="1">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35.25" customHeight="1">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35.25" customHeight="1">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35.25" customHeight="1">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35.25" customHeight="1">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35.25" customHeight="1">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35.25" customHeight="1">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35.25" customHeight="1">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35.25" customHeight="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35.25" customHeight="1">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35.25" customHeight="1">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35.25" customHeight="1">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35.25" customHeight="1">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35.25" customHeight="1">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35.25" customHeight="1">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35.25" customHeight="1">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35.25" customHeight="1">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ht="35.25" customHeight="1">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ht="35.25" customHeight="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ht="35.25" customHeight="1">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ht="35.25" customHeight="1">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ht="35.25" customHeight="1">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ht="35.25" customHeight="1">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ht="35.25" customHeight="1">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ht="35.25" customHeight="1">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ht="35.25" customHeight="1">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ht="35.25" customHeight="1">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ht="35.25" customHeight="1">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ht="35.25" customHeight="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35.25" customHeight="1">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35.25" customHeight="1">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35.25" customHeight="1">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35.25" customHeight="1">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35.25" customHeight="1">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35.25" customHeight="1">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35.25" customHeight="1">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35.25" customHeight="1">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35.25" customHeight="1">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35.2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row>
    <row r="222" ht="35.2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row>
    <row r="223" ht="35.2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row>
    <row r="224" ht="35.2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row>
    <row r="225" ht="35.2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row>
    <row r="226" ht="35.2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row>
    <row r="227" ht="35.2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row>
    <row r="228" ht="35.2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row>
    <row r="229" ht="35.2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row>
    <row r="230" ht="35.2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row>
    <row r="231" ht="35.2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row>
    <row r="232" ht="35.2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row>
    <row r="233" ht="35.2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row>
    <row r="234" ht="35.2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row>
    <row r="235" ht="35.2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row>
    <row r="236" ht="35.2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row>
    <row r="237" ht="35.2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row>
    <row r="238" ht="35.2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row>
    <row r="239" ht="35.2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row>
    <row r="240" ht="35.2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row>
    <row r="241" ht="35.2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row>
    <row r="242" ht="35.2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row>
    <row r="243" ht="35.2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row>
    <row r="244" ht="35.2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row>
    <row r="245" ht="35.2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row>
    <row r="246" ht="35.2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row>
    <row r="247" ht="35.2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row>
    <row r="248" ht="35.2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row>
    <row r="249" ht="35.2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row>
    <row r="250" ht="35.2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row>
    <row r="251" ht="35.2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row>
    <row r="252" ht="35.2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row>
    <row r="253" ht="35.2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row>
    <row r="254" ht="35.2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row>
    <row r="255" ht="35.2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row>
    <row r="256" ht="35.2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row>
    <row r="257" ht="35.2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row>
    <row r="258" ht="35.2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row>
    <row r="259" ht="35.2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row>
    <row r="260" ht="35.2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row>
    <row r="261" ht="35.2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row>
    <row r="262" ht="35.2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row>
    <row r="263" ht="35.2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row>
    <row r="264" ht="35.2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row>
    <row r="265" ht="35.2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row>
    <row r="266" ht="35.2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row>
    <row r="267" ht="35.2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row>
    <row r="268" ht="35.2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row>
    <row r="269" ht="35.2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row>
    <row r="270" ht="35.2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row>
    <row r="271" ht="35.2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row>
    <row r="272" ht="35.2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row>
    <row r="273" ht="35.2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row>
    <row r="274" ht="35.2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row>
    <row r="275" ht="35.2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row>
    <row r="276" ht="35.2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row>
    <row r="277" ht="35.2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row>
    <row r="278" ht="35.2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row>
    <row r="279" ht="35.2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row>
    <row r="280" ht="35.2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row>
    <row r="281" ht="35.2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row>
    <row r="282" ht="35.2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row>
    <row r="283" ht="35.2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row>
    <row r="284" ht="35.2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row>
    <row r="285" ht="35.2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row>
    <row r="286" ht="35.2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row>
    <row r="287" ht="35.2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row>
    <row r="288" ht="35.2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row>
    <row r="289" ht="35.2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row>
    <row r="290" ht="35.2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row>
    <row r="291" ht="35.2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row>
    <row r="292" ht="35.2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row>
    <row r="293" ht="35.2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row>
    <row r="294" ht="35.2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row>
    <row r="295" ht="35.2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row>
    <row r="296" ht="35.2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row>
    <row r="297" ht="35.2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row>
    <row r="298" ht="35.2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row>
    <row r="299" ht="35.2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row>
    <row r="300" ht="35.2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row>
    <row r="301" ht="35.2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row>
    <row r="302" ht="35.2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row>
    <row r="303" ht="35.2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row>
    <row r="304" ht="35.2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row>
    <row r="305" ht="35.2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row>
    <row r="306" ht="35.2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row>
    <row r="307" ht="35.2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row>
    <row r="308" ht="35.2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row>
    <row r="309" ht="35.2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row>
    <row r="310" ht="35.2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row>
    <row r="311" ht="35.2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row>
    <row r="312" ht="35.2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row>
    <row r="313" ht="35.2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row>
    <row r="314" ht="35.2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row>
    <row r="315" ht="35.2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row>
    <row r="316" ht="35.2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row>
    <row r="317" ht="35.2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row>
    <row r="318" ht="35.2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row>
    <row r="319" ht="35.2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row>
    <row r="320" ht="35.2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row>
    <row r="321" ht="35.2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row>
    <row r="322" ht="35.2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row>
    <row r="323" ht="35.2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row>
    <row r="324" ht="35.2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row>
    <row r="325" ht="35.2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row>
    <row r="326" ht="35.2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row>
    <row r="327" ht="35.2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row>
    <row r="328" ht="35.2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row>
    <row r="329" ht="35.2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row>
    <row r="330" ht="35.2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row>
    <row r="331" ht="35.2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row>
    <row r="332" ht="35.2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row>
    <row r="333" ht="35.2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row>
    <row r="334" ht="35.2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row>
    <row r="335" ht="35.2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row>
    <row r="336" ht="35.2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row>
    <row r="337" ht="35.2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row>
    <row r="338" ht="35.2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row>
    <row r="339" ht="35.2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row>
    <row r="340" ht="35.2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row>
    <row r="341" ht="35.2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row>
    <row r="342" ht="35.2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row>
    <row r="343" ht="35.2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row>
    <row r="344" ht="35.2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row>
    <row r="345" ht="35.2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row>
    <row r="346" ht="35.2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row>
    <row r="347" ht="35.2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row>
    <row r="348" ht="35.2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row>
    <row r="349" ht="35.2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row>
    <row r="350" ht="35.2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row>
    <row r="351" ht="35.2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row>
    <row r="352" ht="35.2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row>
    <row r="353" ht="35.2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row>
    <row r="354" ht="35.2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row>
    <row r="355" ht="35.2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row>
    <row r="356" ht="35.2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row>
    <row r="357" ht="35.2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row>
    <row r="358" ht="35.2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row>
    <row r="359" ht="35.2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row>
    <row r="360" ht="35.2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row>
    <row r="361" ht="35.2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row>
    <row r="362" ht="35.2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row>
    <row r="363" ht="35.2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row>
    <row r="364" ht="35.2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row>
    <row r="365" ht="35.2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row>
    <row r="366" ht="35.2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row>
    <row r="367" ht="35.2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row>
    <row r="368" ht="35.2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row>
    <row r="369" ht="35.2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row>
    <row r="370" ht="35.2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row>
    <row r="371" ht="35.2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row>
    <row r="372" ht="35.2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row>
    <row r="373" ht="35.2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row>
    <row r="374" ht="35.2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row>
    <row r="375" ht="35.2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row>
    <row r="376" ht="35.2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row>
    <row r="377" ht="35.2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row>
    <row r="378" ht="35.2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row>
    <row r="379" ht="35.2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row>
    <row r="380" ht="35.2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row>
    <row r="381" ht="35.2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row>
    <row r="382" ht="35.2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row>
    <row r="383" ht="35.2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row>
    <row r="384" ht="35.2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row>
    <row r="385" ht="35.2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row>
    <row r="386" ht="35.2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row>
    <row r="387" ht="35.2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row>
    <row r="388" ht="35.2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row>
    <row r="389" ht="35.2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row>
    <row r="390" ht="35.2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row>
    <row r="391" ht="35.2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row>
    <row r="392" ht="35.2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row>
    <row r="393" ht="35.2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row>
    <row r="394" ht="35.2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row>
    <row r="395" ht="35.2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row>
    <row r="396" ht="35.2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row>
    <row r="397" ht="35.2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row>
    <row r="398" ht="35.2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row>
    <row r="399" ht="35.2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row>
    <row r="400" ht="35.2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row>
    <row r="401" ht="35.2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row>
    <row r="402" ht="35.2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row>
    <row r="403" ht="35.2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row>
    <row r="404" ht="35.2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row>
    <row r="405" ht="35.2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row>
    <row r="406" ht="35.2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row>
    <row r="407" ht="35.2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row>
    <row r="408" ht="35.2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row>
    <row r="409" ht="35.2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row>
    <row r="410" ht="35.2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row>
    <row r="411" ht="35.2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row>
    <row r="412" ht="35.2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row>
    <row r="413" ht="35.2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row>
    <row r="414" ht="35.2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row>
    <row r="415" ht="35.2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row>
    <row r="416" ht="35.2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row>
    <row r="417" ht="35.2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row>
    <row r="418" ht="35.2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row>
    <row r="419" ht="35.2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row>
    <row r="420" ht="35.2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row>
    <row r="421" ht="35.2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row>
    <row r="422" ht="35.2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row>
    <row r="423" ht="35.2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row>
    <row r="424" ht="35.2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row>
    <row r="425" ht="35.2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row>
    <row r="426" ht="35.2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row>
    <row r="427" ht="35.2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row>
    <row r="428" ht="35.2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row>
    <row r="429" ht="35.2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row>
    <row r="430" ht="35.2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row>
    <row r="431" ht="35.2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row>
    <row r="432" ht="35.2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row>
    <row r="433" ht="35.2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row>
    <row r="434" ht="35.2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row>
    <row r="435" ht="35.2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row>
    <row r="436" ht="35.2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row>
    <row r="437" ht="35.2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row>
    <row r="438" ht="35.2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row>
    <row r="439" ht="35.2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row>
    <row r="440" ht="35.2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row>
    <row r="441" ht="35.2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row>
    <row r="442" ht="35.2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row>
    <row r="443" ht="35.2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row>
    <row r="444" ht="35.2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row>
    <row r="445" ht="35.2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row>
    <row r="446" ht="35.2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row>
    <row r="447" ht="35.2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row>
    <row r="448" ht="35.2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row>
    <row r="449" ht="35.2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row>
    <row r="450" ht="35.2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row>
    <row r="451" ht="35.2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row>
    <row r="452" ht="35.2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row>
    <row r="453" ht="35.2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row>
    <row r="454" ht="35.2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row>
    <row r="455" ht="35.2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row>
    <row r="456" ht="35.2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row>
    <row r="457" ht="35.2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row>
    <row r="458" ht="35.2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row>
    <row r="459" ht="35.2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row>
    <row r="460" ht="35.2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row>
    <row r="461" ht="35.2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row>
    <row r="462" ht="35.2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row>
    <row r="463" ht="35.2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row>
    <row r="464" ht="35.2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row>
    <row r="465" ht="35.2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row>
    <row r="466" ht="35.2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row>
    <row r="467" ht="35.2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row>
    <row r="468" ht="35.2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row>
    <row r="469" ht="35.2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row>
    <row r="470" ht="35.2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row>
    <row r="471" ht="35.2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row>
    <row r="472" ht="35.2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row>
    <row r="473" ht="35.2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row>
    <row r="474" ht="35.2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row>
    <row r="475" ht="35.2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row>
    <row r="476" ht="35.2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row>
    <row r="477" ht="35.2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row>
    <row r="478" ht="35.2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row>
    <row r="479" ht="35.2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row>
    <row r="480" ht="35.2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row>
    <row r="481" ht="35.2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row>
    <row r="482" ht="35.2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row>
    <row r="483" ht="35.2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row>
    <row r="484" ht="35.2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row>
    <row r="485" ht="35.2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row>
    <row r="486" ht="35.2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row>
    <row r="487" ht="35.2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row>
    <row r="488" ht="35.2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row>
    <row r="489" ht="35.2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row>
    <row r="490" ht="35.2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row>
    <row r="491" ht="35.2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row>
    <row r="492" ht="35.2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row>
    <row r="493" ht="35.2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row>
    <row r="494" ht="35.2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row>
    <row r="495" ht="35.2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row>
    <row r="496" ht="35.2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row>
    <row r="497" ht="35.2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row>
    <row r="498" ht="35.2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row>
    <row r="499" ht="35.2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row>
    <row r="500" ht="35.2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row>
    <row r="501" ht="35.2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row>
    <row r="502" ht="35.2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row>
    <row r="503" ht="35.2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row>
    <row r="504" ht="35.2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row>
    <row r="505" ht="35.2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row>
    <row r="506" ht="35.2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row>
    <row r="507" ht="35.2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row>
    <row r="508" ht="35.2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row>
    <row r="509" ht="35.2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row>
    <row r="510" ht="35.2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row>
    <row r="511" ht="35.2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row>
    <row r="512" ht="35.2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row>
    <row r="513" ht="35.2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row>
    <row r="514" ht="35.2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row>
    <row r="515" ht="35.2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row>
    <row r="516" ht="35.2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row>
    <row r="517" ht="35.2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row>
    <row r="518" ht="35.2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row>
    <row r="519" ht="35.2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row>
    <row r="520" ht="35.2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row>
    <row r="521" ht="35.2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row>
    <row r="522" ht="35.2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row>
    <row r="523" ht="35.2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row>
    <row r="524" ht="35.2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row>
    <row r="525" ht="35.2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row>
    <row r="526" ht="35.2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row>
    <row r="527" ht="35.2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row>
    <row r="528" ht="35.2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row>
    <row r="529" ht="35.2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row>
    <row r="530" ht="35.2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row>
    <row r="531" ht="35.2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row>
    <row r="532" ht="35.2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row>
    <row r="533" ht="35.2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row>
    <row r="534" ht="35.2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row>
    <row r="535" ht="35.2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row>
    <row r="536" ht="35.2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row>
    <row r="537" ht="35.2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row>
    <row r="538" ht="35.2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row>
    <row r="539" ht="35.2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row>
    <row r="540" ht="35.2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row>
    <row r="541" ht="35.2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row>
    <row r="542" ht="35.2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row>
    <row r="543" ht="35.2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row>
    <row r="544" ht="35.2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row>
    <row r="545" ht="35.2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row>
    <row r="546" ht="35.2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row>
    <row r="547" ht="35.2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row>
    <row r="548" ht="35.2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row>
    <row r="549" ht="35.2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row>
    <row r="550" ht="35.2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row>
    <row r="551" ht="35.2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row>
    <row r="552" ht="35.2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row>
    <row r="553" ht="35.2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row>
    <row r="554" ht="35.2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row>
    <row r="555" ht="35.2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row>
    <row r="556" ht="35.2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row>
    <row r="557" ht="35.2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row>
    <row r="558" ht="35.2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row>
    <row r="559" ht="35.2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row>
    <row r="560" ht="35.2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row>
    <row r="561" ht="35.2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row>
    <row r="562" ht="35.2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row>
    <row r="563" ht="35.2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row>
    <row r="564" ht="35.2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row>
    <row r="565" ht="35.2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row>
    <row r="566" ht="35.2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row>
    <row r="567" ht="35.2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row>
    <row r="568" ht="35.2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row>
    <row r="569" ht="35.2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row>
    <row r="570" ht="35.2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row>
    <row r="571" ht="35.2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row>
    <row r="572" ht="35.2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row>
    <row r="573" ht="35.2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row>
    <row r="574" ht="35.2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row>
    <row r="575" ht="35.2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row>
    <row r="576" ht="35.2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row>
    <row r="577" ht="35.2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row>
    <row r="578" ht="35.2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row>
    <row r="579" ht="35.2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row>
    <row r="580" ht="35.2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row>
    <row r="581" ht="35.2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row>
    <row r="582" ht="35.2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row>
    <row r="583" ht="35.2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row>
    <row r="584" ht="35.2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row>
    <row r="585" ht="35.2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row>
    <row r="586" ht="35.2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row>
    <row r="587" ht="35.2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row>
    <row r="588" ht="35.2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row>
    <row r="589" ht="35.2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row>
    <row r="590" ht="35.2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row>
    <row r="591" ht="35.2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row>
    <row r="592" ht="35.2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row>
    <row r="593" ht="35.2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row>
    <row r="594" ht="35.2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row>
    <row r="595" ht="35.2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row>
    <row r="596" ht="35.2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row>
    <row r="597" ht="35.2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row>
    <row r="598" ht="35.2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row>
    <row r="599" ht="35.2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row>
    <row r="600" ht="35.2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row>
    <row r="601" ht="35.2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row>
    <row r="602" ht="35.2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row>
    <row r="603" ht="35.2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row>
    <row r="604" ht="35.2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row>
    <row r="605" ht="35.2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row>
    <row r="606" ht="35.2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row>
    <row r="607" ht="35.2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row>
    <row r="608" ht="35.2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row>
    <row r="609" ht="35.2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row>
    <row r="610" ht="35.2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row>
    <row r="611" ht="35.2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row>
    <row r="612" ht="35.2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row>
    <row r="613" ht="35.2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row>
    <row r="614" ht="35.2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row>
    <row r="615" ht="35.2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row>
    <row r="616" ht="35.2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row>
    <row r="617" ht="35.2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row>
    <row r="618" ht="35.2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row>
    <row r="619" ht="35.2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row>
    <row r="620" ht="35.2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row>
    <row r="621" ht="35.2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row>
    <row r="622" ht="35.2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row>
    <row r="623" ht="35.2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row>
    <row r="624" ht="35.2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row>
    <row r="625" ht="35.2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row>
    <row r="626" ht="35.2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row>
    <row r="627" ht="35.2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row>
    <row r="628" ht="35.2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row>
    <row r="629" ht="35.2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row>
    <row r="630" ht="35.2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row>
    <row r="631" ht="35.2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row>
    <row r="632" ht="35.2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row>
    <row r="633" ht="35.2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row>
    <row r="634" ht="35.2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row>
    <row r="635" ht="35.2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row>
    <row r="636" ht="35.2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row>
    <row r="637" ht="35.2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row>
    <row r="638" ht="35.2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row>
    <row r="639" ht="35.2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row>
    <row r="640" ht="35.2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row>
    <row r="641" ht="35.2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row>
    <row r="642" ht="35.2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row>
    <row r="643" ht="35.2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row>
    <row r="644" ht="35.2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row>
    <row r="645" ht="35.2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row>
    <row r="646" ht="35.2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row>
    <row r="647" ht="35.2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row>
    <row r="648" ht="35.2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row>
    <row r="649" ht="35.2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row>
    <row r="650" ht="35.2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row>
    <row r="651" ht="35.2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row>
    <row r="652" ht="35.2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ht="35.2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row>
    <row r="654" ht="35.2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row>
    <row r="655" ht="35.2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row>
    <row r="656" ht="35.2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row>
    <row r="657" ht="35.2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ht="35.2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ht="35.2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row>
    <row r="660" ht="35.2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ht="35.2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row>
    <row r="662" ht="35.2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row>
    <row r="663" ht="35.2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row>
    <row r="664" ht="35.2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row>
    <row r="665" ht="35.2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ht="35.2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ht="35.2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row>
    <row r="668" ht="35.2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ht="35.2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row>
    <row r="670" ht="35.2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row>
    <row r="671" ht="35.2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row>
    <row r="672" ht="35.2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row>
    <row r="673" ht="35.2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ht="35.2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ht="35.2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row>
    <row r="676" ht="35.2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ht="35.2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row>
    <row r="678" ht="35.2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row>
    <row r="679" ht="35.2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ht="35.2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row>
    <row r="681" ht="35.2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ht="35.2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ht="35.2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row>
    <row r="684" ht="35.2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ht="35.2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row>
    <row r="686" ht="35.2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row>
    <row r="687" ht="35.2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row>
    <row r="688" ht="35.2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ht="35.2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ht="35.2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ht="35.2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ht="35.2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row>
    <row r="693" ht="35.2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row>
    <row r="694" ht="35.2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row>
    <row r="695" ht="35.2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ht="35.2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ht="35.2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ht="35.2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row>
    <row r="699" ht="35.2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ht="35.2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ht="35.2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ht="35.2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row>
    <row r="703" ht="35.2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row>
    <row r="704" ht="35.2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row>
    <row r="705" ht="35.2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ht="35.2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ht="35.2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ht="35.2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ht="35.2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ht="35.2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ht="35.2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ht="35.2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ht="35.2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ht="35.2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ht="35.2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ht="35.2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ht="35.2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ht="35.2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ht="35.2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row>
    <row r="720" ht="35.2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ht="35.2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ht="35.2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ht="35.2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ht="35.2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ht="35.2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row>
    <row r="726" ht="35.2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row>
    <row r="727" ht="35.2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ht="35.2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ht="35.2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ht="35.2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ht="35.2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ht="35.2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ht="35.2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ht="35.2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row>
    <row r="735" ht="35.2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row>
    <row r="736" ht="35.2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ht="35.2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ht="35.2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ht="35.2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ht="35.2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row>
    <row r="741" ht="35.2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ht="35.2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ht="35.2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row>
    <row r="744" ht="35.2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row>
    <row r="745" ht="35.2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row>
    <row r="746" ht="35.2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row>
    <row r="747" ht="35.2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row>
    <row r="748" ht="35.2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row>
    <row r="749" ht="35.2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row>
    <row r="750" ht="35.2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row>
    <row r="751" ht="35.2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ht="35.2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ht="35.2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ht="35.2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ht="35.2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row>
    <row r="756" ht="35.2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row>
    <row r="757" ht="35.2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ht="35.2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ht="35.2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ht="35.2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ht="35.2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row>
    <row r="762" ht="35.2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ht="35.2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ht="35.2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row>
    <row r="765" ht="35.2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row>
    <row r="766" ht="35.2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row>
    <row r="767" ht="35.2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row>
    <row r="768" ht="35.2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row>
    <row r="769" ht="35.2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row>
    <row r="770" ht="35.2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row>
    <row r="771" ht="35.2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row>
    <row r="772" ht="35.2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ht="35.2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ht="35.2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ht="35.2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ht="35.2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row>
    <row r="777" ht="35.2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row>
    <row r="778" ht="35.2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ht="35.2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ht="35.2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ht="35.2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ht="35.2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row>
    <row r="783" ht="35.2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row>
    <row r="784" ht="35.2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row>
    <row r="785" ht="35.2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row>
    <row r="786" ht="35.2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row>
    <row r="787" ht="35.2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row>
    <row r="788" ht="35.2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row>
    <row r="789" ht="35.2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row>
    <row r="790" ht="35.2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row>
    <row r="791" ht="35.2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row>
    <row r="792" ht="35.2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row>
    <row r="793" ht="35.2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row>
    <row r="794" ht="35.2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row>
    <row r="795" ht="35.2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row>
    <row r="796" ht="35.2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row>
    <row r="797" ht="35.2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row>
    <row r="798" ht="35.2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row>
    <row r="799" ht="35.2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row>
    <row r="800" ht="35.2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row>
    <row r="801" ht="35.2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row>
    <row r="802" ht="35.2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row>
    <row r="803" ht="35.2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row>
    <row r="804" ht="35.2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row>
    <row r="805" ht="35.2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row>
    <row r="806" ht="35.2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row>
    <row r="807" ht="35.2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row>
    <row r="808" ht="35.2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row>
    <row r="809" ht="35.2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row>
    <row r="810" ht="35.2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row>
    <row r="811" ht="35.2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row>
    <row r="812" ht="35.2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row>
    <row r="813" ht="35.2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row>
    <row r="814" ht="35.25" customHeight="1">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row>
    <row r="815" ht="35.25" customHeight="1">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row>
    <row r="816" ht="35.25" customHeight="1">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row>
    <row r="817" ht="35.25" customHeight="1">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row>
    <row r="818" ht="35.25" customHeight="1">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row>
    <row r="819" ht="35.25" customHeight="1">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row>
    <row r="820" ht="35.25" customHeight="1">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row>
    <row r="821" ht="35.25" customHeight="1">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row>
    <row r="822" ht="35.25" customHeight="1">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row>
    <row r="823" ht="35.25" customHeight="1">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row>
    <row r="824" ht="35.25" customHeight="1">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row>
    <row r="825" ht="35.25" customHeight="1">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row>
    <row r="826" ht="35.25" customHeight="1">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row>
    <row r="827" ht="35.25" customHeight="1">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row>
    <row r="828" ht="35.25" customHeight="1">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row>
    <row r="829" ht="35.25" customHeight="1">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row>
    <row r="830" ht="35.25" customHeight="1">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row>
    <row r="831" ht="35.25" customHeight="1">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row>
    <row r="832" ht="35.25" customHeight="1">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row>
    <row r="833" ht="35.25" customHeight="1">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row>
    <row r="834" ht="35.25" customHeight="1">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row>
    <row r="835" ht="35.25" customHeight="1">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row>
    <row r="836" ht="35.25" customHeight="1">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row>
    <row r="837" ht="35.25" customHeight="1">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row>
    <row r="838" ht="35.25" customHeight="1">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row>
    <row r="839" ht="35.25" customHeight="1">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row>
    <row r="840" ht="35.25" customHeight="1">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row>
    <row r="841" ht="35.25" customHeight="1">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row>
    <row r="842" ht="35.25" customHeight="1">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row>
    <row r="843" ht="35.25" customHeight="1">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row>
    <row r="844" ht="35.25" customHeight="1">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row>
    <row r="845" ht="35.25" customHeight="1">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row>
    <row r="846" ht="35.25" customHeight="1">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row>
    <row r="847" ht="35.25" customHeight="1">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row>
    <row r="848" ht="35.25" customHeight="1">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row>
    <row r="849" ht="35.25" customHeight="1">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row>
    <row r="850" ht="35.25" customHeight="1">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row>
    <row r="851" ht="35.25" customHeight="1">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row>
    <row r="852" ht="35.25" customHeight="1">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row>
    <row r="853" ht="35.25" customHeight="1">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row>
    <row r="854" ht="35.25" customHeight="1">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row>
    <row r="855" ht="35.25" customHeight="1">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row>
    <row r="856" ht="35.25" customHeight="1">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row>
    <row r="857" ht="35.25" customHeight="1">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row>
    <row r="858" ht="35.25" customHeight="1">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row>
    <row r="859" ht="35.25" customHeight="1">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row>
    <row r="860" ht="35.25" customHeight="1">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row>
    <row r="861" ht="35.25" customHeight="1">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row>
    <row r="862" ht="35.25" customHeight="1">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row>
    <row r="863" ht="35.25" customHeight="1">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row>
    <row r="864" ht="35.25" customHeight="1">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row>
    <row r="865" ht="35.25" customHeight="1">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row>
    <row r="866" ht="35.25" customHeight="1">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row>
    <row r="867" ht="35.25" customHeight="1">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row>
    <row r="868" ht="35.25" customHeight="1">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row>
    <row r="869" ht="35.25" customHeight="1">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row>
    <row r="870" ht="35.25" customHeight="1">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row>
    <row r="871" ht="35.25" customHeight="1">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row>
    <row r="872" ht="35.25" customHeight="1">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row>
    <row r="873" ht="35.25" customHeight="1">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row>
    <row r="874" ht="35.25" customHeight="1">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row>
    <row r="875" ht="35.25" customHeight="1">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row>
    <row r="876" ht="35.25" customHeight="1">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row>
    <row r="877" ht="35.25" customHeight="1">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row>
    <row r="878" ht="35.25" customHeight="1">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row>
    <row r="879" ht="35.25" customHeight="1">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row>
    <row r="880" ht="35.25" customHeight="1">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row>
    <row r="881" ht="35.25" customHeight="1">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row>
    <row r="882" ht="35.25" customHeight="1">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row>
    <row r="883" ht="35.25" customHeight="1">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row>
    <row r="884" ht="35.25" customHeight="1">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row>
    <row r="885" ht="35.25" customHeight="1">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row>
    <row r="886" ht="35.25" customHeight="1">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row>
    <row r="887" ht="35.25" customHeight="1">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row>
    <row r="888" ht="35.25" customHeight="1">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row>
    <row r="889" ht="35.25" customHeight="1">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row>
    <row r="890" ht="35.25" customHeight="1">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row>
    <row r="891" ht="35.25" customHeight="1">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row>
    <row r="892" ht="35.25" customHeight="1">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row>
    <row r="893" ht="35.25" customHeight="1">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row>
    <row r="894" ht="35.25" customHeight="1">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row>
    <row r="895" ht="35.25" customHeight="1">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row>
    <row r="896" ht="35.25" customHeight="1">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row>
    <row r="897" ht="35.25" customHeight="1">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row>
    <row r="898" ht="35.25" customHeight="1">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row>
    <row r="899" ht="35.25" customHeight="1">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row>
    <row r="900" ht="35.25" customHeight="1">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row>
    <row r="901" ht="35.25" customHeight="1">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row>
    <row r="902" ht="35.25" customHeight="1">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row>
    <row r="903" ht="35.25" customHeight="1">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row>
    <row r="904" ht="35.25" customHeight="1">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row>
    <row r="905" ht="35.25" customHeight="1">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row>
    <row r="906" ht="35.25" customHeight="1">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row>
    <row r="907" ht="35.25" customHeight="1">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row>
    <row r="908" ht="35.25" customHeight="1">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row>
    <row r="909" ht="35.25" customHeight="1">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row>
    <row r="910" ht="35.25" customHeight="1">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row>
    <row r="911" ht="35.25" customHeight="1">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row>
    <row r="912" ht="35.25" customHeight="1">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row>
    <row r="913" ht="35.25" customHeight="1">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row>
    <row r="914" ht="35.25" customHeight="1">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row>
    <row r="915" ht="35.25" customHeight="1">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row>
    <row r="916" ht="35.25" customHeight="1">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row>
    <row r="917" ht="35.25" customHeight="1">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row>
    <row r="918" ht="35.25" customHeight="1">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row>
    <row r="919" ht="35.25" customHeight="1">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row>
    <row r="920" ht="35.25" customHeight="1">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row>
    <row r="921" ht="35.25" customHeight="1">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row>
    <row r="922" ht="35.25" customHeight="1">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row>
    <row r="923" ht="35.25" customHeight="1">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row>
    <row r="924" ht="35.25" customHeight="1">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row>
    <row r="925" ht="35.25" customHeight="1">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row>
    <row r="926" ht="35.25" customHeight="1">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row>
    <row r="927" ht="35.25" customHeight="1">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row>
    <row r="928" ht="35.25" customHeight="1">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row>
    <row r="929" ht="35.25" customHeight="1">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row>
    <row r="930" ht="35.25" customHeight="1">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row>
    <row r="931" ht="35.25" customHeight="1">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row>
    <row r="932" ht="35.25" customHeight="1">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row>
    <row r="933" ht="35.25" customHeight="1">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row>
    <row r="934" ht="35.25" customHeight="1">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row>
    <row r="935" ht="35.25" customHeight="1">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row>
    <row r="936" ht="35.25" customHeight="1">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row>
    <row r="937" ht="35.25" customHeight="1">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row>
    <row r="938" ht="35.25" customHeight="1">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row>
    <row r="939" ht="35.25" customHeight="1">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row>
    <row r="940" ht="35.25" customHeight="1">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row>
    <row r="941" ht="35.25" customHeight="1">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row>
    <row r="942" ht="35.25" customHeight="1">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row>
    <row r="943" ht="35.25" customHeight="1">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row>
    <row r="944" ht="35.25" customHeight="1">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row>
    <row r="945" ht="35.25" customHeight="1">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row>
    <row r="946" ht="35.25" customHeight="1">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row>
    <row r="947" ht="35.25" customHeight="1">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row>
    <row r="948" ht="35.25" customHeight="1">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row>
    <row r="949" ht="35.25" customHeight="1">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row>
    <row r="950" ht="35.25" customHeight="1">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row>
    <row r="951" ht="35.25" customHeight="1">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row>
    <row r="952" ht="35.25" customHeight="1">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row>
    <row r="953" ht="35.25" customHeight="1">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row>
    <row r="954" ht="35.25" customHeight="1">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row>
    <row r="955" ht="35.25" customHeight="1">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row>
    <row r="956" ht="35.25" customHeight="1">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row>
    <row r="957" ht="35.25" customHeight="1">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row>
    <row r="958" ht="35.25" customHeight="1">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row>
    <row r="959" ht="35.25" customHeight="1">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row>
    <row r="960" ht="35.25" customHeight="1">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row>
    <row r="961" ht="35.25" customHeight="1">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row>
    <row r="962" ht="35.25" customHeight="1">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row>
    <row r="963" ht="35.25" customHeight="1">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row>
    <row r="964" ht="35.25" customHeight="1">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row>
    <row r="965" ht="35.25" customHeight="1">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row>
    <row r="966" ht="35.25" customHeight="1">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row>
    <row r="967" ht="35.25" customHeight="1">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row>
    <row r="968" ht="35.25" customHeight="1">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row>
    <row r="969" ht="35.25" customHeight="1">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row>
    <row r="970" ht="35.25" customHeight="1">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row>
    <row r="971" ht="35.25" customHeight="1">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row>
    <row r="972" ht="35.25" customHeight="1">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row>
    <row r="973" ht="35.25" customHeight="1">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row>
    <row r="974" ht="35.25" customHeight="1">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row>
    <row r="975" ht="35.25" customHeight="1">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row>
    <row r="976" ht="35.25" customHeight="1">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row>
    <row r="977" ht="35.25" customHeight="1">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row>
    <row r="978" ht="35.25" customHeight="1">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row>
    <row r="979" ht="35.25" customHeight="1">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row>
    <row r="980" ht="35.25" customHeight="1">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row>
    <row r="981" ht="35.25" customHeight="1">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row>
    <row r="982" ht="35.25" customHeight="1">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row>
    <row r="983" ht="35.25" customHeight="1">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row>
    <row r="984" ht="35.25" customHeight="1">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row>
    <row r="985" ht="35.25" customHeight="1">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row>
    <row r="986" ht="35.25" customHeight="1">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row>
    <row r="987" ht="35.25" customHeight="1">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row>
    <row r="988" ht="35.25" customHeight="1">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row>
    <row r="989" ht="35.25" customHeight="1">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row>
    <row r="990" ht="35.25" customHeight="1">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row>
    <row r="991" ht="35.25" customHeight="1">
      <c r="A991" s="161"/>
      <c r="B991" s="161"/>
      <c r="C991" s="161"/>
      <c r="D991" s="161"/>
      <c r="E991" s="161"/>
      <c r="F991" s="161"/>
      <c r="G991" s="164"/>
      <c r="H991" s="164"/>
      <c r="I991" s="164"/>
      <c r="J991" s="164"/>
      <c r="K991" s="164"/>
      <c r="L991" s="164"/>
      <c r="M991" s="164"/>
      <c r="N991" s="164"/>
      <c r="O991" s="164"/>
      <c r="P991" s="164"/>
      <c r="Q991" s="164"/>
      <c r="R991" s="164"/>
      <c r="S991" s="164"/>
      <c r="T991" s="164"/>
      <c r="U991" s="164"/>
      <c r="V991" s="164"/>
      <c r="W991" s="164"/>
      <c r="X991" s="164"/>
      <c r="Y991" s="164"/>
      <c r="Z991" s="164"/>
    </row>
    <row r="992" ht="35.25" customHeight="1">
      <c r="A992" s="161"/>
      <c r="B992" s="161"/>
      <c r="C992" s="161"/>
      <c r="D992" s="161"/>
      <c r="E992" s="161"/>
      <c r="F992" s="161"/>
      <c r="G992" s="164"/>
      <c r="H992" s="164"/>
      <c r="I992" s="164"/>
      <c r="J992" s="164"/>
      <c r="K992" s="164"/>
      <c r="L992" s="164"/>
      <c r="M992" s="164"/>
      <c r="N992" s="164"/>
      <c r="O992" s="164"/>
      <c r="P992" s="164"/>
      <c r="Q992" s="164"/>
      <c r="R992" s="164"/>
      <c r="S992" s="164"/>
      <c r="T992" s="164"/>
      <c r="U992" s="164"/>
      <c r="V992" s="164"/>
      <c r="W992" s="164"/>
      <c r="X992" s="164"/>
      <c r="Y992" s="164"/>
      <c r="Z992" s="164"/>
    </row>
    <row r="993" ht="35.25" customHeight="1">
      <c r="A993" s="161"/>
      <c r="B993" s="161"/>
      <c r="C993" s="161"/>
      <c r="D993" s="161"/>
      <c r="E993" s="161"/>
      <c r="F993" s="161"/>
      <c r="G993" s="164"/>
      <c r="H993" s="164"/>
      <c r="I993" s="164"/>
      <c r="J993" s="164"/>
      <c r="K993" s="164"/>
      <c r="L993" s="164"/>
      <c r="M993" s="164"/>
      <c r="N993" s="164"/>
      <c r="O993" s="164"/>
      <c r="P993" s="164"/>
      <c r="Q993" s="164"/>
      <c r="R993" s="164"/>
      <c r="S993" s="164"/>
      <c r="T993" s="164"/>
      <c r="U993" s="164"/>
      <c r="V993" s="164"/>
      <c r="W993" s="164"/>
      <c r="X993" s="164"/>
      <c r="Y993" s="164"/>
      <c r="Z993" s="164"/>
    </row>
  </sheetData>
  <mergeCells count="7">
    <mergeCell ref="A2:F2"/>
    <mergeCell ref="A3:F3"/>
    <mergeCell ref="A4:F4"/>
    <mergeCell ref="A5:F5"/>
    <mergeCell ref="A6:F6"/>
    <mergeCell ref="E8:E15"/>
    <mergeCell ref="E16:E21"/>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2" max="2" width="13.5"/>
    <col customWidth="1" min="3" max="3" width="23.13"/>
    <col customWidth="1" min="4" max="4" width="8.63"/>
    <col customWidth="1" min="5" max="5" width="19.63"/>
    <col customWidth="1" min="6" max="6" width="62.13"/>
  </cols>
  <sheetData>
    <row r="1" ht="14.25" customHeight="1">
      <c r="A1" s="161"/>
      <c r="B1" s="162"/>
      <c r="C1" s="162"/>
      <c r="D1" s="162"/>
      <c r="E1" s="162"/>
      <c r="F1" s="163" t="s">
        <v>184</v>
      </c>
      <c r="G1" s="164"/>
      <c r="H1" s="164"/>
      <c r="I1" s="164"/>
      <c r="J1" s="164"/>
      <c r="K1" s="164"/>
      <c r="L1" s="164"/>
      <c r="M1" s="164"/>
      <c r="N1" s="164"/>
      <c r="O1" s="164"/>
      <c r="P1" s="164"/>
      <c r="Q1" s="164"/>
      <c r="R1" s="164"/>
      <c r="S1" s="164"/>
      <c r="T1" s="164"/>
      <c r="U1" s="164"/>
      <c r="V1" s="164"/>
      <c r="W1" s="164"/>
      <c r="X1" s="164"/>
      <c r="Y1" s="164"/>
      <c r="Z1" s="164"/>
    </row>
    <row r="2" ht="27.0" customHeight="1">
      <c r="A2" s="165" t="s">
        <v>253</v>
      </c>
      <c r="G2" s="164"/>
      <c r="H2" s="164"/>
      <c r="I2" s="164"/>
      <c r="J2" s="164"/>
      <c r="K2" s="164"/>
      <c r="L2" s="164"/>
      <c r="M2" s="164"/>
      <c r="N2" s="164"/>
      <c r="O2" s="164"/>
      <c r="P2" s="164"/>
      <c r="Q2" s="164"/>
      <c r="R2" s="164"/>
      <c r="S2" s="164"/>
      <c r="T2" s="164"/>
      <c r="U2" s="164"/>
      <c r="V2" s="164"/>
      <c r="W2" s="164"/>
      <c r="X2" s="164"/>
      <c r="Y2" s="164"/>
      <c r="Z2" s="164"/>
    </row>
    <row r="3" ht="17.25" customHeight="1">
      <c r="A3" s="166" t="s">
        <v>230</v>
      </c>
      <c r="G3" s="164"/>
      <c r="H3" s="164"/>
      <c r="I3" s="164"/>
      <c r="J3" s="164"/>
      <c r="K3" s="164"/>
      <c r="L3" s="164"/>
      <c r="M3" s="164"/>
      <c r="N3" s="164"/>
      <c r="O3" s="164"/>
      <c r="P3" s="164"/>
      <c r="Q3" s="164"/>
      <c r="R3" s="164"/>
      <c r="S3" s="164"/>
      <c r="T3" s="164"/>
      <c r="U3" s="164"/>
      <c r="V3" s="164"/>
      <c r="W3" s="164"/>
      <c r="X3" s="164"/>
      <c r="Y3" s="164"/>
      <c r="Z3" s="164"/>
    </row>
    <row r="4" ht="15.0" customHeight="1">
      <c r="A4" s="167" t="s">
        <v>254</v>
      </c>
      <c r="G4" s="164"/>
      <c r="H4" s="164"/>
      <c r="I4" s="164"/>
      <c r="J4" s="164"/>
      <c r="K4" s="164"/>
      <c r="L4" s="164"/>
      <c r="M4" s="164"/>
      <c r="N4" s="164"/>
      <c r="O4" s="164"/>
      <c r="P4" s="164"/>
      <c r="Q4" s="164"/>
      <c r="R4" s="164"/>
      <c r="S4" s="164"/>
      <c r="T4" s="164"/>
      <c r="U4" s="164"/>
      <c r="V4" s="164"/>
      <c r="W4" s="164"/>
      <c r="X4" s="164"/>
      <c r="Y4" s="164"/>
      <c r="Z4" s="164"/>
    </row>
    <row r="5" ht="15.0" customHeight="1">
      <c r="A5" s="167" t="s">
        <v>255</v>
      </c>
      <c r="G5" s="164"/>
      <c r="H5" s="164"/>
      <c r="I5" s="164"/>
      <c r="J5" s="164"/>
      <c r="K5" s="164"/>
      <c r="L5" s="164"/>
      <c r="M5" s="164"/>
      <c r="N5" s="164"/>
      <c r="O5" s="164"/>
      <c r="P5" s="164"/>
      <c r="Q5" s="164"/>
      <c r="R5" s="164"/>
      <c r="S5" s="164"/>
      <c r="T5" s="164"/>
      <c r="U5" s="164"/>
      <c r="V5" s="164"/>
      <c r="W5" s="164"/>
      <c r="X5" s="164"/>
      <c r="Y5" s="164"/>
      <c r="Z5" s="164"/>
    </row>
    <row r="6" ht="15.0" customHeight="1">
      <c r="A6" s="168"/>
      <c r="B6" s="169"/>
      <c r="C6" s="169"/>
      <c r="D6" s="169"/>
      <c r="E6" s="169"/>
      <c r="F6" s="169"/>
      <c r="G6" s="164"/>
      <c r="H6" s="164"/>
      <c r="I6" s="164"/>
      <c r="J6" s="164"/>
      <c r="K6" s="164"/>
      <c r="L6" s="164"/>
      <c r="M6" s="164"/>
      <c r="N6" s="164"/>
      <c r="O6" s="164"/>
      <c r="P6" s="164"/>
      <c r="Q6" s="164"/>
      <c r="R6" s="164"/>
      <c r="S6" s="164"/>
      <c r="T6" s="164"/>
      <c r="U6" s="164"/>
      <c r="V6" s="164"/>
      <c r="W6" s="164"/>
      <c r="X6" s="164"/>
      <c r="Y6" s="164"/>
      <c r="Z6" s="164"/>
    </row>
    <row r="7" ht="37.5" customHeight="1">
      <c r="A7" s="187" t="s">
        <v>7</v>
      </c>
      <c r="B7" s="170" t="s">
        <v>8</v>
      </c>
      <c r="C7" s="170" t="s">
        <v>256</v>
      </c>
      <c r="D7" s="171" t="s">
        <v>257</v>
      </c>
      <c r="E7" s="172" t="s">
        <v>258</v>
      </c>
      <c r="F7" s="170" t="s">
        <v>259</v>
      </c>
      <c r="G7" s="173"/>
      <c r="H7" s="173"/>
      <c r="I7" s="173"/>
      <c r="J7" s="173"/>
      <c r="K7" s="173"/>
      <c r="L7" s="173"/>
      <c r="M7" s="173"/>
      <c r="N7" s="173"/>
      <c r="O7" s="173"/>
      <c r="P7" s="173"/>
      <c r="Q7" s="173"/>
      <c r="R7" s="173"/>
      <c r="S7" s="173"/>
      <c r="T7" s="173"/>
      <c r="U7" s="173"/>
      <c r="V7" s="173"/>
      <c r="W7" s="173"/>
      <c r="X7" s="173"/>
      <c r="Y7" s="173"/>
      <c r="Z7" s="173"/>
    </row>
    <row r="8">
      <c r="A8" s="142">
        <v>1.0</v>
      </c>
      <c r="B8" s="92" t="s">
        <v>24</v>
      </c>
      <c r="C8" s="93" t="s">
        <v>25</v>
      </c>
      <c r="D8" s="177">
        <v>46.83346861471861</v>
      </c>
      <c r="E8" s="178" t="s">
        <v>281</v>
      </c>
      <c r="F8" s="179" t="s">
        <v>260</v>
      </c>
      <c r="G8" s="164"/>
      <c r="H8" s="164"/>
      <c r="I8" s="164"/>
      <c r="J8" s="164"/>
      <c r="K8" s="164"/>
      <c r="L8" s="164"/>
      <c r="M8" s="164"/>
      <c r="N8" s="164"/>
      <c r="O8" s="164"/>
      <c r="P8" s="164"/>
      <c r="Q8" s="164"/>
      <c r="R8" s="164"/>
      <c r="S8" s="164"/>
      <c r="T8" s="164"/>
      <c r="U8" s="164"/>
      <c r="V8" s="164"/>
      <c r="W8" s="164"/>
      <c r="X8" s="164"/>
      <c r="Y8" s="164"/>
      <c r="Z8" s="164"/>
    </row>
    <row r="9" ht="36.0" customHeight="1">
      <c r="A9" s="142">
        <v>2.0</v>
      </c>
      <c r="B9" s="92" t="s">
        <v>26</v>
      </c>
      <c r="C9" s="93" t="s">
        <v>27</v>
      </c>
      <c r="D9" s="188">
        <v>72.05762987012986</v>
      </c>
      <c r="E9" s="28"/>
      <c r="F9" s="179" t="s">
        <v>261</v>
      </c>
      <c r="G9" s="164"/>
      <c r="H9" s="164"/>
      <c r="I9" s="164"/>
      <c r="J9" s="164"/>
      <c r="K9" s="164"/>
      <c r="L9" s="164"/>
      <c r="M9" s="164"/>
      <c r="N9" s="164"/>
      <c r="O9" s="164"/>
      <c r="P9" s="164"/>
      <c r="Q9" s="164"/>
      <c r="R9" s="164"/>
      <c r="S9" s="164"/>
      <c r="T9" s="164"/>
      <c r="U9" s="164"/>
      <c r="V9" s="164"/>
      <c r="W9" s="164"/>
      <c r="X9" s="164"/>
      <c r="Y9" s="164"/>
      <c r="Z9" s="164"/>
    </row>
    <row r="10">
      <c r="A10" s="142">
        <v>3.0</v>
      </c>
      <c r="B10" s="92" t="s">
        <v>28</v>
      </c>
      <c r="C10" s="93" t="s">
        <v>29</v>
      </c>
      <c r="D10" s="188">
        <v>100.0</v>
      </c>
      <c r="E10" s="28"/>
      <c r="F10" s="189"/>
      <c r="G10" s="164"/>
      <c r="H10" s="164"/>
      <c r="I10" s="164"/>
      <c r="J10" s="164"/>
      <c r="K10" s="164"/>
      <c r="L10" s="164"/>
      <c r="M10" s="164"/>
      <c r="N10" s="164"/>
      <c r="O10" s="164"/>
      <c r="P10" s="164"/>
      <c r="Q10" s="164"/>
      <c r="R10" s="164"/>
      <c r="S10" s="164"/>
      <c r="T10" s="164"/>
      <c r="U10" s="164"/>
      <c r="V10" s="164"/>
      <c r="W10" s="164"/>
      <c r="X10" s="164"/>
      <c r="Y10" s="164"/>
      <c r="Z10" s="164"/>
    </row>
    <row r="11" ht="15.0" customHeight="1">
      <c r="A11" s="142">
        <v>4.0</v>
      </c>
      <c r="B11" s="92" t="s">
        <v>30</v>
      </c>
      <c r="C11" s="93" t="s">
        <v>31</v>
      </c>
      <c r="D11" s="188">
        <v>92.9077380952381</v>
      </c>
      <c r="E11" s="28"/>
      <c r="F11" s="190"/>
      <c r="G11" s="164"/>
      <c r="H11" s="164"/>
      <c r="I11" s="164"/>
      <c r="J11" s="164"/>
      <c r="K11" s="164"/>
      <c r="L11" s="164"/>
      <c r="M11" s="164"/>
      <c r="N11" s="164"/>
      <c r="O11" s="164"/>
      <c r="P11" s="164"/>
      <c r="Q11" s="164"/>
      <c r="R11" s="164"/>
      <c r="S11" s="164"/>
      <c r="T11" s="164"/>
      <c r="U11" s="164"/>
      <c r="V11" s="164"/>
      <c r="W11" s="164"/>
      <c r="X11" s="164"/>
      <c r="Y11" s="164"/>
      <c r="Z11" s="164"/>
    </row>
    <row r="12">
      <c r="A12" s="142">
        <v>5.0</v>
      </c>
      <c r="B12" s="92" t="s">
        <v>32</v>
      </c>
      <c r="C12" s="93" t="s">
        <v>33</v>
      </c>
      <c r="D12" s="188">
        <v>94.3139880952381</v>
      </c>
      <c r="E12" s="28"/>
      <c r="F12" s="189"/>
      <c r="G12" s="164"/>
      <c r="H12" s="164"/>
      <c r="I12" s="164"/>
      <c r="J12" s="164"/>
      <c r="K12" s="164"/>
      <c r="L12" s="164"/>
      <c r="M12" s="164"/>
      <c r="N12" s="164"/>
      <c r="O12" s="164"/>
      <c r="P12" s="164"/>
      <c r="Q12" s="164"/>
      <c r="R12" s="164"/>
      <c r="S12" s="164"/>
      <c r="T12" s="164"/>
      <c r="U12" s="164"/>
      <c r="V12" s="164"/>
      <c r="W12" s="164"/>
      <c r="X12" s="164"/>
      <c r="Y12" s="164"/>
      <c r="Z12" s="164"/>
    </row>
    <row r="13" ht="31.5" customHeight="1">
      <c r="A13" s="142">
        <v>6.0</v>
      </c>
      <c r="B13" s="148" t="s">
        <v>34</v>
      </c>
      <c r="C13" s="149" t="s">
        <v>35</v>
      </c>
      <c r="D13" s="188">
        <v>58.4178841991342</v>
      </c>
      <c r="E13" s="28"/>
      <c r="F13" s="179" t="s">
        <v>262</v>
      </c>
      <c r="G13" s="164"/>
      <c r="H13" s="164"/>
      <c r="I13" s="164"/>
      <c r="J13" s="164"/>
      <c r="K13" s="164"/>
      <c r="L13" s="164"/>
      <c r="M13" s="164"/>
      <c r="N13" s="164"/>
      <c r="O13" s="164"/>
      <c r="P13" s="164"/>
      <c r="Q13" s="164"/>
      <c r="R13" s="164"/>
      <c r="S13" s="164"/>
      <c r="T13" s="164"/>
      <c r="U13" s="164"/>
      <c r="V13" s="164"/>
      <c r="W13" s="164"/>
      <c r="X13" s="164"/>
      <c r="Y13" s="164"/>
      <c r="Z13" s="164"/>
    </row>
    <row r="14">
      <c r="A14" s="142">
        <v>7.0</v>
      </c>
      <c r="B14" s="92" t="s">
        <v>36</v>
      </c>
      <c r="C14" s="93" t="s">
        <v>37</v>
      </c>
      <c r="D14" s="188">
        <v>63.95197510822511</v>
      </c>
      <c r="E14" s="28"/>
      <c r="F14" s="181" t="s">
        <v>263</v>
      </c>
      <c r="G14" s="164"/>
      <c r="H14" s="164"/>
      <c r="I14" s="164"/>
      <c r="J14" s="164"/>
      <c r="K14" s="164"/>
      <c r="L14" s="164"/>
      <c r="M14" s="164"/>
      <c r="N14" s="164"/>
      <c r="O14" s="164"/>
      <c r="P14" s="164"/>
      <c r="Q14" s="164"/>
      <c r="R14" s="164"/>
      <c r="S14" s="164"/>
      <c r="T14" s="164"/>
      <c r="U14" s="164"/>
      <c r="V14" s="164"/>
      <c r="W14" s="164"/>
      <c r="X14" s="164"/>
      <c r="Y14" s="164"/>
      <c r="Z14" s="164"/>
    </row>
    <row r="15">
      <c r="A15" s="142">
        <v>8.0</v>
      </c>
      <c r="B15" s="92" t="s">
        <v>38</v>
      </c>
      <c r="C15" s="93" t="s">
        <v>39</v>
      </c>
      <c r="D15" s="188">
        <v>70.70887445887445</v>
      </c>
      <c r="E15" s="28"/>
      <c r="F15" s="179" t="s">
        <v>264</v>
      </c>
      <c r="G15" s="164"/>
      <c r="H15" s="164"/>
      <c r="I15" s="164"/>
      <c r="J15" s="164"/>
      <c r="K15" s="164"/>
      <c r="L15" s="164"/>
      <c r="M15" s="164"/>
      <c r="N15" s="164"/>
      <c r="O15" s="164"/>
      <c r="P15" s="164"/>
      <c r="Q15" s="164"/>
      <c r="R15" s="164"/>
      <c r="S15" s="164"/>
      <c r="T15" s="164"/>
      <c r="U15" s="164"/>
      <c r="V15" s="164"/>
      <c r="W15" s="164"/>
      <c r="X15" s="164"/>
      <c r="Y15" s="164"/>
      <c r="Z15" s="164"/>
    </row>
    <row r="16">
      <c r="A16" s="142">
        <v>9.0</v>
      </c>
      <c r="B16" s="92" t="s">
        <v>40</v>
      </c>
      <c r="C16" s="93" t="s">
        <v>41</v>
      </c>
      <c r="D16" s="188">
        <v>77.1394751082251</v>
      </c>
      <c r="E16" s="28"/>
      <c r="F16" s="189"/>
      <c r="G16" s="164"/>
      <c r="H16" s="164"/>
      <c r="I16" s="164"/>
      <c r="J16" s="164"/>
      <c r="K16" s="164"/>
      <c r="L16" s="164"/>
      <c r="M16" s="164"/>
      <c r="N16" s="164"/>
      <c r="O16" s="164"/>
      <c r="P16" s="164"/>
      <c r="Q16" s="164"/>
      <c r="R16" s="164"/>
      <c r="S16" s="164"/>
      <c r="T16" s="164"/>
      <c r="U16" s="164"/>
      <c r="V16" s="164"/>
      <c r="W16" s="164"/>
      <c r="X16" s="164"/>
      <c r="Y16" s="164"/>
      <c r="Z16" s="164"/>
    </row>
    <row r="17">
      <c r="A17" s="142">
        <v>10.0</v>
      </c>
      <c r="B17" s="92" t="s">
        <v>42</v>
      </c>
      <c r="C17" s="93" t="s">
        <v>43</v>
      </c>
      <c r="D17" s="188">
        <v>93.42113095238095</v>
      </c>
      <c r="E17" s="28"/>
      <c r="F17" s="189"/>
      <c r="G17" s="164"/>
      <c r="H17" s="161"/>
      <c r="I17" s="164"/>
      <c r="J17" s="164"/>
      <c r="K17" s="164"/>
      <c r="L17" s="164"/>
      <c r="M17" s="164"/>
      <c r="N17" s="164"/>
      <c r="O17" s="164"/>
      <c r="P17" s="164"/>
      <c r="Q17" s="164"/>
      <c r="R17" s="164"/>
      <c r="S17" s="164"/>
      <c r="T17" s="164"/>
      <c r="U17" s="164"/>
      <c r="V17" s="164"/>
      <c r="W17" s="164"/>
      <c r="X17" s="164"/>
      <c r="Y17" s="164"/>
      <c r="Z17" s="164"/>
    </row>
    <row r="18" ht="15.0" customHeight="1">
      <c r="A18" s="142">
        <v>11.0</v>
      </c>
      <c r="B18" s="92" t="s">
        <v>44</v>
      </c>
      <c r="C18" s="93" t="s">
        <v>45</v>
      </c>
      <c r="D18" s="188">
        <v>80.27489177489177</v>
      </c>
      <c r="E18" s="28"/>
      <c r="F18" s="189"/>
      <c r="G18" s="164"/>
      <c r="H18" s="164"/>
      <c r="I18" s="164"/>
      <c r="J18" s="164"/>
      <c r="K18" s="164"/>
      <c r="L18" s="164"/>
      <c r="M18" s="164"/>
      <c r="N18" s="164"/>
      <c r="O18" s="164"/>
      <c r="P18" s="164"/>
      <c r="Q18" s="164"/>
      <c r="R18" s="164"/>
      <c r="S18" s="164"/>
      <c r="T18" s="164"/>
      <c r="U18" s="164"/>
      <c r="V18" s="164"/>
      <c r="W18" s="164"/>
      <c r="X18" s="164"/>
      <c r="Y18" s="164"/>
      <c r="Z18" s="164"/>
    </row>
    <row r="19">
      <c r="A19" s="142">
        <v>12.0</v>
      </c>
      <c r="B19" s="92" t="s">
        <v>46</v>
      </c>
      <c r="C19" s="93" t="s">
        <v>47</v>
      </c>
      <c r="D19" s="188">
        <v>96.51095779220779</v>
      </c>
      <c r="E19" s="28"/>
      <c r="F19" s="189"/>
      <c r="G19" s="164"/>
      <c r="H19" s="164"/>
      <c r="I19" s="164"/>
      <c r="J19" s="164"/>
      <c r="K19" s="164"/>
      <c r="L19" s="164"/>
      <c r="M19" s="164"/>
      <c r="N19" s="164"/>
      <c r="O19" s="164"/>
      <c r="P19" s="164"/>
      <c r="Q19" s="164"/>
      <c r="R19" s="164"/>
      <c r="S19" s="164"/>
      <c r="T19" s="164"/>
      <c r="U19" s="164"/>
      <c r="V19" s="164"/>
      <c r="W19" s="164"/>
      <c r="X19" s="164"/>
      <c r="Y19" s="164"/>
      <c r="Z19" s="164"/>
    </row>
    <row r="20" ht="19.5" customHeight="1">
      <c r="A20" s="142">
        <v>13.0</v>
      </c>
      <c r="B20" s="92" t="s">
        <v>48</v>
      </c>
      <c r="C20" s="93" t="s">
        <v>49</v>
      </c>
      <c r="D20" s="188">
        <v>91.83685064935065</v>
      </c>
      <c r="E20" s="28"/>
      <c r="F20" s="189"/>
      <c r="G20" s="164"/>
      <c r="H20" s="164"/>
      <c r="I20" s="164"/>
      <c r="J20" s="164"/>
      <c r="K20" s="164"/>
      <c r="L20" s="164"/>
      <c r="M20" s="164"/>
      <c r="N20" s="164"/>
      <c r="O20" s="164"/>
      <c r="P20" s="164"/>
      <c r="Q20" s="164"/>
      <c r="R20" s="164"/>
      <c r="S20" s="164"/>
      <c r="T20" s="164"/>
      <c r="U20" s="164"/>
      <c r="V20" s="164"/>
      <c r="W20" s="164"/>
      <c r="X20" s="164"/>
      <c r="Y20" s="164"/>
      <c r="Z20" s="164"/>
    </row>
    <row r="21">
      <c r="A21" s="150">
        <v>14.0</v>
      </c>
      <c r="B21" s="148" t="s">
        <v>50</v>
      </c>
      <c r="C21" s="149" t="s">
        <v>51</v>
      </c>
      <c r="D21" s="188">
        <v>80.56845238095238</v>
      </c>
      <c r="E21" s="28"/>
      <c r="F21" s="189"/>
      <c r="G21" s="164"/>
      <c r="H21" s="164"/>
      <c r="I21" s="164"/>
      <c r="J21" s="164"/>
      <c r="K21" s="164"/>
      <c r="L21" s="164"/>
      <c r="M21" s="164"/>
      <c r="N21" s="164"/>
      <c r="O21" s="164"/>
      <c r="P21" s="164"/>
      <c r="Q21" s="164"/>
      <c r="R21" s="164"/>
      <c r="S21" s="164"/>
      <c r="T21" s="164"/>
      <c r="U21" s="164"/>
      <c r="V21" s="164"/>
      <c r="W21" s="164"/>
      <c r="X21" s="164"/>
      <c r="Y21" s="164"/>
      <c r="Z21" s="164"/>
    </row>
    <row r="22">
      <c r="A22" s="142">
        <v>15.0</v>
      </c>
      <c r="B22" s="92" t="s">
        <v>52</v>
      </c>
      <c r="C22" s="93" t="s">
        <v>53</v>
      </c>
      <c r="D22" s="177">
        <v>80.38649891774894</v>
      </c>
      <c r="E22" s="28"/>
      <c r="F22" s="181"/>
      <c r="G22" s="164"/>
      <c r="H22" s="164"/>
      <c r="I22" s="164"/>
      <c r="J22" s="164"/>
      <c r="K22" s="164"/>
      <c r="L22" s="164"/>
      <c r="M22" s="164"/>
      <c r="N22" s="164"/>
      <c r="O22" s="164"/>
      <c r="P22" s="164"/>
      <c r="Q22" s="164"/>
      <c r="R22" s="164"/>
      <c r="S22" s="164"/>
      <c r="T22" s="164"/>
      <c r="U22" s="164"/>
      <c r="V22" s="164"/>
      <c r="W22" s="164"/>
      <c r="X22" s="164"/>
      <c r="Y22" s="164"/>
      <c r="Z22" s="164"/>
    </row>
    <row r="23">
      <c r="A23" s="151">
        <v>16.0</v>
      </c>
      <c r="B23" s="92" t="s">
        <v>54</v>
      </c>
      <c r="C23" s="93" t="s">
        <v>55</v>
      </c>
      <c r="D23" s="177">
        <v>67.2318722943723</v>
      </c>
      <c r="E23" s="28"/>
      <c r="F23" s="181" t="s">
        <v>265</v>
      </c>
      <c r="G23" s="164"/>
      <c r="H23" s="164"/>
      <c r="I23" s="164"/>
      <c r="J23" s="164"/>
      <c r="K23" s="164"/>
      <c r="L23" s="164"/>
      <c r="M23" s="164"/>
      <c r="N23" s="164"/>
      <c r="O23" s="164"/>
      <c r="P23" s="164"/>
      <c r="Q23" s="164"/>
      <c r="R23" s="164"/>
      <c r="S23" s="164"/>
      <c r="T23" s="164"/>
      <c r="U23" s="164"/>
      <c r="V23" s="164"/>
      <c r="W23" s="164"/>
      <c r="X23" s="164"/>
      <c r="Y23" s="164"/>
      <c r="Z23" s="164"/>
    </row>
    <row r="24">
      <c r="A24" s="142">
        <v>17.0</v>
      </c>
      <c r="B24" s="92" t="s">
        <v>56</v>
      </c>
      <c r="C24" s="93" t="s">
        <v>57</v>
      </c>
      <c r="D24" s="177">
        <v>85.10579004329004</v>
      </c>
      <c r="E24" s="28"/>
      <c r="F24" s="191"/>
      <c r="G24" s="164"/>
      <c r="H24" s="164"/>
      <c r="I24" s="164"/>
      <c r="J24" s="164"/>
      <c r="K24" s="164"/>
      <c r="L24" s="164"/>
      <c r="M24" s="164"/>
      <c r="N24" s="164"/>
      <c r="O24" s="164"/>
      <c r="P24" s="164"/>
      <c r="Q24" s="164"/>
      <c r="R24" s="164"/>
      <c r="S24" s="164"/>
      <c r="T24" s="164"/>
      <c r="U24" s="164"/>
      <c r="V24" s="164"/>
      <c r="W24" s="164"/>
      <c r="X24" s="164"/>
      <c r="Y24" s="164"/>
      <c r="Z24" s="164"/>
    </row>
    <row r="25">
      <c r="A25" s="142">
        <v>18.0</v>
      </c>
      <c r="B25" s="92" t="s">
        <v>58</v>
      </c>
      <c r="C25" s="93" t="s">
        <v>59</v>
      </c>
      <c r="D25" s="177">
        <v>82.80614177489177</v>
      </c>
      <c r="E25" s="28"/>
      <c r="F25" s="191"/>
      <c r="G25" s="164"/>
      <c r="H25" s="164"/>
      <c r="I25" s="164"/>
      <c r="J25" s="164"/>
      <c r="K25" s="164"/>
      <c r="L25" s="164"/>
      <c r="M25" s="164"/>
      <c r="N25" s="164"/>
      <c r="O25" s="164"/>
      <c r="P25" s="164"/>
      <c r="Q25" s="164"/>
      <c r="R25" s="164"/>
      <c r="S25" s="164"/>
      <c r="T25" s="164"/>
      <c r="U25" s="164"/>
      <c r="V25" s="164"/>
      <c r="W25" s="164"/>
      <c r="X25" s="164"/>
      <c r="Y25" s="164"/>
      <c r="Z25" s="164"/>
    </row>
    <row r="26" ht="18.75" customHeight="1">
      <c r="A26" s="142">
        <v>19.0</v>
      </c>
      <c r="B26" s="92" t="s">
        <v>60</v>
      </c>
      <c r="C26" s="93" t="s">
        <v>61</v>
      </c>
      <c r="D26" s="177">
        <v>77.05113636363636</v>
      </c>
      <c r="E26" s="28"/>
      <c r="F26" s="192"/>
      <c r="G26" s="164"/>
      <c r="H26" s="164"/>
      <c r="I26" s="164"/>
      <c r="J26" s="164"/>
      <c r="K26" s="164"/>
      <c r="L26" s="164"/>
      <c r="M26" s="164"/>
      <c r="N26" s="164"/>
      <c r="O26" s="164"/>
      <c r="P26" s="164"/>
      <c r="Q26" s="164"/>
      <c r="R26" s="164"/>
      <c r="S26" s="164"/>
      <c r="T26" s="164"/>
      <c r="U26" s="164"/>
      <c r="V26" s="164"/>
      <c r="W26" s="164"/>
      <c r="X26" s="164"/>
      <c r="Y26" s="164"/>
      <c r="Z26" s="164"/>
    </row>
    <row r="27">
      <c r="A27" s="142">
        <v>20.0</v>
      </c>
      <c r="B27" s="92" t="s">
        <v>62</v>
      </c>
      <c r="C27" s="93" t="s">
        <v>63</v>
      </c>
      <c r="D27" s="177">
        <v>90.78977272727273</v>
      </c>
      <c r="E27" s="28"/>
      <c r="F27" s="191"/>
      <c r="G27" s="164"/>
      <c r="H27" s="164"/>
      <c r="I27" s="164"/>
      <c r="J27" s="164"/>
      <c r="K27" s="164"/>
      <c r="L27" s="164"/>
      <c r="M27" s="164"/>
      <c r="N27" s="164"/>
      <c r="O27" s="164"/>
      <c r="P27" s="164"/>
      <c r="Q27" s="164"/>
      <c r="R27" s="164"/>
      <c r="S27" s="164"/>
      <c r="T27" s="164"/>
      <c r="U27" s="164"/>
      <c r="V27" s="164"/>
      <c r="W27" s="164"/>
      <c r="X27" s="164"/>
      <c r="Y27" s="164"/>
      <c r="Z27" s="164"/>
    </row>
    <row r="28">
      <c r="A28" s="142">
        <v>21.0</v>
      </c>
      <c r="B28" s="92" t="s">
        <v>64</v>
      </c>
      <c r="C28" s="93" t="s">
        <v>65</v>
      </c>
      <c r="D28" s="177">
        <v>95.25</v>
      </c>
      <c r="E28" s="28"/>
      <c r="F28" s="191"/>
      <c r="G28" s="164"/>
      <c r="H28" s="164"/>
      <c r="I28" s="164"/>
      <c r="J28" s="164"/>
      <c r="K28" s="164"/>
      <c r="L28" s="164"/>
      <c r="M28" s="164"/>
      <c r="N28" s="164"/>
      <c r="O28" s="164"/>
      <c r="P28" s="164"/>
      <c r="Q28" s="164"/>
      <c r="R28" s="164"/>
      <c r="S28" s="164"/>
      <c r="T28" s="164"/>
      <c r="U28" s="164"/>
      <c r="V28" s="164"/>
      <c r="W28" s="164"/>
      <c r="X28" s="164"/>
      <c r="Y28" s="164"/>
      <c r="Z28" s="164"/>
    </row>
    <row r="29">
      <c r="A29" s="142">
        <v>22.0</v>
      </c>
      <c r="B29" s="92" t="s">
        <v>66</v>
      </c>
      <c r="C29" s="93" t="s">
        <v>67</v>
      </c>
      <c r="D29" s="177">
        <v>67.78436147186147</v>
      </c>
      <c r="E29" s="28"/>
      <c r="F29" s="179" t="s">
        <v>266</v>
      </c>
      <c r="G29" s="164"/>
      <c r="H29" s="164"/>
      <c r="I29" s="164"/>
      <c r="J29" s="164"/>
      <c r="K29" s="164"/>
      <c r="L29" s="164"/>
      <c r="M29" s="164"/>
      <c r="N29" s="164"/>
      <c r="O29" s="164"/>
      <c r="P29" s="164"/>
      <c r="Q29" s="164"/>
      <c r="R29" s="164"/>
      <c r="S29" s="164"/>
      <c r="T29" s="164"/>
      <c r="U29" s="164"/>
      <c r="V29" s="164"/>
      <c r="W29" s="164"/>
      <c r="X29" s="164"/>
      <c r="Y29" s="164"/>
      <c r="Z29" s="164"/>
    </row>
    <row r="30">
      <c r="A30" s="142">
        <v>23.0</v>
      </c>
      <c r="B30" s="92" t="s">
        <v>68</v>
      </c>
      <c r="C30" s="93" t="s">
        <v>69</v>
      </c>
      <c r="D30" s="177">
        <v>98.48214285714286</v>
      </c>
      <c r="E30" s="28"/>
      <c r="F30" s="191"/>
      <c r="G30" s="164"/>
      <c r="H30" s="164"/>
      <c r="I30" s="164"/>
      <c r="J30" s="164"/>
      <c r="K30" s="164"/>
      <c r="L30" s="164"/>
      <c r="M30" s="164"/>
      <c r="N30" s="164"/>
      <c r="O30" s="164"/>
      <c r="P30" s="164"/>
      <c r="Q30" s="164"/>
      <c r="R30" s="164"/>
      <c r="S30" s="164"/>
      <c r="T30" s="164"/>
      <c r="U30" s="164"/>
      <c r="V30" s="164"/>
      <c r="W30" s="164"/>
      <c r="X30" s="164"/>
      <c r="Y30" s="164"/>
      <c r="Z30" s="164"/>
    </row>
    <row r="31">
      <c r="A31" s="142">
        <v>24.0</v>
      </c>
      <c r="B31" s="92" t="s">
        <v>70</v>
      </c>
      <c r="C31" s="93" t="s">
        <v>71</v>
      </c>
      <c r="D31" s="177">
        <v>83.3379329004329</v>
      </c>
      <c r="E31" s="28"/>
      <c r="F31" s="191"/>
      <c r="G31" s="164"/>
      <c r="H31" s="164"/>
      <c r="I31" s="164"/>
      <c r="J31" s="164"/>
      <c r="K31" s="164"/>
      <c r="L31" s="164"/>
      <c r="M31" s="164"/>
      <c r="N31" s="164"/>
      <c r="O31" s="164"/>
      <c r="P31" s="164"/>
      <c r="Q31" s="164"/>
      <c r="R31" s="164"/>
      <c r="S31" s="164"/>
      <c r="T31" s="164"/>
      <c r="U31" s="164"/>
      <c r="V31" s="164"/>
      <c r="W31" s="164"/>
      <c r="X31" s="164"/>
      <c r="Y31" s="164"/>
      <c r="Z31" s="164"/>
    </row>
    <row r="32">
      <c r="A32" s="142">
        <v>25.0</v>
      </c>
      <c r="B32" s="92" t="s">
        <v>72</v>
      </c>
      <c r="C32" s="93" t="s">
        <v>73</v>
      </c>
      <c r="D32" s="177">
        <v>88.5814393939394</v>
      </c>
      <c r="E32" s="28"/>
      <c r="F32" s="191"/>
      <c r="G32" s="164"/>
      <c r="H32" s="164"/>
      <c r="I32" s="164"/>
      <c r="J32" s="164"/>
      <c r="K32" s="164"/>
      <c r="L32" s="164"/>
      <c r="M32" s="164"/>
      <c r="N32" s="164"/>
      <c r="O32" s="164"/>
      <c r="P32" s="164"/>
      <c r="Q32" s="164"/>
      <c r="R32" s="164"/>
      <c r="S32" s="164"/>
      <c r="T32" s="164"/>
      <c r="U32" s="164"/>
      <c r="V32" s="164"/>
      <c r="W32" s="164"/>
      <c r="X32" s="164"/>
      <c r="Y32" s="164"/>
      <c r="Z32" s="164"/>
    </row>
    <row r="33">
      <c r="A33" s="142">
        <v>26.0</v>
      </c>
      <c r="B33" s="92" t="s">
        <v>74</v>
      </c>
      <c r="C33" s="93" t="s">
        <v>75</v>
      </c>
      <c r="D33" s="177">
        <v>77.58739177489177</v>
      </c>
      <c r="E33" s="28"/>
      <c r="F33" s="191"/>
      <c r="G33" s="164"/>
      <c r="H33" s="164"/>
      <c r="I33" s="164"/>
      <c r="J33" s="164"/>
      <c r="K33" s="164"/>
      <c r="L33" s="164"/>
      <c r="M33" s="164"/>
      <c r="N33" s="164"/>
      <c r="O33" s="164"/>
      <c r="P33" s="164"/>
      <c r="Q33" s="164"/>
      <c r="R33" s="164"/>
      <c r="S33" s="164"/>
      <c r="T33" s="164"/>
      <c r="U33" s="164"/>
      <c r="V33" s="164"/>
      <c r="W33" s="164"/>
      <c r="X33" s="164"/>
      <c r="Y33" s="164"/>
      <c r="Z33" s="164"/>
    </row>
    <row r="34">
      <c r="A34" s="142">
        <v>27.0</v>
      </c>
      <c r="B34" s="92" t="s">
        <v>76</v>
      </c>
      <c r="C34" s="93" t="s">
        <v>77</v>
      </c>
      <c r="D34" s="177">
        <v>88.89136904761905</v>
      </c>
      <c r="E34" s="28"/>
      <c r="F34" s="191"/>
      <c r="G34" s="164"/>
      <c r="H34" s="164"/>
      <c r="I34" s="164"/>
      <c r="J34" s="164"/>
      <c r="K34" s="164"/>
      <c r="L34" s="164"/>
      <c r="M34" s="164"/>
      <c r="N34" s="164"/>
      <c r="O34" s="164"/>
      <c r="P34" s="164"/>
      <c r="Q34" s="164"/>
      <c r="R34" s="164"/>
      <c r="S34" s="164"/>
      <c r="T34" s="164"/>
      <c r="U34" s="164"/>
      <c r="V34" s="164"/>
      <c r="W34" s="164"/>
      <c r="X34" s="164"/>
      <c r="Y34" s="164"/>
      <c r="Z34" s="164"/>
    </row>
    <row r="35">
      <c r="A35" s="142">
        <v>28.0</v>
      </c>
      <c r="B35" s="92" t="s">
        <v>78</v>
      </c>
      <c r="C35" s="93" t="s">
        <v>79</v>
      </c>
      <c r="D35" s="177">
        <v>92.93952922077922</v>
      </c>
      <c r="E35" s="28"/>
      <c r="F35" s="191"/>
      <c r="G35" s="164"/>
      <c r="H35" s="164"/>
      <c r="I35" s="164"/>
      <c r="J35" s="164"/>
      <c r="K35" s="164"/>
      <c r="L35" s="164"/>
      <c r="M35" s="164"/>
      <c r="N35" s="164"/>
      <c r="O35" s="164"/>
      <c r="P35" s="164"/>
      <c r="Q35" s="164"/>
      <c r="R35" s="164"/>
      <c r="S35" s="164"/>
      <c r="T35" s="164"/>
      <c r="U35" s="164"/>
      <c r="V35" s="164"/>
      <c r="W35" s="164"/>
      <c r="X35" s="164"/>
      <c r="Y35" s="164"/>
      <c r="Z35" s="164"/>
    </row>
    <row r="36">
      <c r="A36" s="142">
        <v>29.0</v>
      </c>
      <c r="B36" s="92" t="s">
        <v>80</v>
      </c>
      <c r="C36" s="93" t="s">
        <v>81</v>
      </c>
      <c r="D36" s="177">
        <v>45.00568181818181</v>
      </c>
      <c r="E36" s="34"/>
      <c r="F36" s="179" t="s">
        <v>267</v>
      </c>
      <c r="G36" s="164"/>
      <c r="H36" s="164"/>
      <c r="I36" s="164"/>
      <c r="J36" s="164"/>
      <c r="K36" s="164"/>
      <c r="L36" s="164"/>
      <c r="M36" s="164"/>
      <c r="N36" s="164"/>
      <c r="O36" s="164"/>
      <c r="P36" s="164"/>
      <c r="Q36" s="164"/>
      <c r="R36" s="164"/>
      <c r="S36" s="164"/>
      <c r="T36" s="164"/>
      <c r="U36" s="164"/>
      <c r="V36" s="164"/>
      <c r="W36" s="164"/>
      <c r="X36" s="164"/>
      <c r="Y36" s="164"/>
      <c r="Z36" s="164"/>
    </row>
    <row r="37">
      <c r="A37" s="142">
        <v>30.0</v>
      </c>
      <c r="B37" s="92" t="s">
        <v>82</v>
      </c>
      <c r="C37" s="93" t="s">
        <v>83</v>
      </c>
      <c r="D37" s="177">
        <v>82.66328463203463</v>
      </c>
      <c r="E37" s="178" t="s">
        <v>282</v>
      </c>
      <c r="F37" s="191"/>
      <c r="G37" s="164"/>
      <c r="H37" s="164"/>
      <c r="I37" s="164"/>
      <c r="J37" s="164"/>
      <c r="K37" s="164"/>
      <c r="L37" s="164"/>
      <c r="M37" s="164"/>
      <c r="N37" s="164"/>
      <c r="O37" s="164"/>
      <c r="P37" s="164"/>
      <c r="Q37" s="164"/>
      <c r="R37" s="164"/>
      <c r="S37" s="164"/>
      <c r="T37" s="164"/>
      <c r="U37" s="164"/>
      <c r="V37" s="164"/>
      <c r="W37" s="164"/>
      <c r="X37" s="164"/>
      <c r="Y37" s="164"/>
      <c r="Z37" s="164"/>
    </row>
    <row r="38">
      <c r="A38" s="142">
        <v>31.0</v>
      </c>
      <c r="B38" s="92" t="s">
        <v>84</v>
      </c>
      <c r="C38" s="93" t="s">
        <v>85</v>
      </c>
      <c r="D38" s="177">
        <v>94.12202380952381</v>
      </c>
      <c r="E38" s="28"/>
      <c r="F38" s="191"/>
      <c r="G38" s="164"/>
      <c r="H38" s="164"/>
      <c r="I38" s="164"/>
      <c r="J38" s="164"/>
      <c r="K38" s="164"/>
      <c r="L38" s="164"/>
      <c r="M38" s="164"/>
      <c r="N38" s="164"/>
      <c r="O38" s="164"/>
      <c r="P38" s="164"/>
      <c r="Q38" s="164"/>
      <c r="R38" s="164"/>
      <c r="S38" s="164"/>
      <c r="T38" s="164"/>
      <c r="U38" s="164"/>
      <c r="V38" s="164"/>
      <c r="W38" s="164"/>
      <c r="X38" s="164"/>
      <c r="Y38" s="164"/>
      <c r="Z38" s="164"/>
    </row>
    <row r="39">
      <c r="A39" s="142">
        <v>32.0</v>
      </c>
      <c r="B39" s="92" t="s">
        <v>86</v>
      </c>
      <c r="C39" s="93" t="s">
        <v>87</v>
      </c>
      <c r="D39" s="177">
        <v>92.6934523809524</v>
      </c>
      <c r="E39" s="28"/>
      <c r="F39" s="191"/>
      <c r="G39" s="164"/>
      <c r="H39" s="164"/>
      <c r="I39" s="164"/>
      <c r="J39" s="164"/>
      <c r="K39" s="164"/>
      <c r="L39" s="164"/>
      <c r="M39" s="164"/>
      <c r="N39" s="164"/>
      <c r="O39" s="164"/>
      <c r="P39" s="164"/>
      <c r="Q39" s="164"/>
      <c r="R39" s="164"/>
      <c r="S39" s="164"/>
      <c r="T39" s="164"/>
      <c r="U39" s="164"/>
      <c r="V39" s="164"/>
      <c r="W39" s="164"/>
      <c r="X39" s="164"/>
      <c r="Y39" s="164"/>
      <c r="Z39" s="164"/>
    </row>
    <row r="40">
      <c r="A40" s="142">
        <v>33.0</v>
      </c>
      <c r="B40" s="92" t="s">
        <v>88</v>
      </c>
      <c r="C40" s="93" t="s">
        <v>89</v>
      </c>
      <c r="D40" s="177">
        <v>78.49918831168831</v>
      </c>
      <c r="E40" s="28"/>
      <c r="F40" s="191"/>
      <c r="G40" s="164"/>
      <c r="H40" s="164"/>
      <c r="I40" s="164"/>
      <c r="J40" s="164"/>
      <c r="K40" s="164"/>
      <c r="L40" s="164"/>
      <c r="M40" s="164"/>
      <c r="N40" s="164"/>
      <c r="O40" s="164"/>
      <c r="P40" s="164"/>
      <c r="Q40" s="164"/>
      <c r="R40" s="164"/>
      <c r="S40" s="164"/>
      <c r="T40" s="164"/>
      <c r="U40" s="164"/>
      <c r="V40" s="164"/>
      <c r="W40" s="164"/>
      <c r="X40" s="164"/>
      <c r="Y40" s="164"/>
      <c r="Z40" s="164"/>
    </row>
    <row r="41">
      <c r="A41" s="142">
        <v>34.0</v>
      </c>
      <c r="B41" s="92" t="s">
        <v>90</v>
      </c>
      <c r="C41" s="93" t="s">
        <v>91</v>
      </c>
      <c r="D41" s="177">
        <v>91.51691017316017</v>
      </c>
      <c r="E41" s="28"/>
      <c r="F41" s="191"/>
      <c r="G41" s="164"/>
      <c r="H41" s="164"/>
      <c r="I41" s="164"/>
      <c r="J41" s="164"/>
      <c r="K41" s="164"/>
      <c r="L41" s="164"/>
      <c r="M41" s="164"/>
      <c r="N41" s="164"/>
      <c r="O41" s="164"/>
      <c r="P41" s="164"/>
      <c r="Q41" s="164"/>
      <c r="R41" s="164"/>
      <c r="S41" s="164"/>
      <c r="T41" s="164"/>
      <c r="U41" s="164"/>
      <c r="V41" s="164"/>
      <c r="W41" s="164"/>
      <c r="X41" s="164"/>
      <c r="Y41" s="164"/>
      <c r="Z41" s="164"/>
    </row>
    <row r="42">
      <c r="A42" s="142">
        <v>35.0</v>
      </c>
      <c r="B42" s="92" t="s">
        <v>92</v>
      </c>
      <c r="C42" s="93" t="s">
        <v>93</v>
      </c>
      <c r="D42" s="177">
        <v>66.62608225108225</v>
      </c>
      <c r="E42" s="28"/>
      <c r="F42" s="179" t="s">
        <v>269</v>
      </c>
      <c r="G42" s="164"/>
      <c r="H42" s="164"/>
      <c r="I42" s="164"/>
      <c r="J42" s="164"/>
      <c r="K42" s="164"/>
      <c r="L42" s="164"/>
      <c r="M42" s="164"/>
      <c r="N42" s="164"/>
      <c r="O42" s="164"/>
      <c r="P42" s="164"/>
      <c r="Q42" s="164"/>
      <c r="R42" s="164"/>
      <c r="S42" s="164"/>
      <c r="T42" s="164"/>
      <c r="U42" s="164"/>
      <c r="V42" s="164"/>
      <c r="W42" s="164"/>
      <c r="X42" s="164"/>
      <c r="Y42" s="164"/>
      <c r="Z42" s="164"/>
    </row>
    <row r="43">
      <c r="A43" s="142">
        <v>36.0</v>
      </c>
      <c r="B43" s="92" t="s">
        <v>94</v>
      </c>
      <c r="C43" s="100" t="s">
        <v>95</v>
      </c>
      <c r="D43" s="177">
        <v>91.96279761904762</v>
      </c>
      <c r="E43" s="28"/>
      <c r="F43" s="191"/>
      <c r="G43" s="164"/>
      <c r="H43" s="164"/>
      <c r="I43" s="164"/>
      <c r="J43" s="164"/>
      <c r="K43" s="164"/>
      <c r="L43" s="164"/>
      <c r="M43" s="164"/>
      <c r="N43" s="164"/>
      <c r="O43" s="164"/>
      <c r="P43" s="164"/>
      <c r="Q43" s="164"/>
      <c r="R43" s="164"/>
      <c r="S43" s="164"/>
      <c r="T43" s="164"/>
      <c r="U43" s="164"/>
      <c r="V43" s="164"/>
      <c r="W43" s="164"/>
      <c r="X43" s="164"/>
      <c r="Y43" s="164"/>
      <c r="Z43" s="164"/>
    </row>
    <row r="44">
      <c r="A44" s="142">
        <v>37.0</v>
      </c>
      <c r="B44" s="92" t="s">
        <v>96</v>
      </c>
      <c r="C44" s="93" t="s">
        <v>97</v>
      </c>
      <c r="D44" s="177">
        <v>91.55762987012987</v>
      </c>
      <c r="E44" s="28"/>
      <c r="F44" s="193" t="s">
        <v>283</v>
      </c>
      <c r="G44" s="164"/>
      <c r="H44" s="164"/>
      <c r="I44" s="164"/>
      <c r="J44" s="164"/>
      <c r="K44" s="164"/>
      <c r="L44" s="164"/>
      <c r="M44" s="164"/>
      <c r="N44" s="164"/>
      <c r="O44" s="164"/>
      <c r="P44" s="164"/>
      <c r="Q44" s="164"/>
      <c r="R44" s="164"/>
      <c r="S44" s="164"/>
      <c r="T44" s="164"/>
      <c r="U44" s="164"/>
      <c r="V44" s="164"/>
      <c r="W44" s="164"/>
      <c r="X44" s="164"/>
      <c r="Y44" s="164"/>
      <c r="Z44" s="164"/>
    </row>
    <row r="45">
      <c r="A45" s="142">
        <v>38.0</v>
      </c>
      <c r="B45" s="92" t="s">
        <v>98</v>
      </c>
      <c r="C45" s="93" t="s">
        <v>99</v>
      </c>
      <c r="D45" s="177">
        <v>78.3409090909091</v>
      </c>
      <c r="E45" s="28"/>
      <c r="F45" s="193" t="s">
        <v>284</v>
      </c>
      <c r="G45" s="164"/>
      <c r="H45" s="164"/>
      <c r="I45" s="164"/>
      <c r="J45" s="164"/>
      <c r="K45" s="164"/>
      <c r="L45" s="164"/>
      <c r="M45" s="164"/>
      <c r="N45" s="164"/>
      <c r="O45" s="164"/>
      <c r="P45" s="164"/>
      <c r="Q45" s="164"/>
      <c r="R45" s="164"/>
      <c r="S45" s="164"/>
      <c r="T45" s="164"/>
      <c r="U45" s="164"/>
      <c r="V45" s="164"/>
      <c r="W45" s="164"/>
      <c r="X45" s="164"/>
      <c r="Y45" s="164"/>
      <c r="Z45" s="164"/>
    </row>
    <row r="46">
      <c r="A46" s="142">
        <v>39.0</v>
      </c>
      <c r="B46" s="92" t="s">
        <v>100</v>
      </c>
      <c r="C46" s="93" t="s">
        <v>101</v>
      </c>
      <c r="D46" s="177">
        <v>80.33387445887446</v>
      </c>
      <c r="E46" s="28"/>
      <c r="F46" s="191"/>
      <c r="G46" s="164"/>
      <c r="H46" s="164"/>
      <c r="I46" s="164"/>
      <c r="J46" s="164"/>
      <c r="K46" s="164"/>
      <c r="L46" s="164"/>
      <c r="M46" s="164"/>
      <c r="N46" s="164"/>
      <c r="O46" s="164"/>
      <c r="P46" s="164"/>
      <c r="Q46" s="164"/>
      <c r="R46" s="164"/>
      <c r="S46" s="164"/>
      <c r="T46" s="164"/>
      <c r="U46" s="164"/>
      <c r="V46" s="164"/>
      <c r="W46" s="164"/>
      <c r="X46" s="164"/>
      <c r="Y46" s="164"/>
      <c r="Z46" s="164"/>
    </row>
    <row r="47">
      <c r="A47" s="142">
        <v>40.0</v>
      </c>
      <c r="B47" s="92" t="s">
        <v>102</v>
      </c>
      <c r="C47" s="93" t="s">
        <v>103</v>
      </c>
      <c r="D47" s="177">
        <v>84.68952922077922</v>
      </c>
      <c r="E47" s="28"/>
      <c r="F47" s="193" t="s">
        <v>285</v>
      </c>
      <c r="G47" s="164"/>
      <c r="H47" s="164"/>
      <c r="I47" s="164"/>
      <c r="J47" s="164"/>
      <c r="K47" s="164"/>
      <c r="L47" s="164"/>
      <c r="M47" s="164"/>
      <c r="N47" s="164"/>
      <c r="O47" s="164"/>
      <c r="P47" s="164"/>
      <c r="Q47" s="164"/>
      <c r="R47" s="164"/>
      <c r="S47" s="164"/>
      <c r="T47" s="164"/>
      <c r="U47" s="164"/>
      <c r="V47" s="164"/>
      <c r="W47" s="164"/>
      <c r="X47" s="164"/>
      <c r="Y47" s="164"/>
      <c r="Z47" s="164"/>
    </row>
    <row r="48">
      <c r="A48" s="142">
        <v>41.0</v>
      </c>
      <c r="B48" s="92" t="s">
        <v>104</v>
      </c>
      <c r="C48" s="93" t="s">
        <v>105</v>
      </c>
      <c r="D48" s="177">
        <v>69.47050865800865</v>
      </c>
      <c r="E48" s="28"/>
      <c r="F48" s="179" t="s">
        <v>270</v>
      </c>
      <c r="G48" s="164"/>
      <c r="H48" s="164"/>
      <c r="I48" s="164"/>
      <c r="J48" s="164"/>
      <c r="K48" s="164"/>
      <c r="L48" s="164"/>
      <c r="M48" s="164"/>
      <c r="N48" s="164"/>
      <c r="O48" s="164"/>
      <c r="P48" s="164"/>
      <c r="Q48" s="164"/>
      <c r="R48" s="164"/>
      <c r="S48" s="164"/>
      <c r="T48" s="164"/>
      <c r="U48" s="164"/>
      <c r="V48" s="164"/>
      <c r="W48" s="164"/>
      <c r="X48" s="164"/>
      <c r="Y48" s="164"/>
      <c r="Z48" s="164"/>
    </row>
    <row r="49">
      <c r="A49" s="142">
        <v>42.0</v>
      </c>
      <c r="B49" s="92" t="s">
        <v>106</v>
      </c>
      <c r="C49" s="93" t="s">
        <v>107</v>
      </c>
      <c r="D49" s="177">
        <v>84.8626893939394</v>
      </c>
      <c r="E49" s="28"/>
      <c r="F49" s="193" t="s">
        <v>286</v>
      </c>
      <c r="G49" s="164"/>
      <c r="H49" s="164"/>
      <c r="I49" s="164"/>
      <c r="J49" s="164"/>
      <c r="K49" s="164"/>
      <c r="L49" s="164"/>
      <c r="M49" s="164"/>
      <c r="N49" s="164"/>
      <c r="O49" s="164"/>
      <c r="P49" s="164"/>
      <c r="Q49" s="164"/>
      <c r="R49" s="164"/>
      <c r="S49" s="164"/>
      <c r="T49" s="164"/>
      <c r="U49" s="164"/>
      <c r="V49" s="164"/>
      <c r="W49" s="164"/>
      <c r="X49" s="164"/>
      <c r="Y49" s="164"/>
      <c r="Z49" s="164"/>
    </row>
    <row r="50">
      <c r="A50" s="142">
        <v>43.0</v>
      </c>
      <c r="B50" s="92" t="s">
        <v>108</v>
      </c>
      <c r="C50" s="93" t="s">
        <v>109</v>
      </c>
      <c r="D50" s="177">
        <v>61.08739177489178</v>
      </c>
      <c r="E50" s="28"/>
      <c r="F50" s="179" t="s">
        <v>271</v>
      </c>
      <c r="G50" s="164"/>
      <c r="H50" s="164"/>
      <c r="I50" s="164"/>
      <c r="J50" s="164"/>
      <c r="K50" s="164"/>
      <c r="L50" s="164"/>
      <c r="M50" s="164"/>
      <c r="N50" s="164"/>
      <c r="O50" s="164"/>
      <c r="P50" s="164"/>
      <c r="Q50" s="164"/>
      <c r="R50" s="164"/>
      <c r="S50" s="164"/>
      <c r="T50" s="164"/>
      <c r="U50" s="164"/>
      <c r="V50" s="164"/>
      <c r="W50" s="164"/>
      <c r="X50" s="164"/>
      <c r="Y50" s="164"/>
      <c r="Z50" s="164"/>
    </row>
    <row r="51">
      <c r="A51" s="142">
        <v>44.0</v>
      </c>
      <c r="B51" s="148" t="s">
        <v>110</v>
      </c>
      <c r="C51" s="149" t="s">
        <v>111</v>
      </c>
      <c r="D51" s="177">
        <v>20.04897186147186</v>
      </c>
      <c r="E51" s="28"/>
      <c r="F51" s="179" t="s">
        <v>272</v>
      </c>
      <c r="G51" s="164"/>
      <c r="H51" s="164"/>
      <c r="I51" s="164"/>
      <c r="J51" s="164"/>
      <c r="K51" s="164"/>
      <c r="L51" s="164"/>
      <c r="M51" s="164"/>
      <c r="N51" s="164"/>
      <c r="O51" s="164"/>
      <c r="P51" s="164"/>
      <c r="Q51" s="164"/>
      <c r="R51" s="164"/>
      <c r="S51" s="164"/>
      <c r="T51" s="164"/>
      <c r="U51" s="164"/>
      <c r="V51" s="164"/>
      <c r="W51" s="164"/>
      <c r="X51" s="164"/>
      <c r="Y51" s="164"/>
      <c r="Z51" s="164"/>
    </row>
    <row r="52">
      <c r="A52" s="142">
        <v>45.0</v>
      </c>
      <c r="B52" s="92" t="s">
        <v>112</v>
      </c>
      <c r="C52" s="93" t="s">
        <v>113</v>
      </c>
      <c r="D52" s="177">
        <v>80.6504329004329</v>
      </c>
      <c r="E52" s="28"/>
      <c r="F52" s="191"/>
      <c r="G52" s="164"/>
      <c r="H52" s="164"/>
      <c r="I52" s="164"/>
      <c r="J52" s="164"/>
      <c r="K52" s="164"/>
      <c r="L52" s="164"/>
      <c r="M52" s="164"/>
      <c r="N52" s="164"/>
      <c r="O52" s="164"/>
      <c r="P52" s="164"/>
      <c r="Q52" s="164"/>
      <c r="R52" s="164"/>
      <c r="S52" s="164"/>
      <c r="T52" s="164"/>
      <c r="U52" s="164"/>
      <c r="V52" s="164"/>
      <c r="W52" s="164"/>
      <c r="X52" s="164"/>
      <c r="Y52" s="164"/>
      <c r="Z52" s="164"/>
    </row>
    <row r="53">
      <c r="A53" s="142">
        <v>46.0</v>
      </c>
      <c r="B53" s="92" t="s">
        <v>114</v>
      </c>
      <c r="C53" s="93" t="s">
        <v>115</v>
      </c>
      <c r="D53" s="177">
        <v>93.90625</v>
      </c>
      <c r="E53" s="28"/>
      <c r="F53" s="191"/>
      <c r="G53" s="164"/>
      <c r="H53" s="164"/>
      <c r="I53" s="164"/>
      <c r="J53" s="164"/>
      <c r="K53" s="164"/>
      <c r="L53" s="164"/>
      <c r="M53" s="164"/>
      <c r="N53" s="164"/>
      <c r="O53" s="164"/>
      <c r="P53" s="164"/>
      <c r="Q53" s="164"/>
      <c r="R53" s="164"/>
      <c r="S53" s="164"/>
      <c r="T53" s="164"/>
      <c r="U53" s="164"/>
      <c r="V53" s="164"/>
      <c r="W53" s="164"/>
      <c r="X53" s="164"/>
      <c r="Y53" s="164"/>
      <c r="Z53" s="164"/>
    </row>
    <row r="54">
      <c r="A54" s="142">
        <v>47.0</v>
      </c>
      <c r="B54" s="92" t="s">
        <v>116</v>
      </c>
      <c r="C54" s="93" t="s">
        <v>117</v>
      </c>
      <c r="D54" s="177">
        <v>75.35281385281387</v>
      </c>
      <c r="E54" s="28"/>
      <c r="F54" s="191"/>
      <c r="G54" s="164"/>
      <c r="H54" s="164"/>
      <c r="I54" s="164"/>
      <c r="J54" s="164"/>
      <c r="K54" s="164"/>
      <c r="L54" s="164"/>
      <c r="M54" s="164"/>
      <c r="N54" s="164"/>
      <c r="O54" s="164"/>
      <c r="P54" s="164"/>
      <c r="Q54" s="164"/>
      <c r="R54" s="164"/>
      <c r="S54" s="164"/>
      <c r="T54" s="164"/>
      <c r="U54" s="164"/>
      <c r="V54" s="164"/>
      <c r="W54" s="164"/>
      <c r="X54" s="164"/>
      <c r="Y54" s="164"/>
      <c r="Z54" s="164"/>
    </row>
    <row r="55">
      <c r="A55" s="142">
        <v>48.0</v>
      </c>
      <c r="B55" s="92" t="s">
        <v>118</v>
      </c>
      <c r="C55" s="93" t="s">
        <v>119</v>
      </c>
      <c r="D55" s="177">
        <v>49.663961038961034</v>
      </c>
      <c r="E55" s="28"/>
      <c r="F55" s="191"/>
      <c r="G55" s="164"/>
      <c r="H55" s="164"/>
      <c r="I55" s="164"/>
      <c r="J55" s="164"/>
      <c r="K55" s="164"/>
      <c r="L55" s="164"/>
      <c r="M55" s="164"/>
      <c r="N55" s="164"/>
      <c r="O55" s="164"/>
      <c r="P55" s="164"/>
      <c r="Q55" s="164"/>
      <c r="R55" s="164"/>
      <c r="S55" s="164"/>
      <c r="T55" s="164"/>
      <c r="U55" s="164"/>
      <c r="V55" s="164"/>
      <c r="W55" s="164"/>
      <c r="X55" s="164"/>
      <c r="Y55" s="164"/>
      <c r="Z55" s="164"/>
    </row>
    <row r="56">
      <c r="A56" s="142">
        <v>9.0</v>
      </c>
      <c r="B56" s="92" t="s">
        <v>120</v>
      </c>
      <c r="C56" s="93" t="s">
        <v>121</v>
      </c>
      <c r="D56" s="177">
        <v>98.86363636363636</v>
      </c>
      <c r="E56" s="28"/>
      <c r="F56" s="191"/>
      <c r="G56" s="164"/>
      <c r="H56" s="164"/>
      <c r="I56" s="164"/>
      <c r="J56" s="164"/>
      <c r="K56" s="164"/>
      <c r="L56" s="164"/>
      <c r="M56" s="164"/>
      <c r="N56" s="164"/>
      <c r="O56" s="164"/>
      <c r="P56" s="164"/>
      <c r="Q56" s="164"/>
      <c r="R56" s="164"/>
      <c r="S56" s="164"/>
      <c r="T56" s="164"/>
      <c r="U56" s="164"/>
      <c r="V56" s="164"/>
      <c r="W56" s="164"/>
      <c r="X56" s="164"/>
      <c r="Y56" s="164"/>
      <c r="Z56" s="164"/>
    </row>
    <row r="57">
      <c r="A57" s="142">
        <v>50.0</v>
      </c>
      <c r="B57" s="92" t="s">
        <v>122</v>
      </c>
      <c r="C57" s="93" t="s">
        <v>123</v>
      </c>
      <c r="D57" s="177">
        <v>93.40976731601732</v>
      </c>
      <c r="E57" s="28"/>
      <c r="F57" s="191"/>
      <c r="G57" s="164"/>
      <c r="H57" s="164"/>
      <c r="I57" s="164"/>
      <c r="J57" s="164"/>
      <c r="K57" s="164"/>
      <c r="L57" s="164"/>
      <c r="M57" s="164"/>
      <c r="N57" s="164"/>
      <c r="O57" s="164"/>
      <c r="P57" s="164"/>
      <c r="Q57" s="164"/>
      <c r="R57" s="164"/>
      <c r="S57" s="164"/>
      <c r="T57" s="164"/>
      <c r="U57" s="164"/>
      <c r="V57" s="164"/>
      <c r="W57" s="164"/>
      <c r="X57" s="164"/>
      <c r="Y57" s="164"/>
      <c r="Z57" s="164"/>
    </row>
    <row r="58">
      <c r="A58" s="142">
        <v>51.0</v>
      </c>
      <c r="B58" s="92" t="s">
        <v>124</v>
      </c>
      <c r="C58" s="93" t="s">
        <v>125</v>
      </c>
      <c r="D58" s="177">
        <v>74.66328463203463</v>
      </c>
      <c r="E58" s="28"/>
      <c r="F58" s="191"/>
      <c r="G58" s="164"/>
      <c r="H58" s="164"/>
      <c r="I58" s="164"/>
      <c r="J58" s="164"/>
      <c r="K58" s="164"/>
      <c r="L58" s="164"/>
      <c r="M58" s="164"/>
      <c r="N58" s="164"/>
      <c r="O58" s="164"/>
      <c r="P58" s="164"/>
      <c r="Q58" s="164"/>
      <c r="R58" s="164"/>
      <c r="S58" s="164"/>
      <c r="T58" s="164"/>
      <c r="U58" s="164"/>
      <c r="V58" s="164"/>
      <c r="W58" s="164"/>
      <c r="X58" s="164"/>
      <c r="Y58" s="164"/>
      <c r="Z58" s="164"/>
    </row>
    <row r="59">
      <c r="A59" s="142">
        <v>52.0</v>
      </c>
      <c r="B59" s="92" t="s">
        <v>126</v>
      </c>
      <c r="C59" s="93" t="s">
        <v>127</v>
      </c>
      <c r="D59" s="177">
        <v>74.90679112554113</v>
      </c>
      <c r="E59" s="34"/>
      <c r="F59" s="191"/>
      <c r="G59" s="164"/>
      <c r="H59" s="164"/>
      <c r="I59" s="164"/>
      <c r="J59" s="164"/>
      <c r="K59" s="164"/>
      <c r="L59" s="164"/>
      <c r="M59" s="164"/>
      <c r="N59" s="164"/>
      <c r="O59" s="164"/>
      <c r="P59" s="164"/>
      <c r="Q59" s="164"/>
      <c r="R59" s="164"/>
      <c r="S59" s="164"/>
      <c r="T59" s="164"/>
      <c r="U59" s="164"/>
      <c r="V59" s="164"/>
      <c r="W59" s="164"/>
      <c r="X59" s="164"/>
      <c r="Y59" s="164"/>
      <c r="Z59" s="164"/>
    </row>
    <row r="60">
      <c r="A60" s="142">
        <v>53.0</v>
      </c>
      <c r="B60" s="92" t="s">
        <v>128</v>
      </c>
      <c r="C60" s="93" t="s">
        <v>129</v>
      </c>
      <c r="D60" s="177">
        <v>48.44805194805195</v>
      </c>
      <c r="E60" s="178" t="s">
        <v>287</v>
      </c>
      <c r="F60" s="194" t="s">
        <v>288</v>
      </c>
      <c r="G60" s="164"/>
      <c r="H60" s="164"/>
      <c r="I60" s="164"/>
      <c r="J60" s="164"/>
      <c r="K60" s="164"/>
      <c r="L60" s="164"/>
      <c r="M60" s="164"/>
      <c r="N60" s="164"/>
      <c r="O60" s="164"/>
      <c r="P60" s="164"/>
      <c r="Q60" s="164"/>
      <c r="R60" s="164"/>
      <c r="S60" s="164"/>
      <c r="T60" s="164"/>
      <c r="U60" s="164"/>
      <c r="V60" s="164"/>
      <c r="W60" s="164"/>
      <c r="X60" s="164"/>
      <c r="Y60" s="164"/>
      <c r="Z60" s="164"/>
    </row>
    <row r="61">
      <c r="A61" s="142">
        <v>54.0</v>
      </c>
      <c r="B61" s="92" t="s">
        <v>130</v>
      </c>
      <c r="C61" s="93" t="s">
        <v>131</v>
      </c>
      <c r="D61" s="177">
        <v>84.17762445887446</v>
      </c>
      <c r="E61" s="28"/>
      <c r="F61" s="194" t="s">
        <v>289</v>
      </c>
      <c r="G61" s="164"/>
      <c r="H61" s="164"/>
      <c r="I61" s="164"/>
      <c r="J61" s="164"/>
      <c r="K61" s="164"/>
      <c r="L61" s="164"/>
      <c r="M61" s="164"/>
      <c r="N61" s="164"/>
      <c r="O61" s="164"/>
      <c r="P61" s="164"/>
      <c r="Q61" s="164"/>
      <c r="R61" s="164"/>
      <c r="S61" s="164"/>
      <c r="T61" s="164"/>
      <c r="U61" s="164"/>
      <c r="V61" s="164"/>
      <c r="W61" s="164"/>
      <c r="X61" s="164"/>
      <c r="Y61" s="164"/>
      <c r="Z61" s="164"/>
    </row>
    <row r="62">
      <c r="A62" s="142">
        <v>55.0</v>
      </c>
      <c r="B62" s="92" t="s">
        <v>132</v>
      </c>
      <c r="C62" s="93" t="s">
        <v>133</v>
      </c>
      <c r="D62" s="177">
        <v>89.21875</v>
      </c>
      <c r="E62" s="28"/>
      <c r="F62" s="194" t="s">
        <v>290</v>
      </c>
      <c r="G62" s="164"/>
      <c r="H62" s="164"/>
      <c r="I62" s="164"/>
      <c r="J62" s="164"/>
      <c r="K62" s="164"/>
      <c r="L62" s="164"/>
      <c r="M62" s="164"/>
      <c r="N62" s="164"/>
      <c r="O62" s="164"/>
      <c r="P62" s="164"/>
      <c r="Q62" s="164"/>
      <c r="R62" s="164"/>
      <c r="S62" s="164"/>
      <c r="T62" s="164"/>
      <c r="U62" s="164"/>
      <c r="V62" s="164"/>
      <c r="W62" s="164"/>
      <c r="X62" s="164"/>
      <c r="Y62" s="164"/>
      <c r="Z62" s="164"/>
    </row>
    <row r="63">
      <c r="A63" s="142">
        <v>56.0</v>
      </c>
      <c r="B63" s="92" t="s">
        <v>134</v>
      </c>
      <c r="C63" s="93" t="s">
        <v>135</v>
      </c>
      <c r="D63" s="177">
        <v>93.92113095238095</v>
      </c>
      <c r="E63" s="34"/>
      <c r="F63" s="194" t="s">
        <v>291</v>
      </c>
      <c r="G63" s="164"/>
      <c r="H63" s="164"/>
      <c r="I63" s="164"/>
      <c r="J63" s="164"/>
      <c r="K63" s="164"/>
      <c r="L63" s="164"/>
      <c r="M63" s="164"/>
      <c r="N63" s="164"/>
      <c r="O63" s="164"/>
      <c r="P63" s="164"/>
      <c r="Q63" s="164"/>
      <c r="R63" s="164"/>
      <c r="S63" s="164"/>
      <c r="T63" s="164"/>
      <c r="U63" s="164"/>
      <c r="V63" s="164"/>
      <c r="W63" s="164"/>
      <c r="X63" s="164"/>
      <c r="Y63" s="164"/>
      <c r="Z63" s="164"/>
    </row>
    <row r="64">
      <c r="A64" s="142">
        <v>57.0</v>
      </c>
      <c r="B64" s="92" t="s">
        <v>136</v>
      </c>
      <c r="C64" s="93" t="s">
        <v>137</v>
      </c>
      <c r="D64" s="177">
        <v>55.9803841991342</v>
      </c>
      <c r="E64" s="195" t="s">
        <v>277</v>
      </c>
      <c r="F64" s="179" t="s">
        <v>278</v>
      </c>
      <c r="G64" s="164"/>
      <c r="H64" s="164"/>
      <c r="I64" s="164"/>
      <c r="J64" s="164"/>
      <c r="K64" s="164"/>
      <c r="L64" s="164"/>
      <c r="M64" s="164"/>
      <c r="N64" s="164"/>
      <c r="O64" s="164"/>
      <c r="P64" s="164"/>
      <c r="Q64" s="164"/>
      <c r="R64" s="164"/>
      <c r="S64" s="164"/>
      <c r="T64" s="164"/>
      <c r="U64" s="164"/>
      <c r="V64" s="164"/>
      <c r="W64" s="164"/>
      <c r="X64" s="164"/>
      <c r="Y64" s="164"/>
      <c r="Z64" s="164"/>
    </row>
    <row r="65">
      <c r="A65" s="164"/>
      <c r="B65" s="164"/>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c r="A66" s="164"/>
      <c r="B66" s="164"/>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c r="A67" s="164"/>
      <c r="B67" s="164"/>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c r="A68" s="164"/>
      <c r="B68" s="164"/>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c r="A69" s="164"/>
      <c r="B69" s="164"/>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c r="A70" s="164"/>
      <c r="B70" s="164"/>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c r="A71" s="164"/>
      <c r="B71" s="164"/>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c r="A72" s="164"/>
      <c r="B72" s="164"/>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c r="A73" s="164"/>
      <c r="B73" s="164"/>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c r="A74" s="164"/>
      <c r="B74" s="164"/>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c r="A75" s="164"/>
      <c r="B75" s="164"/>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c r="A76" s="164"/>
      <c r="B76" s="164"/>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c r="A77" s="164"/>
      <c r="B77" s="164"/>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c r="A78" s="164"/>
      <c r="B78" s="164"/>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c r="A79" s="164"/>
      <c r="B79" s="164"/>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c r="A80" s="164"/>
      <c r="B80" s="164"/>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c r="A81" s="164"/>
      <c r="B81" s="164"/>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c r="A82" s="164"/>
      <c r="B82" s="164"/>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c r="A83" s="164"/>
      <c r="B83" s="164"/>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c r="A84" s="164"/>
      <c r="B84" s="164"/>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c r="A85" s="164"/>
      <c r="B85" s="164"/>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c r="A86" s="164"/>
      <c r="B86" s="164"/>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c r="A87" s="164"/>
      <c r="B87" s="164"/>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c r="A88" s="164"/>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c r="A89" s="164"/>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c r="A90" s="164"/>
      <c r="B90" s="164"/>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c r="A91" s="164"/>
      <c r="B91" s="164"/>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c r="A92" s="164"/>
      <c r="B92" s="164"/>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c r="A93" s="164"/>
      <c r="B93" s="164"/>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c r="A94" s="164"/>
      <c r="B94" s="164"/>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c r="A95" s="164"/>
      <c r="B95" s="164"/>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c r="A96" s="164"/>
      <c r="B96" s="164"/>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c r="A97" s="164"/>
      <c r="B97" s="164"/>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c r="A99" s="164"/>
      <c r="B99" s="164"/>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c r="A100" s="164"/>
      <c r="B100" s="164"/>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c r="A101" s="164"/>
      <c r="B101" s="164"/>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c r="A102" s="164"/>
      <c r="B102" s="164"/>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c r="A103" s="164"/>
      <c r="B103" s="164"/>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c r="A104" s="164"/>
      <c r="B104" s="164"/>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c r="A105" s="164"/>
      <c r="B105" s="164"/>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c r="A106" s="164"/>
      <c r="B106" s="164"/>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c r="A107" s="164"/>
      <c r="B107" s="164"/>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c r="A108" s="164"/>
      <c r="B108" s="164"/>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c r="A109" s="164"/>
      <c r="B109" s="164"/>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c r="A112" s="164"/>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c r="A113" s="164"/>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c r="A114" s="164"/>
      <c r="B114" s="164"/>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c r="A115" s="164"/>
      <c r="B115" s="164"/>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c r="A116" s="164"/>
      <c r="B116" s="164"/>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c r="A117" s="164"/>
      <c r="B117" s="164"/>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c r="A118" s="164"/>
      <c r="B118" s="164"/>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c r="A119" s="164"/>
      <c r="B119" s="164"/>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row>
    <row r="120">
      <c r="A120" s="164"/>
      <c r="B120" s="164"/>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row>
    <row r="121">
      <c r="A121" s="164"/>
      <c r="B121" s="164"/>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row>
    <row r="122">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row>
    <row r="123">
      <c r="A123" s="164"/>
      <c r="B123" s="164"/>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row>
    <row r="124">
      <c r="A124" s="164"/>
      <c r="B124" s="164"/>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row>
    <row r="125">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row>
    <row r="126">
      <c r="A126" s="164"/>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row>
    <row r="127">
      <c r="A127" s="164"/>
      <c r="B127" s="164"/>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row>
    <row r="128">
      <c r="A128" s="164"/>
      <c r="B128" s="164"/>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row>
    <row r="129">
      <c r="A129" s="164"/>
      <c r="B129" s="164"/>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row>
    <row r="130">
      <c r="A130" s="164"/>
      <c r="B130" s="164"/>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row>
    <row r="131">
      <c r="A131" s="164"/>
      <c r="B131" s="164"/>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row>
    <row r="132">
      <c r="A132" s="164"/>
      <c r="B132" s="164"/>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row>
    <row r="133">
      <c r="A133" s="164"/>
      <c r="B133" s="164"/>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row>
    <row r="134">
      <c r="A134" s="164"/>
      <c r="B134" s="164"/>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row>
    <row r="135">
      <c r="A135" s="164"/>
      <c r="B135" s="164"/>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row>
    <row r="136">
      <c r="A136" s="164"/>
      <c r="B136" s="164"/>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row>
    <row r="137">
      <c r="A137" s="164"/>
      <c r="B137" s="164"/>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row>
    <row r="138">
      <c r="A138" s="164"/>
      <c r="B138" s="164"/>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row>
    <row r="139">
      <c r="A139" s="164"/>
      <c r="B139" s="164"/>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row>
    <row r="140">
      <c r="A140" s="164"/>
      <c r="B140" s="164"/>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row>
    <row r="141">
      <c r="A141" s="164"/>
      <c r="B141" s="164"/>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row>
    <row r="142">
      <c r="A142" s="164"/>
      <c r="B142" s="164"/>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row>
    <row r="143">
      <c r="A143" s="164"/>
      <c r="B143" s="164"/>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row>
    <row r="144">
      <c r="A144" s="164"/>
      <c r="B144" s="164"/>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row>
    <row r="145">
      <c r="A145" s="164"/>
      <c r="B145" s="164"/>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row>
    <row r="146">
      <c r="A146" s="164"/>
      <c r="B146" s="164"/>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row>
    <row r="147">
      <c r="A147" s="164"/>
      <c r="B147" s="164"/>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row>
    <row r="148">
      <c r="A148" s="164"/>
      <c r="B148" s="164"/>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row>
    <row r="149">
      <c r="A149" s="164"/>
      <c r="B149" s="164"/>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row>
    <row r="150">
      <c r="A150" s="164"/>
      <c r="B150" s="164"/>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row>
    <row r="151">
      <c r="A151" s="164"/>
      <c r="B151" s="164"/>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row>
    <row r="152">
      <c r="A152" s="164"/>
      <c r="B152" s="164"/>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row>
    <row r="153">
      <c r="A153" s="164"/>
      <c r="B153" s="164"/>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row>
    <row r="154">
      <c r="A154" s="164"/>
      <c r="B154" s="164"/>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row>
    <row r="155">
      <c r="A155" s="164"/>
      <c r="B155" s="164"/>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row>
    <row r="156">
      <c r="A156" s="164"/>
      <c r="B156" s="164"/>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row>
    <row r="157">
      <c r="A157" s="164"/>
      <c r="B157" s="164"/>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row>
    <row r="158">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row>
    <row r="159">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row>
    <row r="160">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row>
    <row r="16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row>
    <row r="162">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row>
    <row r="163">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row>
    <row r="164">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row>
    <row r="165">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row>
    <row r="166">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row>
    <row r="167">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row>
    <row r="168">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row>
    <row r="169">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row>
    <row r="170">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row>
    <row r="17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row>
    <row r="172">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row>
    <row r="173">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row>
    <row r="174">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row>
    <row r="175">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row>
    <row r="176">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row>
    <row r="177">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row>
    <row r="178">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row>
    <row r="179">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row>
    <row r="180">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row>
    <row r="18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row>
    <row r="182">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row>
    <row r="183">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row>
    <row r="200">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row>
    <row r="20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row>
    <row r="202">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row>
    <row r="203">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row>
    <row r="204">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row>
    <row r="205">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row>
    <row r="206">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row>
    <row r="207">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row>
    <row r="208">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row>
    <row r="209">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row>
    <row r="210">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row>
    <row r="21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row>
    <row r="222">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row>
    <row r="223">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row>
    <row r="224">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row>
    <row r="225">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row>
    <row r="226">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row>
    <row r="227">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row>
    <row r="228">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row>
    <row r="229">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row>
    <row r="230">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row>
    <row r="23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row>
    <row r="232">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row>
    <row r="233">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row>
    <row r="234">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row>
    <row r="235">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row>
    <row r="236">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row>
    <row r="237">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row>
    <row r="238">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row>
    <row r="239">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row>
    <row r="240">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row>
    <row r="24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row>
    <row r="242">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row>
    <row r="243">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row>
    <row r="244">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row>
    <row r="245">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row>
    <row r="246">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row>
    <row r="247">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row>
    <row r="248">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row>
    <row r="249">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row>
    <row r="250">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row>
    <row r="25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row>
    <row r="252">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row>
    <row r="253">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row>
    <row r="254">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row>
    <row r="255">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row>
    <row r="256">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row>
    <row r="257">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row>
    <row r="258">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row>
    <row r="259">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row>
    <row r="260">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row>
    <row r="26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row>
    <row r="262">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row>
    <row r="263">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row>
    <row r="264">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row>
    <row r="265">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row>
    <row r="266">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row>
    <row r="267">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row>
    <row r="268">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row>
    <row r="269">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row>
    <row r="270">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row>
    <row r="27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row>
    <row r="272">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row>
    <row r="273">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row>
    <row r="274">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row>
    <row r="275">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row>
    <row r="276">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row>
    <row r="277">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row>
    <row r="278">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row>
    <row r="279">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row>
    <row r="280">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row>
    <row r="28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row>
    <row r="282">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row>
    <row r="283">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row>
    <row r="284">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row>
    <row r="285">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row>
    <row r="286">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row>
    <row r="287">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row>
    <row r="288">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row>
    <row r="289">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row>
    <row r="290">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row>
    <row r="29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row>
    <row r="292">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row>
    <row r="293">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row>
    <row r="294">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row>
    <row r="295">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row>
    <row r="296">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row>
    <row r="297">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row>
    <row r="298">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row>
    <row r="299">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row>
    <row r="300">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row>
    <row r="30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row>
    <row r="302">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row>
    <row r="303">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row>
    <row r="304">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row>
    <row r="305">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row>
    <row r="306">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row>
    <row r="307">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row>
    <row r="308">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row>
    <row r="309">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row>
    <row r="310">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row>
    <row r="31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row>
    <row r="312">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row>
    <row r="313">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row>
    <row r="314">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row>
    <row r="315">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row>
    <row r="316">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row>
    <row r="317">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row>
    <row r="318">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row>
    <row r="319">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row>
    <row r="320">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row>
    <row r="32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row>
    <row r="322">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row>
    <row r="323">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row>
    <row r="324">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row>
    <row r="32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row>
    <row r="326">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row>
    <row r="327">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row>
    <row r="328">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row>
    <row r="329">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row>
    <row r="330">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row>
    <row r="33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row>
    <row r="332">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row>
    <row r="333">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row>
    <row r="334">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row>
    <row r="3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row>
    <row r="336">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row>
    <row r="337">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row>
    <row r="338">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row>
    <row r="339">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row>
    <row r="340">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row>
    <row r="34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row>
    <row r="342">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row>
    <row r="343">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row>
    <row r="344">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row>
    <row r="34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row>
    <row r="346">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row>
    <row r="347">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row>
    <row r="348">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row>
    <row r="349">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row>
    <row r="350">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row>
    <row r="35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row>
    <row r="352">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row>
    <row r="353">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row>
    <row r="354">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row>
    <row r="35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row>
    <row r="356">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row>
    <row r="357">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row>
    <row r="358">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row>
    <row r="359">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row>
    <row r="360">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row>
    <row r="36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row>
    <row r="362">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row>
    <row r="363">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row>
    <row r="364">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row>
    <row r="36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row>
    <row r="366">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row>
    <row r="367">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row>
    <row r="368">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row>
    <row r="369">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row>
    <row r="370">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row>
    <row r="37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row>
    <row r="372">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row>
    <row r="373">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row>
    <row r="374">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row>
    <row r="37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row>
    <row r="376">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row>
    <row r="377">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row>
    <row r="378">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row>
    <row r="379">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row>
    <row r="380">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row>
    <row r="38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row>
    <row r="382">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row>
    <row r="383">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row>
    <row r="384">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row>
    <row r="385">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row>
    <row r="386">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row>
    <row r="387">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row>
    <row r="388">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row>
    <row r="389">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row>
    <row r="390">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row>
    <row r="39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row>
    <row r="392">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row>
    <row r="393">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row>
    <row r="394">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row>
    <row r="395">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row>
    <row r="396">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row>
    <row r="397">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row>
    <row r="398">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row>
    <row r="399">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row>
    <row r="400">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row>
    <row r="40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row>
    <row r="402">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row>
    <row r="403">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row>
    <row r="404">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row>
    <row r="405">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row>
    <row r="406">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row>
    <row r="407">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row>
    <row r="408">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row>
    <row r="409">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row>
    <row r="410">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row>
    <row r="41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row>
    <row r="412">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row>
    <row r="413">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row>
    <row r="414">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row>
    <row r="415">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row>
    <row r="416">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row>
    <row r="417">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row>
    <row r="418">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row>
    <row r="419">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row>
    <row r="420">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row>
    <row r="42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row>
    <row r="422">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row>
    <row r="423">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row>
    <row r="424">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row>
    <row r="425">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row>
    <row r="426">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row>
    <row r="427">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row>
    <row r="428">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row>
    <row r="429">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row>
    <row r="430">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row>
    <row r="43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row>
    <row r="432">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row>
    <row r="433">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row>
    <row r="434">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row>
    <row r="435">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row>
    <row r="436">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row>
    <row r="437">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row>
    <row r="438">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row>
    <row r="439">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row>
    <row r="440">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row>
    <row r="44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row>
    <row r="442">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row>
    <row r="443">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row>
    <row r="444">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row>
    <row r="445">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row>
    <row r="446">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row>
    <row r="447">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row>
    <row r="448">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row>
    <row r="449">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row>
    <row r="450">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row>
    <row r="45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row>
    <row r="452">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row>
    <row r="453">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row>
    <row r="454">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row>
    <row r="455">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row>
    <row r="456">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row>
    <row r="457">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row>
    <row r="458">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row>
    <row r="459">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row>
    <row r="460">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row>
    <row r="46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row>
    <row r="462">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row>
    <row r="463">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row>
    <row r="464">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row>
    <row r="465">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row>
    <row r="466">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row>
    <row r="467">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row>
    <row r="468">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row>
    <row r="469">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row>
    <row r="470">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row>
    <row r="47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row>
    <row r="472">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row>
    <row r="473">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row>
    <row r="474">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row>
    <row r="475">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row>
    <row r="476">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row>
    <row r="477">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row>
    <row r="478">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row>
    <row r="479">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row>
    <row r="480">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row>
    <row r="48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row>
    <row r="482">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row>
    <row r="483">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row>
    <row r="484">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row>
    <row r="485">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row>
    <row r="486">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row>
    <row r="487">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row>
    <row r="488">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row>
    <row r="489">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row>
    <row r="490">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row>
    <row r="49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row>
    <row r="492">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row>
    <row r="493">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row>
    <row r="494">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row>
    <row r="495">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row>
    <row r="496">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row>
    <row r="497">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row>
    <row r="498">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row>
    <row r="499">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row>
    <row r="500">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row>
    <row r="50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row>
    <row r="502">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row>
    <row r="503">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row>
    <row r="504">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row>
    <row r="505">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row>
    <row r="506">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row>
    <row r="507">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row>
    <row r="508">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row>
    <row r="509">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row>
    <row r="510">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row>
    <row r="51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row>
    <row r="512">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row>
    <row r="513">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row>
    <row r="514">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row>
    <row r="515">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row>
    <row r="516">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row>
    <row r="517">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row>
    <row r="518">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row>
    <row r="519">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row>
    <row r="520">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row>
    <row r="52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row>
    <row r="522">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row>
    <row r="523">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row>
    <row r="524">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row>
    <row r="525">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row>
    <row r="526">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row>
    <row r="527">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row>
    <row r="528">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row>
    <row r="529">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row>
    <row r="530">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row>
    <row r="53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row>
    <row r="532">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row>
    <row r="533">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row>
    <row r="534">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row>
    <row r="535">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row>
    <row r="536">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row>
    <row r="537">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row>
    <row r="538">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row>
    <row r="539">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row>
    <row r="540">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row>
    <row r="54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row>
    <row r="542">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row>
    <row r="543">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row>
    <row r="544">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row>
    <row r="545">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row>
    <row r="546">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row>
    <row r="547">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row>
    <row r="548">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row>
    <row r="549">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row>
    <row r="550">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row>
    <row r="55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row>
    <row r="552">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row>
    <row r="553">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row>
    <row r="554">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row>
    <row r="555">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row>
    <row r="556">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row>
    <row r="557">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row>
    <row r="558">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row>
    <row r="559">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row>
    <row r="560">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row>
    <row r="56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row>
    <row r="562">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row>
    <row r="563">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row>
    <row r="564">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row>
    <row r="565">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row>
    <row r="566">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row>
    <row r="567">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row>
    <row r="568">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row>
    <row r="569">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row>
    <row r="570">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row>
    <row r="57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row>
    <row r="572">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row>
    <row r="573">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row>
    <row r="574">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row>
    <row r="575">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row>
    <row r="576">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row>
    <row r="577">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row>
    <row r="578">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row>
    <row r="579">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row>
    <row r="580">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row>
    <row r="58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row>
    <row r="582">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row>
    <row r="583">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row>
    <row r="584">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row>
    <row r="585">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row>
    <row r="586">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row>
    <row r="587">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row>
    <row r="588">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row>
    <row r="589">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row>
    <row r="590">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row>
    <row r="59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row>
    <row r="592">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row>
    <row r="593">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row>
    <row r="594">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row>
    <row r="595">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row>
    <row r="596">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row>
    <row r="597">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row>
    <row r="598">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row>
    <row r="599">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row>
    <row r="600">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row>
    <row r="60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row>
    <row r="602">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row>
    <row r="603">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row>
    <row r="604">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row>
    <row r="605">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row>
    <row r="606">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row>
    <row r="607">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row>
    <row r="608">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row>
    <row r="609">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row>
    <row r="610">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row>
    <row r="61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row>
    <row r="612">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row>
    <row r="613">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row>
    <row r="614">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row>
    <row r="615">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row>
    <row r="616">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row>
    <row r="617">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row>
    <row r="618">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row>
    <row r="619">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row>
    <row r="620">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row>
    <row r="62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row>
    <row r="622">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row>
    <row r="623">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row>
    <row r="624">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row>
    <row r="625">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row>
    <row r="626">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row>
    <row r="627">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row>
    <row r="628">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row>
    <row r="629">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row>
    <row r="630">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row>
    <row r="63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row>
    <row r="632">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row>
    <row r="633">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row>
    <row r="634">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row>
    <row r="635">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row>
    <row r="636">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row>
    <row r="637">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row>
    <row r="638">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row>
    <row r="639">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row>
    <row r="640">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row>
    <row r="64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row>
    <row r="642">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row>
    <row r="643">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row>
    <row r="644">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row>
    <row r="645">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row>
    <row r="646">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row>
    <row r="647">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row>
    <row r="648">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row>
    <row r="649">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row>
    <row r="650">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row>
    <row r="65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row>
    <row r="652">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row>
    <row r="654">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row>
    <row r="655">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row>
    <row r="656">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row>
    <row r="657">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row>
    <row r="660">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row>
    <row r="662">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row>
    <row r="663">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row>
    <row r="664">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row>
    <row r="665">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row>
    <row r="668">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row>
    <row r="670">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row>
    <row r="67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row>
    <row r="672">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row>
    <row r="673">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row>
    <row r="676">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row>
    <row r="678">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row>
    <row r="679">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row>
    <row r="68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row>
    <row r="684">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row>
    <row r="686">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row>
    <row r="687">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row>
    <row r="688">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row>
    <row r="693">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row>
    <row r="694">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row>
    <row r="695">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row>
    <row r="699">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row>
    <row r="703">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row>
    <row r="704">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row>
    <row r="705">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row>
    <row r="720">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row>
    <row r="726">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row>
    <row r="727">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row>
    <row r="735">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row>
    <row r="736">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row>
    <row r="74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row>
    <row r="744">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row>
    <row r="745">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row>
    <row r="746">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row>
    <row r="747">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row>
    <row r="748">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row>
    <row r="749">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row>
    <row r="750">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row>
    <row r="75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row>
    <row r="756">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row>
    <row r="757">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row>
    <row r="762">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row>
    <row r="765">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row>
    <row r="766">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row>
    <row r="767">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row>
    <row r="768">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row>
    <row r="769">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row>
    <row r="770">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row>
    <row r="77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row>
    <row r="772">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row>
    <row r="777">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row>
    <row r="778">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row>
    <row r="783">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row>
    <row r="784">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row>
    <row r="785">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row>
    <row r="786">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row>
    <row r="787">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row>
    <row r="788">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row>
    <row r="789">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row>
    <row r="790">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row>
    <row r="79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row>
    <row r="792">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row>
    <row r="793">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row>
    <row r="794">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row>
    <row r="795">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row>
    <row r="796">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row>
    <row r="797">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row>
    <row r="798">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row>
    <row r="799">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row>
    <row r="800">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row>
    <row r="80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row>
    <row r="802">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row>
    <row r="803">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row>
    <row r="804">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row>
    <row r="805">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row>
    <row r="806">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row>
    <row r="807">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row>
    <row r="808">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row>
    <row r="809">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row>
    <row r="810">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row>
    <row r="81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row>
    <row r="812">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row>
    <row r="813">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row>
    <row r="814">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row>
    <row r="815">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row>
    <row r="816">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row>
    <row r="817">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row>
    <row r="818">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row>
    <row r="819">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row>
    <row r="820">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row>
    <row r="821">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row>
    <row r="822">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row>
    <row r="823">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row>
    <row r="824">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row>
    <row r="825">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row>
    <row r="826">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row>
    <row r="827">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row>
    <row r="828">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row>
    <row r="829">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row>
    <row r="830">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row>
    <row r="831">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row>
    <row r="832">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row>
    <row r="833">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row>
    <row r="834">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row>
    <row r="835">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row>
    <row r="836">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row>
    <row r="837">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row>
    <row r="838">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row>
    <row r="839">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row>
    <row r="840">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row>
    <row r="841">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row>
    <row r="842">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row>
    <row r="843">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row>
    <row r="844">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row>
    <row r="845">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row>
    <row r="846">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row>
    <row r="847">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row>
    <row r="848">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row>
    <row r="849">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row>
    <row r="850">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row>
    <row r="851">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row>
    <row r="852">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row>
    <row r="853">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row>
    <row r="854">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row>
    <row r="855">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row>
    <row r="856">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row>
    <row r="857">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row>
    <row r="858">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row>
    <row r="859">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row>
    <row r="860">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row>
    <row r="861">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row>
    <row r="862">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row>
    <row r="863">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row>
    <row r="864">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row>
    <row r="865">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row>
    <row r="866">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row>
    <row r="867">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row>
    <row r="868">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row>
    <row r="869">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row>
    <row r="870">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row>
    <row r="871">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row>
    <row r="872">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row>
    <row r="873">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row>
    <row r="874">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row>
    <row r="875">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row>
    <row r="876">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row>
    <row r="877">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row>
    <row r="878">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row>
    <row r="879">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row>
    <row r="880">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row>
    <row r="881">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row>
    <row r="882">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row>
    <row r="883">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row>
    <row r="884">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row>
    <row r="885">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row>
    <row r="886">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row>
    <row r="887">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row>
    <row r="888">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row>
    <row r="889">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row>
    <row r="890">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row>
    <row r="891">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row>
    <row r="892">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row>
    <row r="893">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row>
    <row r="894">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row>
    <row r="895">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row>
    <row r="896">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row>
    <row r="897">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row>
    <row r="898">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row>
    <row r="899">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row>
    <row r="900">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row>
    <row r="901">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row>
    <row r="902">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row>
    <row r="903">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row>
    <row r="904">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row>
    <row r="905">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row>
    <row r="906">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row>
    <row r="907">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row>
    <row r="908">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row>
    <row r="909">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row>
    <row r="910">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row>
    <row r="911">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row>
    <row r="912">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row>
    <row r="913">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row>
    <row r="914">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row>
    <row r="915">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row>
    <row r="916">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row>
    <row r="917">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row>
    <row r="918">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row>
    <row r="919">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row>
    <row r="920">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row>
    <row r="921">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row>
    <row r="922">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row>
    <row r="923">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row>
    <row r="924">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row>
    <row r="925">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row>
    <row r="926">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row>
    <row r="927">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row>
    <row r="928">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row>
    <row r="929">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row>
    <row r="930">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row>
    <row r="931">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row>
    <row r="932">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row>
    <row r="933">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row>
    <row r="934">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row>
    <row r="935">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row>
    <row r="936">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row>
    <row r="937">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row>
    <row r="938">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row>
    <row r="939">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row>
    <row r="940">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row>
    <row r="941">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row>
    <row r="942">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row>
    <row r="943">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row>
    <row r="944">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row>
    <row r="945">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row>
    <row r="946">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row>
    <row r="947">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row>
    <row r="948">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row>
    <row r="949">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row>
    <row r="950">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row>
    <row r="951">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row>
    <row r="952">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row>
    <row r="953">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row>
    <row r="954">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row>
    <row r="955">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row>
    <row r="956">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row>
    <row r="957">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row>
    <row r="958">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row>
    <row r="959">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row>
    <row r="960">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row>
    <row r="961">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row>
    <row r="962">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row>
    <row r="963">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row>
    <row r="964">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row>
    <row r="965">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row>
    <row r="966">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row>
    <row r="967">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row>
    <row r="968">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row>
    <row r="969">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row>
    <row r="970">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row>
    <row r="971">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row>
    <row r="972">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row>
    <row r="973">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row>
    <row r="974">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row>
    <row r="975">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row>
    <row r="976">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row>
    <row r="977">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row>
    <row r="978">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row>
    <row r="979">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row>
    <row r="980">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row>
    <row r="981">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row>
    <row r="982">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row>
    <row r="983">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row>
    <row r="984">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row>
    <row r="985">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row>
    <row r="986">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row>
    <row r="987">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row>
    <row r="988">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row>
    <row r="989">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row>
    <row r="990">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row>
    <row r="991">
      <c r="A991" s="161"/>
      <c r="B991" s="161"/>
      <c r="C991" s="161"/>
      <c r="D991" s="161"/>
      <c r="E991" s="161"/>
      <c r="F991" s="161"/>
      <c r="G991" s="164"/>
      <c r="H991" s="164"/>
      <c r="I991" s="164"/>
      <c r="J991" s="164"/>
      <c r="K991" s="164"/>
      <c r="L991" s="164"/>
      <c r="M991" s="164"/>
      <c r="N991" s="164"/>
      <c r="O991" s="164"/>
      <c r="P991" s="164"/>
      <c r="Q991" s="164"/>
      <c r="R991" s="164"/>
      <c r="S991" s="164"/>
      <c r="T991" s="164"/>
      <c r="U991" s="164"/>
      <c r="V991" s="164"/>
      <c r="W991" s="164"/>
      <c r="X991" s="164"/>
      <c r="Y991" s="164"/>
      <c r="Z991" s="164"/>
    </row>
    <row r="992">
      <c r="A992" s="161"/>
      <c r="B992" s="161"/>
      <c r="C992" s="161"/>
      <c r="D992" s="161"/>
      <c r="E992" s="161"/>
      <c r="F992" s="161"/>
      <c r="G992" s="164"/>
      <c r="H992" s="164"/>
      <c r="I992" s="164"/>
      <c r="J992" s="164"/>
      <c r="K992" s="164"/>
      <c r="L992" s="164"/>
      <c r="M992" s="164"/>
      <c r="N992" s="164"/>
      <c r="O992" s="164"/>
      <c r="P992" s="164"/>
      <c r="Q992" s="164"/>
      <c r="R992" s="164"/>
      <c r="S992" s="164"/>
      <c r="T992" s="164"/>
      <c r="U992" s="164"/>
      <c r="V992" s="164"/>
      <c r="W992" s="164"/>
      <c r="X992" s="164"/>
      <c r="Y992" s="164"/>
      <c r="Z992" s="164"/>
    </row>
    <row r="993">
      <c r="A993" s="161"/>
      <c r="B993" s="161"/>
      <c r="C993" s="161"/>
      <c r="D993" s="161"/>
      <c r="E993" s="161"/>
      <c r="F993" s="161"/>
      <c r="G993" s="164"/>
      <c r="H993" s="164"/>
      <c r="I993" s="164"/>
      <c r="J993" s="164"/>
      <c r="K993" s="164"/>
      <c r="L993" s="164"/>
      <c r="M993" s="164"/>
      <c r="N993" s="164"/>
      <c r="O993" s="164"/>
      <c r="P993" s="164"/>
      <c r="Q993" s="164"/>
      <c r="R993" s="164"/>
      <c r="S993" s="164"/>
      <c r="T993" s="164"/>
      <c r="U993" s="164"/>
      <c r="V993" s="164"/>
      <c r="W993" s="164"/>
      <c r="X993" s="164"/>
      <c r="Y993" s="164"/>
      <c r="Z993" s="164"/>
    </row>
  </sheetData>
  <mergeCells count="8">
    <mergeCell ref="A2:F2"/>
    <mergeCell ref="A3:F3"/>
    <mergeCell ref="A4:F4"/>
    <mergeCell ref="A5:F5"/>
    <mergeCell ref="A6:F6"/>
    <mergeCell ref="E8:E36"/>
    <mergeCell ref="E37:E59"/>
    <mergeCell ref="E60:E6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96"/>
      <c r="B1" s="197"/>
      <c r="C1" s="197"/>
      <c r="D1" s="197"/>
      <c r="E1" s="197"/>
      <c r="F1" s="196"/>
      <c r="G1" s="197"/>
      <c r="H1" s="197"/>
      <c r="I1" s="197"/>
      <c r="J1" s="198" t="s">
        <v>252</v>
      </c>
      <c r="K1" s="197"/>
      <c r="L1" s="197"/>
      <c r="M1" s="197"/>
      <c r="N1" s="197"/>
      <c r="O1" s="197"/>
      <c r="P1" s="197"/>
      <c r="Q1" s="197"/>
      <c r="R1" s="197"/>
      <c r="S1" s="197"/>
      <c r="T1" s="197"/>
      <c r="U1" s="197"/>
      <c r="V1" s="197"/>
      <c r="W1" s="197"/>
      <c r="X1" s="197"/>
      <c r="Y1" s="197"/>
      <c r="Z1" s="197"/>
    </row>
    <row r="2">
      <c r="A2" s="199" t="s">
        <v>292</v>
      </c>
      <c r="K2" s="197"/>
      <c r="L2" s="197"/>
      <c r="M2" s="197"/>
      <c r="N2" s="197"/>
      <c r="O2" s="197"/>
      <c r="P2" s="197"/>
      <c r="Q2" s="197"/>
      <c r="R2" s="197"/>
      <c r="S2" s="197"/>
      <c r="T2" s="197"/>
      <c r="U2" s="197"/>
      <c r="V2" s="197"/>
      <c r="W2" s="197"/>
      <c r="X2" s="197"/>
      <c r="Y2" s="197"/>
      <c r="Z2" s="197"/>
    </row>
    <row r="3">
      <c r="A3" s="200" t="s">
        <v>230</v>
      </c>
      <c r="K3" s="197"/>
      <c r="L3" s="197"/>
      <c r="M3" s="197"/>
      <c r="N3" s="197"/>
      <c r="O3" s="197"/>
      <c r="P3" s="197"/>
      <c r="Q3" s="197"/>
      <c r="R3" s="197"/>
      <c r="S3" s="197"/>
      <c r="T3" s="197"/>
      <c r="U3" s="197"/>
      <c r="V3" s="197"/>
      <c r="W3" s="197"/>
      <c r="X3" s="197"/>
      <c r="Y3" s="197"/>
      <c r="Z3" s="197"/>
    </row>
    <row r="4">
      <c r="A4" s="201" t="s">
        <v>293</v>
      </c>
      <c r="K4" s="197"/>
      <c r="L4" s="197"/>
      <c r="M4" s="197"/>
      <c r="N4" s="197"/>
      <c r="O4" s="197"/>
      <c r="P4" s="197"/>
      <c r="Q4" s="197"/>
      <c r="R4" s="197"/>
      <c r="S4" s="197"/>
      <c r="T4" s="197"/>
      <c r="U4" s="197"/>
      <c r="V4" s="197"/>
      <c r="W4" s="197"/>
      <c r="X4" s="197"/>
      <c r="Y4" s="197"/>
      <c r="Z4" s="197"/>
    </row>
    <row r="5">
      <c r="A5" s="201" t="s">
        <v>294</v>
      </c>
      <c r="K5" s="197"/>
      <c r="L5" s="197"/>
      <c r="M5" s="197"/>
      <c r="N5" s="197"/>
      <c r="O5" s="197"/>
      <c r="P5" s="197"/>
      <c r="Q5" s="197"/>
      <c r="R5" s="197"/>
      <c r="S5" s="197"/>
      <c r="T5" s="197"/>
      <c r="U5" s="197"/>
      <c r="V5" s="197"/>
      <c r="W5" s="197"/>
      <c r="X5" s="197"/>
      <c r="Y5" s="197"/>
      <c r="Z5" s="197"/>
    </row>
    <row r="6">
      <c r="A6" s="202" t="s">
        <v>295</v>
      </c>
      <c r="B6" s="202" t="s">
        <v>8</v>
      </c>
      <c r="C6" s="202" t="s">
        <v>296</v>
      </c>
      <c r="D6" s="202" t="s">
        <v>297</v>
      </c>
      <c r="E6" s="203" t="s">
        <v>298</v>
      </c>
      <c r="F6" s="202" t="s">
        <v>299</v>
      </c>
      <c r="G6" s="202" t="s">
        <v>300</v>
      </c>
      <c r="H6" s="203" t="s">
        <v>301</v>
      </c>
      <c r="I6" s="203" t="s">
        <v>302</v>
      </c>
      <c r="J6" s="203" t="s">
        <v>303</v>
      </c>
      <c r="K6" s="197"/>
      <c r="L6" s="197"/>
      <c r="M6" s="197"/>
      <c r="N6" s="197"/>
      <c r="O6" s="197"/>
      <c r="P6" s="197"/>
      <c r="Q6" s="197"/>
      <c r="R6" s="197"/>
      <c r="S6" s="197"/>
      <c r="T6" s="197"/>
      <c r="U6" s="197"/>
      <c r="V6" s="197"/>
      <c r="W6" s="197"/>
      <c r="X6" s="197"/>
      <c r="Y6" s="197"/>
      <c r="Z6" s="197"/>
    </row>
    <row r="7">
      <c r="A7" s="204">
        <v>1.0</v>
      </c>
      <c r="B7" s="204" t="s">
        <v>110</v>
      </c>
      <c r="C7" s="205" t="s">
        <v>111</v>
      </c>
      <c r="D7" s="206">
        <v>9.148285493E9</v>
      </c>
      <c r="E7" s="207">
        <v>40.0</v>
      </c>
      <c r="F7" s="208" t="s">
        <v>304</v>
      </c>
      <c r="G7" s="209" t="s">
        <v>268</v>
      </c>
      <c r="H7" s="208" t="s">
        <v>305</v>
      </c>
      <c r="I7" s="210"/>
      <c r="J7" s="210"/>
      <c r="K7" s="197"/>
      <c r="L7" s="197"/>
      <c r="M7" s="197"/>
      <c r="N7" s="197"/>
      <c r="O7" s="197"/>
      <c r="P7" s="197"/>
      <c r="Q7" s="197"/>
      <c r="R7" s="197"/>
      <c r="S7" s="197"/>
      <c r="T7" s="197"/>
      <c r="U7" s="197"/>
      <c r="V7" s="197"/>
      <c r="W7" s="197"/>
      <c r="X7" s="197"/>
      <c r="Y7" s="197"/>
      <c r="Z7" s="197"/>
    </row>
    <row r="8">
      <c r="A8" s="204">
        <v>2.0</v>
      </c>
      <c r="B8" s="211" t="s">
        <v>128</v>
      </c>
      <c r="C8" s="212" t="s">
        <v>129</v>
      </c>
      <c r="D8" s="213">
        <v>7.795523157E9</v>
      </c>
      <c r="E8" s="209">
        <v>37.0</v>
      </c>
      <c r="F8" s="208" t="s">
        <v>306</v>
      </c>
      <c r="G8" s="209" t="s">
        <v>307</v>
      </c>
      <c r="H8" s="214"/>
      <c r="I8" s="210"/>
      <c r="J8" s="210"/>
      <c r="K8" s="197"/>
      <c r="L8" s="197"/>
      <c r="M8" s="197"/>
      <c r="N8" s="197"/>
      <c r="O8" s="197"/>
      <c r="P8" s="197"/>
      <c r="Q8" s="197"/>
      <c r="R8" s="197"/>
      <c r="S8" s="197"/>
      <c r="T8" s="197"/>
      <c r="U8" s="197"/>
      <c r="V8" s="197"/>
      <c r="W8" s="197"/>
      <c r="X8" s="197"/>
      <c r="Y8" s="197"/>
      <c r="Z8" s="197"/>
    </row>
    <row r="9">
      <c r="A9" s="197"/>
      <c r="B9" s="197"/>
      <c r="C9" s="197"/>
      <c r="D9" s="197"/>
      <c r="E9" s="197"/>
      <c r="F9" s="197"/>
      <c r="G9" s="197"/>
      <c r="H9" s="197"/>
      <c r="I9" s="197"/>
      <c r="J9" s="197"/>
      <c r="K9" s="197"/>
      <c r="L9" s="197"/>
      <c r="M9" s="197"/>
      <c r="N9" s="197"/>
      <c r="O9" s="197"/>
      <c r="P9" s="197"/>
      <c r="Q9" s="197"/>
      <c r="R9" s="197"/>
      <c r="S9" s="197"/>
      <c r="T9" s="197"/>
      <c r="U9" s="197"/>
      <c r="V9" s="197"/>
      <c r="W9" s="197"/>
      <c r="X9" s="197"/>
      <c r="Y9" s="197"/>
      <c r="Z9" s="197"/>
    </row>
    <row r="10">
      <c r="A10" s="197"/>
      <c r="B10" s="215" t="s">
        <v>279</v>
      </c>
      <c r="C10" s="197"/>
      <c r="D10" s="197"/>
      <c r="E10" s="197"/>
      <c r="F10" s="215" t="s">
        <v>280</v>
      </c>
      <c r="G10" s="197"/>
      <c r="H10" s="197"/>
      <c r="I10" s="215" t="s">
        <v>308</v>
      </c>
      <c r="J10" s="197"/>
      <c r="K10" s="197"/>
      <c r="L10" s="197"/>
      <c r="M10" s="197"/>
      <c r="N10" s="197"/>
      <c r="O10" s="197"/>
      <c r="P10" s="197"/>
      <c r="Q10" s="197"/>
      <c r="R10" s="197"/>
      <c r="S10" s="197"/>
      <c r="T10" s="197"/>
      <c r="U10" s="197"/>
      <c r="V10" s="197"/>
      <c r="W10" s="197"/>
      <c r="X10" s="197"/>
      <c r="Y10" s="197"/>
      <c r="Z10" s="197"/>
    </row>
    <row r="11">
      <c r="A11" s="197"/>
      <c r="B11" s="197"/>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row>
    <row r="12">
      <c r="A12" s="197"/>
      <c r="B12" s="197"/>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row>
    <row r="13">
      <c r="A13" s="197"/>
      <c r="B13" s="197"/>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row>
    <row r="14">
      <c r="A14" s="197"/>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c r="A15" s="197"/>
      <c r="B15" s="197"/>
      <c r="C15" s="197"/>
      <c r="D15" s="197"/>
      <c r="E15" s="197"/>
      <c r="F15" s="197"/>
      <c r="G15" s="197"/>
      <c r="H15" s="197"/>
      <c r="I15" s="197"/>
      <c r="J15" s="197"/>
      <c r="K15" s="197"/>
      <c r="L15" s="197"/>
      <c r="M15" s="197"/>
      <c r="N15" s="197"/>
      <c r="O15" s="197"/>
      <c r="P15" s="197"/>
      <c r="Q15" s="197"/>
      <c r="R15" s="197"/>
      <c r="S15" s="197"/>
      <c r="T15" s="197"/>
      <c r="U15" s="197"/>
      <c r="V15" s="197"/>
      <c r="W15" s="197"/>
      <c r="X15" s="197"/>
      <c r="Y15" s="197"/>
      <c r="Z15" s="197"/>
    </row>
    <row r="16">
      <c r="A16" s="197"/>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row>
    <row r="17">
      <c r="A17" s="197"/>
      <c r="B17" s="197"/>
      <c r="C17" s="197"/>
      <c r="D17" s="197"/>
      <c r="E17" s="197"/>
      <c r="F17" s="197"/>
      <c r="G17" s="197"/>
      <c r="H17" s="197"/>
      <c r="I17" s="197"/>
      <c r="J17" s="197"/>
      <c r="K17" s="197"/>
      <c r="L17" s="197"/>
      <c r="M17" s="197"/>
      <c r="N17" s="197"/>
      <c r="O17" s="197"/>
      <c r="P17" s="197"/>
      <c r="Q17" s="197"/>
      <c r="R17" s="197"/>
      <c r="S17" s="197"/>
      <c r="T17" s="197"/>
      <c r="U17" s="197"/>
      <c r="V17" s="197"/>
      <c r="W17" s="197"/>
      <c r="X17" s="197"/>
      <c r="Y17" s="197"/>
      <c r="Z17" s="197"/>
    </row>
    <row r="18">
      <c r="A18" s="197"/>
      <c r="B18" s="197"/>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c r="A19" s="197"/>
      <c r="B19" s="197"/>
      <c r="C19" s="197"/>
      <c r="D19" s="197"/>
      <c r="E19" s="197"/>
      <c r="F19" s="197"/>
      <c r="G19" s="197"/>
      <c r="H19" s="197"/>
      <c r="I19" s="197"/>
      <c r="J19" s="197"/>
      <c r="K19" s="197"/>
      <c r="L19" s="197"/>
      <c r="M19" s="197"/>
      <c r="N19" s="197"/>
      <c r="O19" s="197"/>
      <c r="P19" s="197"/>
      <c r="Q19" s="197"/>
      <c r="R19" s="197"/>
      <c r="S19" s="197"/>
      <c r="T19" s="197"/>
      <c r="U19" s="197"/>
      <c r="V19" s="197"/>
      <c r="W19" s="197"/>
      <c r="X19" s="197"/>
      <c r="Y19" s="197"/>
      <c r="Z19" s="197"/>
    </row>
    <row r="20">
      <c r="A20" s="197"/>
      <c r="B20" s="197"/>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row>
    <row r="21">
      <c r="A21" s="197"/>
      <c r="B21" s="197"/>
      <c r="C21" s="197"/>
      <c r="D21" s="197"/>
      <c r="E21" s="197"/>
      <c r="F21" s="197"/>
      <c r="G21" s="197"/>
      <c r="H21" s="197"/>
      <c r="I21" s="197"/>
      <c r="J21" s="197"/>
      <c r="K21" s="197"/>
      <c r="L21" s="197"/>
      <c r="M21" s="197"/>
      <c r="N21" s="197"/>
      <c r="O21" s="197"/>
      <c r="P21" s="197"/>
      <c r="Q21" s="197"/>
      <c r="R21" s="197"/>
      <c r="S21" s="197"/>
      <c r="T21" s="197"/>
      <c r="U21" s="197"/>
      <c r="V21" s="197"/>
      <c r="W21" s="197"/>
      <c r="X21" s="197"/>
      <c r="Y21" s="197"/>
      <c r="Z21" s="197"/>
    </row>
    <row r="22">
      <c r="A22" s="197"/>
      <c r="B22" s="197"/>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row>
    <row r="23">
      <c r="A23" s="197"/>
      <c r="B23" s="197"/>
      <c r="C23" s="197"/>
      <c r="D23" s="197"/>
      <c r="E23" s="197"/>
      <c r="F23" s="197"/>
      <c r="G23" s="197"/>
      <c r="H23" s="197"/>
      <c r="I23" s="197"/>
      <c r="J23" s="197"/>
      <c r="K23" s="197"/>
      <c r="L23" s="197"/>
      <c r="M23" s="197"/>
      <c r="N23" s="197"/>
      <c r="O23" s="197"/>
      <c r="P23" s="197"/>
      <c r="Q23" s="197"/>
      <c r="R23" s="197"/>
      <c r="S23" s="197"/>
      <c r="T23" s="197"/>
      <c r="U23" s="197"/>
      <c r="V23" s="197"/>
      <c r="W23" s="197"/>
      <c r="X23" s="197"/>
      <c r="Y23" s="197"/>
      <c r="Z23" s="197"/>
    </row>
    <row r="24">
      <c r="A24" s="197"/>
      <c r="B24" s="197"/>
      <c r="C24" s="197"/>
      <c r="D24" s="197"/>
      <c r="E24" s="197"/>
      <c r="F24" s="197"/>
      <c r="G24" s="197"/>
      <c r="H24" s="197"/>
      <c r="I24" s="197"/>
      <c r="J24" s="197"/>
      <c r="K24" s="197"/>
      <c r="L24" s="197"/>
      <c r="M24" s="197"/>
      <c r="N24" s="197"/>
      <c r="O24" s="197"/>
      <c r="P24" s="197"/>
      <c r="Q24" s="197"/>
      <c r="R24" s="197"/>
      <c r="S24" s="197"/>
      <c r="T24" s="197"/>
      <c r="U24" s="197"/>
      <c r="V24" s="197"/>
      <c r="W24" s="197"/>
      <c r="X24" s="197"/>
      <c r="Y24" s="197"/>
      <c r="Z24" s="197"/>
    </row>
    <row r="25">
      <c r="A25" s="197"/>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row>
    <row r="26">
      <c r="A26" s="197"/>
      <c r="B26" s="197"/>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row>
    <row r="27">
      <c r="A27" s="197"/>
      <c r="B27" s="197"/>
      <c r="C27" s="197"/>
      <c r="D27" s="197"/>
      <c r="E27" s="197"/>
      <c r="F27" s="197"/>
      <c r="G27" s="197"/>
      <c r="H27" s="197"/>
      <c r="I27" s="197"/>
      <c r="J27" s="197"/>
      <c r="K27" s="197"/>
      <c r="L27" s="197"/>
      <c r="M27" s="197"/>
      <c r="N27" s="197"/>
      <c r="O27" s="197"/>
      <c r="P27" s="197"/>
      <c r="Q27" s="197"/>
      <c r="R27" s="197"/>
      <c r="S27" s="197"/>
      <c r="T27" s="197"/>
      <c r="U27" s="197"/>
      <c r="V27" s="197"/>
      <c r="W27" s="197"/>
      <c r="X27" s="197"/>
      <c r="Y27" s="197"/>
      <c r="Z27" s="197"/>
    </row>
    <row r="28">
      <c r="A28" s="197"/>
      <c r="B28" s="197"/>
      <c r="C28" s="197"/>
      <c r="D28" s="197"/>
      <c r="E28" s="197"/>
      <c r="F28" s="197"/>
      <c r="G28" s="197"/>
      <c r="H28" s="197"/>
      <c r="I28" s="197"/>
      <c r="J28" s="197"/>
      <c r="K28" s="197"/>
      <c r="L28" s="197"/>
      <c r="M28" s="197"/>
      <c r="N28" s="197"/>
      <c r="O28" s="197"/>
      <c r="P28" s="197"/>
      <c r="Q28" s="197"/>
      <c r="R28" s="197"/>
      <c r="S28" s="197"/>
      <c r="T28" s="197"/>
      <c r="U28" s="197"/>
      <c r="V28" s="197"/>
      <c r="W28" s="197"/>
      <c r="X28" s="197"/>
      <c r="Y28" s="197"/>
      <c r="Z28" s="197"/>
    </row>
    <row r="29">
      <c r="A29" s="197"/>
      <c r="B29" s="197"/>
      <c r="C29" s="197"/>
      <c r="D29" s="197"/>
      <c r="E29" s="197"/>
      <c r="F29" s="197"/>
      <c r="G29" s="197"/>
      <c r="H29" s="197"/>
      <c r="I29" s="197"/>
      <c r="J29" s="197"/>
      <c r="K29" s="197"/>
      <c r="L29" s="197"/>
      <c r="M29" s="197"/>
      <c r="N29" s="197"/>
      <c r="O29" s="197"/>
      <c r="P29" s="197"/>
      <c r="Q29" s="197"/>
      <c r="R29" s="197"/>
      <c r="S29" s="197"/>
      <c r="T29" s="197"/>
      <c r="U29" s="197"/>
      <c r="V29" s="197"/>
      <c r="W29" s="197"/>
      <c r="X29" s="197"/>
      <c r="Y29" s="197"/>
      <c r="Z29" s="197"/>
    </row>
    <row r="30">
      <c r="A30" s="197"/>
      <c r="B30" s="197"/>
      <c r="C30" s="197"/>
      <c r="D30" s="197"/>
      <c r="E30" s="197"/>
      <c r="F30" s="197"/>
      <c r="G30" s="197"/>
      <c r="H30" s="197"/>
      <c r="I30" s="197"/>
      <c r="J30" s="197"/>
      <c r="K30" s="197"/>
      <c r="L30" s="197"/>
      <c r="M30" s="197"/>
      <c r="N30" s="197"/>
      <c r="O30" s="197"/>
      <c r="P30" s="197"/>
      <c r="Q30" s="197"/>
      <c r="R30" s="197"/>
      <c r="S30" s="197"/>
      <c r="T30" s="197"/>
      <c r="U30" s="197"/>
      <c r="V30" s="197"/>
      <c r="W30" s="197"/>
      <c r="X30" s="197"/>
      <c r="Y30" s="197"/>
      <c r="Z30" s="197"/>
    </row>
    <row r="31">
      <c r="A31" s="197"/>
      <c r="B31" s="197"/>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row>
    <row r="32">
      <c r="A32" s="197"/>
      <c r="B32" s="197"/>
      <c r="C32" s="197"/>
      <c r="D32" s="197"/>
      <c r="E32" s="197"/>
      <c r="F32" s="197"/>
      <c r="G32" s="197"/>
      <c r="H32" s="197"/>
      <c r="I32" s="197"/>
      <c r="J32" s="197"/>
      <c r="K32" s="197"/>
      <c r="L32" s="197"/>
      <c r="M32" s="197"/>
      <c r="N32" s="197"/>
      <c r="O32" s="197"/>
      <c r="P32" s="197"/>
      <c r="Q32" s="197"/>
      <c r="R32" s="197"/>
      <c r="S32" s="197"/>
      <c r="T32" s="197"/>
      <c r="U32" s="197"/>
      <c r="V32" s="197"/>
      <c r="W32" s="197"/>
      <c r="X32" s="197"/>
      <c r="Y32" s="197"/>
      <c r="Z32" s="197"/>
    </row>
    <row r="33">
      <c r="A33" s="197"/>
      <c r="B33" s="197"/>
      <c r="C33" s="197"/>
      <c r="D33" s="197"/>
      <c r="E33" s="197"/>
      <c r="F33" s="197"/>
      <c r="G33" s="197"/>
      <c r="H33" s="197"/>
      <c r="I33" s="197"/>
      <c r="J33" s="197"/>
      <c r="K33" s="197"/>
      <c r="L33" s="197"/>
      <c r="M33" s="197"/>
      <c r="N33" s="197"/>
      <c r="O33" s="197"/>
      <c r="P33" s="197"/>
      <c r="Q33" s="197"/>
      <c r="R33" s="197"/>
      <c r="S33" s="197"/>
      <c r="T33" s="197"/>
      <c r="U33" s="197"/>
      <c r="V33" s="197"/>
      <c r="W33" s="197"/>
      <c r="X33" s="197"/>
      <c r="Y33" s="197"/>
      <c r="Z33" s="197"/>
    </row>
    <row r="34">
      <c r="A34" s="197"/>
      <c r="B34" s="197"/>
      <c r="C34" s="197"/>
      <c r="D34" s="197"/>
      <c r="E34" s="197"/>
      <c r="F34" s="197"/>
      <c r="G34" s="197"/>
      <c r="H34" s="197"/>
      <c r="I34" s="197"/>
      <c r="J34" s="197"/>
      <c r="K34" s="197"/>
      <c r="L34" s="197"/>
      <c r="M34" s="197"/>
      <c r="N34" s="197"/>
      <c r="O34" s="197"/>
      <c r="P34" s="197"/>
      <c r="Q34" s="197"/>
      <c r="R34" s="197"/>
      <c r="S34" s="197"/>
      <c r="T34" s="197"/>
      <c r="U34" s="197"/>
      <c r="V34" s="197"/>
      <c r="W34" s="197"/>
      <c r="X34" s="197"/>
      <c r="Y34" s="197"/>
      <c r="Z34" s="197"/>
    </row>
    <row r="35">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row>
    <row r="36">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row>
    <row r="37">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row>
    <row r="38">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row>
    <row r="39">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row>
    <row r="40">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row>
    <row r="4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row>
    <row r="42">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row>
    <row r="43">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row>
    <row r="44">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row>
    <row r="45">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row>
    <row r="46">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row>
    <row r="47">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row>
    <row r="48">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row>
    <row r="49">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row>
    <row r="50">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row>
    <row r="5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row>
    <row r="52">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row>
    <row r="53">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row>
    <row r="54">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row>
    <row r="55">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row>
    <row r="56">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row>
    <row r="57">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row>
    <row r="58">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row>
    <row r="59">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row>
    <row r="60">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row>
    <row r="6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row>
    <row r="62">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row>
    <row r="63">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row>
    <row r="64">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row>
    <row r="65">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row>
    <row r="66">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row>
    <row r="67">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row>
    <row r="68">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row>
    <row r="69">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row>
    <row r="70">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row>
    <row r="7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row>
    <row r="72">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row>
    <row r="73">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row>
    <row r="74">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row>
    <row r="75">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row>
    <row r="76">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row>
    <row r="77">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row>
    <row r="78">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row>
    <row r="79">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row>
    <row r="80">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row>
    <row r="8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row>
    <row r="82">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row>
    <row r="83">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row>
    <row r="84">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row>
    <row r="85">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row>
    <row r="86">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row>
    <row r="87">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row>
    <row r="88">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row>
    <row r="89">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row>
    <row r="90">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row>
    <row r="9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row>
    <row r="92">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row>
    <row r="93">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row>
    <row r="94">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row>
    <row r="95">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row>
    <row r="96">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row>
    <row r="97">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row>
    <row r="98">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row>
    <row r="99">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row>
    <row r="100">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row>
    <row r="10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row>
    <row r="102">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row>
    <row r="103">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row>
    <row r="104">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row>
    <row r="105">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row>
    <row r="106">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row>
    <row r="107">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row>
    <row r="108">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row>
    <row r="109">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row>
    <row r="110">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row>
    <row r="11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row>
    <row r="112">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row>
    <row r="113">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row>
    <row r="114">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row>
    <row r="115">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row>
    <row r="116">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row>
    <row r="117">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row>
    <row r="118">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row>
    <row r="119">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row>
    <row r="120">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row>
    <row r="12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row>
    <row r="122">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row>
    <row r="123">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row>
    <row r="124">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row>
    <row r="125">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row>
    <row r="126">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row>
    <row r="127">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row>
    <row r="128">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row>
    <row r="129">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row>
    <row r="130">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row>
    <row r="13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row>
    <row r="132">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row>
    <row r="133">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row>
    <row r="134">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row>
    <row r="135">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row>
    <row r="136">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row>
    <row r="137">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row>
    <row r="138">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row>
    <row r="139">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row>
    <row r="140">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row>
    <row r="14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row>
    <row r="142">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row>
    <row r="143">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row>
    <row r="144">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row>
    <row r="145">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row>
    <row r="146">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row>
    <row r="147">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row>
    <row r="148">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row>
    <row r="149">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row>
    <row r="150">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row>
    <row r="15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row>
    <row r="152">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row>
    <row r="153">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row>
    <row r="154">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row>
    <row r="155">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row>
    <row r="156">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row>
    <row r="157">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row>
    <row r="158">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row>
    <row r="159">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row>
    <row r="160">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row>
    <row r="16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row>
    <row r="162">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row>
    <row r="163">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row>
    <row r="164">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row>
    <row r="165">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row>
    <row r="166">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row>
    <row r="167">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row>
    <row r="168">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row>
    <row r="169">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row>
    <row r="170">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row>
    <row r="17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row>
    <row r="172">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row>
    <row r="173">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row>
    <row r="174">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row>
    <row r="175">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row>
    <row r="176">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row>
    <row r="177">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row>
    <row r="178">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row>
    <row r="179">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row>
    <row r="180">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row>
    <row r="18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row>
    <row r="182">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row>
    <row r="183">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row>
    <row r="184">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row>
    <row r="185">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row>
    <row r="186">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row>
    <row r="187">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row>
    <row r="188">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row>
    <row r="189">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row>
    <row r="190">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row>
    <row r="19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row>
    <row r="192">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row>
    <row r="193">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row>
    <row r="194">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row>
    <row r="195">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row>
    <row r="196">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row>
    <row r="197">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row>
    <row r="198">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row>
    <row r="199">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row>
    <row r="200">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row>
    <row r="20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row>
    <row r="202">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row>
    <row r="203">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row>
    <row r="204">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row>
    <row r="205">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row>
    <row r="206">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row>
    <row r="207">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row>
    <row r="208">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row>
    <row r="209">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row>
    <row r="210">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row>
    <row r="21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row>
    <row r="212">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row>
    <row r="213">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row>
    <row r="214">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row>
    <row r="215">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row>
    <row r="216">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row>
    <row r="217">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row>
    <row r="218">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row>
    <row r="219">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row>
    <row r="220">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row>
    <row r="22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row>
    <row r="222">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row>
    <row r="223">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row>
    <row r="224">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row>
    <row r="225">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row>
    <row r="226">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row>
    <row r="227">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row>
    <row r="228">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row>
    <row r="229">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row>
    <row r="230">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row>
    <row r="23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row>
    <row r="232">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row>
    <row r="233">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row>
    <row r="234">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row>
    <row r="235">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row>
    <row r="236">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row>
    <row r="237">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row>
    <row r="238">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row>
    <row r="239">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row>
    <row r="240">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row>
    <row r="24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row>
    <row r="242">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row>
    <row r="243">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row>
    <row r="244">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row>
    <row r="245">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row>
    <row r="246">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row>
    <row r="247">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row>
    <row r="248">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row>
    <row r="249">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row>
    <row r="250">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row>
    <row r="25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row>
    <row r="252">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row>
    <row r="253">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row>
    <row r="254">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row>
    <row r="255">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row>
    <row r="256">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row>
    <row r="257">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row>
    <row r="258">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row>
    <row r="259">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row>
    <row r="260">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row>
    <row r="26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row>
    <row r="262">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row>
    <row r="263">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row>
    <row r="264">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row>
    <row r="265">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row>
    <row r="266">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row>
    <row r="267">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row>
    <row r="268">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row>
    <row r="269">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row>
    <row r="270">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row>
    <row r="27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row>
    <row r="272">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row>
    <row r="273">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row>
    <row r="274">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row>
    <row r="275">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row>
    <row r="276">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row>
    <row r="277">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row>
    <row r="278">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row>
    <row r="279">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row>
    <row r="280">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row>
    <row r="28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row>
    <row r="282">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row>
    <row r="283">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row>
    <row r="284">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row>
    <row r="285">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row>
    <row r="286">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row>
    <row r="287">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row>
    <row r="288">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row>
    <row r="289">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row>
    <row r="290">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row>
    <row r="29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row>
    <row r="292">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row>
    <row r="293">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row>
    <row r="294">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row>
    <row r="295">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row>
    <row r="296">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row>
    <row r="297">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row>
    <row r="298">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row>
    <row r="299">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row>
    <row r="300">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row>
    <row r="30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row>
    <row r="302">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row>
    <row r="303">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row>
    <row r="304">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row>
    <row r="305">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row>
    <row r="306">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row>
    <row r="307">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row>
    <row r="308">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row>
    <row r="309">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row>
    <row r="310">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row>
    <row r="31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row>
    <row r="312">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row>
    <row r="313">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row>
    <row r="314">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row>
    <row r="315">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row>
    <row r="316">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row>
    <row r="317">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row>
    <row r="318">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row>
    <row r="319">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row>
    <row r="320">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row>
    <row r="32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row>
    <row r="322">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row>
    <row r="323">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row>
    <row r="324">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row>
    <row r="325">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row>
    <row r="326">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row>
    <row r="327">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row>
    <row r="328">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row>
    <row r="329">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row>
    <row r="330">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row>
    <row r="33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row>
    <row r="332">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row>
    <row r="333">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row>
    <row r="334">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row>
    <row r="335">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row>
    <row r="336">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row>
    <row r="337">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row>
    <row r="338">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row>
    <row r="339">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row>
    <row r="340">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row>
    <row r="34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row>
    <row r="342">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row>
    <row r="343">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row>
    <row r="344">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row>
    <row r="345">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row>
    <row r="346">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row>
    <row r="347">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row>
    <row r="348">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row>
    <row r="349">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row>
    <row r="350">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row>
    <row r="35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row>
    <row r="352">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row>
    <row r="353">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row>
    <row r="354">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row>
    <row r="355">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row>
    <row r="356">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row>
    <row r="357">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row>
    <row r="358">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row>
    <row r="359">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row>
    <row r="360">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row>
    <row r="36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row>
    <row r="362">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row>
    <row r="363">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row>
    <row r="364">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row>
    <row r="365">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row>
    <row r="366">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row>
    <row r="367">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row>
    <row r="368">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row>
    <row r="369">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row>
    <row r="370">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row>
    <row r="37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row>
    <row r="372">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row>
    <row r="373">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row>
    <row r="374">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row>
    <row r="375">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row>
    <row r="376">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row>
    <row r="377">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row>
    <row r="378">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row>
    <row r="379">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row>
    <row r="380">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row>
    <row r="38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row>
    <row r="382">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row>
    <row r="383">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row>
    <row r="384">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row>
    <row r="385">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row>
    <row r="386">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row>
    <row r="387">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row>
    <row r="388">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row>
    <row r="389">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row>
    <row r="390">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row>
    <row r="39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row>
    <row r="392">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row>
    <row r="393">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row>
    <row r="394">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row>
    <row r="395">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row>
    <row r="396">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row>
    <row r="397">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row>
    <row r="398">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row>
    <row r="399">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row>
    <row r="400">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row>
    <row r="40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row>
    <row r="402">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row>
    <row r="403">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row>
    <row r="404">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row>
    <row r="405">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row>
    <row r="406">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row>
    <row r="407">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row>
    <row r="408">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row>
    <row r="409">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row>
    <row r="410">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row>
    <row r="41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row>
    <row r="412">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row>
    <row r="413">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row>
    <row r="414">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row>
    <row r="415">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row>
    <row r="416">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row>
    <row r="417">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row>
    <row r="418">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row>
    <row r="419">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row>
    <row r="420">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row>
    <row r="42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row>
    <row r="422">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row>
    <row r="423">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row>
    <row r="424">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row>
    <row r="425">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row>
    <row r="426">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row>
    <row r="427">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row>
    <row r="428">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row>
    <row r="429">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row>
    <row r="430">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row>
    <row r="43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row>
    <row r="432">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row>
    <row r="433">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row>
    <row r="434">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row>
    <row r="435">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row>
    <row r="436">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row>
    <row r="437">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row>
    <row r="438">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row>
    <row r="439">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row>
    <row r="440">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row>
    <row r="44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row>
    <row r="442">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row>
    <row r="443">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row>
    <row r="444">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row>
    <row r="445">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row>
    <row r="446">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row>
    <row r="447">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row>
    <row r="448">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row>
    <row r="449">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row>
    <row r="450">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row>
    <row r="45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row>
    <row r="452">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row>
    <row r="453">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row>
    <row r="454">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row>
    <row r="455">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row>
    <row r="456">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row>
    <row r="457">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row>
    <row r="458">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row>
    <row r="459">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row>
    <row r="460">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row>
    <row r="46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row>
    <row r="462">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row>
    <row r="463">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row>
    <row r="464">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row>
    <row r="465">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row>
    <row r="466">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row>
    <row r="467">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row>
    <row r="468">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row>
    <row r="469">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row>
    <row r="470">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row>
    <row r="47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row>
    <row r="472">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row>
    <row r="473">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row>
    <row r="474">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row>
    <row r="475">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row>
    <row r="476">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row>
    <row r="477">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row>
    <row r="478">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row>
    <row r="479">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row>
    <row r="480">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row>
    <row r="48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row>
    <row r="482">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row>
    <row r="483">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row>
    <row r="484">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row>
    <row r="485">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row>
    <row r="486">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row>
    <row r="487">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row>
    <row r="488">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row>
    <row r="489">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row>
    <row r="490">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row>
    <row r="49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row>
    <row r="492">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row>
    <row r="493">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row>
    <row r="494">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row>
    <row r="495">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row>
    <row r="496">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row>
    <row r="497">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row>
    <row r="498">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row>
    <row r="499">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row>
    <row r="500">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row>
    <row r="50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row>
    <row r="502">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row>
    <row r="503">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row>
    <row r="504">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row>
    <row r="505">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row>
    <row r="506">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row>
    <row r="507">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row>
    <row r="508">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row>
    <row r="509">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row>
    <row r="510">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row>
    <row r="51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row>
    <row r="512">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row>
    <row r="513">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row>
    <row r="514">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row>
    <row r="515">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row>
    <row r="516">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row>
    <row r="517">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row>
    <row r="518">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row>
    <row r="519">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row>
    <row r="520">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row>
    <row r="52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row>
    <row r="522">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row>
    <row r="523">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row>
    <row r="524">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row>
    <row r="525">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row>
    <row r="526">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row>
    <row r="527">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row>
    <row r="528">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row>
    <row r="529">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row>
    <row r="530">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row>
    <row r="53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row>
    <row r="532">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row>
    <row r="533">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row>
    <row r="534">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row>
    <row r="535">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row>
    <row r="536">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row>
    <row r="537">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row>
    <row r="538">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row>
    <row r="539">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row>
    <row r="540">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row>
    <row r="54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row>
    <row r="542">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row>
    <row r="543">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row>
    <row r="544">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row>
    <row r="545">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row>
    <row r="546">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row>
    <row r="547">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row>
    <row r="548">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row>
    <row r="549">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row>
    <row r="550">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row>
    <row r="55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row>
    <row r="552">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row>
    <row r="553">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row>
    <row r="554">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row>
    <row r="555">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row>
    <row r="556">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row>
    <row r="557">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row>
    <row r="558">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row>
    <row r="559">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row>
    <row r="560">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row>
    <row r="56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row>
    <row r="562">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row>
    <row r="563">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row>
    <row r="564">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row>
    <row r="565">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row>
    <row r="566">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row>
    <row r="567">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row>
    <row r="568">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row>
    <row r="569">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row>
    <row r="570">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row>
    <row r="57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row>
    <row r="572">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row>
    <row r="573">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row>
    <row r="574">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row>
    <row r="575">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row>
    <row r="576">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row>
    <row r="577">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row>
    <row r="578">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row>
    <row r="579">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row>
    <row r="580">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row>
    <row r="58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row>
    <row r="582">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row>
    <row r="583">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row>
    <row r="584">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row>
    <row r="585">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row>
    <row r="586">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row>
    <row r="587">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row>
    <row r="588">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row>
    <row r="589">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row>
    <row r="590">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row>
    <row r="59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row>
    <row r="592">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row>
    <row r="593">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row>
    <row r="594">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row>
    <row r="595">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row>
    <row r="596">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row>
    <row r="597">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row>
    <row r="598">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row>
    <row r="599">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row>
    <row r="600">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row>
    <row r="60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row>
    <row r="602">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row>
    <row r="603">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row>
    <row r="604">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row>
    <row r="605">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row>
    <row r="606">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row>
    <row r="607">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row>
    <row r="608">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row>
    <row r="609">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row>
    <row r="610">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row>
    <row r="61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row>
    <row r="612">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row>
    <row r="613">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row>
    <row r="614">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row>
    <row r="615">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row>
    <row r="616">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row>
    <row r="617">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row>
    <row r="618">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row>
    <row r="619">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row>
    <row r="620">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row>
    <row r="62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row>
    <row r="622">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row>
    <row r="623">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row>
    <row r="624">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row>
    <row r="625">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row>
    <row r="626">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row>
    <row r="627">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row>
    <row r="628">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row>
    <row r="629">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row>
    <row r="630">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row>
    <row r="63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row>
    <row r="632">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row>
    <row r="633">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row>
    <row r="634">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row>
    <row r="635">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row>
    <row r="636">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row>
    <row r="637">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row>
    <row r="638">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row>
    <row r="639">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row>
    <row r="640">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row>
    <row r="64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row>
    <row r="642">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row>
    <row r="643">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row>
    <row r="644">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row>
    <row r="645">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row>
    <row r="646">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row>
    <row r="647">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row>
    <row r="648">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row>
    <row r="649">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row>
    <row r="650">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row>
    <row r="65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row>
    <row r="652">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row>
    <row r="653">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row>
    <row r="654">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row>
    <row r="655">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row>
    <row r="656">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row>
    <row r="657">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row>
    <row r="658">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row>
    <row r="659">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row>
    <row r="660">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row>
    <row r="66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row>
    <row r="662">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row>
    <row r="663">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row>
    <row r="664">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row>
    <row r="665">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row>
    <row r="666">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row>
    <row r="667">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row>
    <row r="668">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row>
    <row r="669">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row>
    <row r="670">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row>
    <row r="67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row>
    <row r="672">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row>
    <row r="673">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row>
    <row r="674">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row>
    <row r="675">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row>
    <row r="676">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row>
    <row r="677">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row>
    <row r="678">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row>
    <row r="679">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row>
    <row r="680">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row>
    <row r="68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row>
    <row r="682">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row>
    <row r="683">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row>
    <row r="684">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row>
    <row r="685">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row>
    <row r="686">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row>
    <row r="687">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row>
    <row r="688">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row>
    <row r="689">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row>
    <row r="690">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row>
    <row r="69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row>
    <row r="692">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row>
    <row r="693">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row>
    <row r="694">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row>
    <row r="695">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row>
    <row r="696">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row>
    <row r="697">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row>
    <row r="698">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row>
    <row r="699">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row>
    <row r="700">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row>
    <row r="70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row>
    <row r="702">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row>
    <row r="703">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row>
    <row r="704">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row>
    <row r="705">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row>
    <row r="706">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row>
    <row r="707">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row>
    <row r="708">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row>
    <row r="709">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row>
    <row r="710">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row>
    <row r="71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row>
    <row r="712">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row>
    <row r="713">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row>
    <row r="714">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row>
    <row r="715">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row>
    <row r="716">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row>
    <row r="717">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row>
    <row r="718">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row>
    <row r="719">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row>
    <row r="720">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row>
    <row r="72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row>
    <row r="722">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row>
    <row r="723">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row>
    <row r="724">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row>
    <row r="725">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row>
    <row r="726">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row>
    <row r="727">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row>
    <row r="728">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row>
    <row r="729">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row>
    <row r="730">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row>
    <row r="73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row>
    <row r="732">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row>
    <row r="733">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row>
    <row r="734">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row>
    <row r="735">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row>
    <row r="736">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row>
    <row r="737">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row>
    <row r="738">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row>
    <row r="739">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row>
    <row r="740">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row>
    <row r="74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row>
    <row r="742">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row>
    <row r="743">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row>
    <row r="744">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row>
    <row r="745">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row>
    <row r="746">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row>
    <row r="747">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row>
    <row r="748">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row>
    <row r="749">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row>
    <row r="750">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row>
    <row r="75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row>
    <row r="752">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row>
    <row r="753">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row>
    <row r="754">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row>
    <row r="755">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row>
    <row r="756">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row>
    <row r="757">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row>
    <row r="758">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row>
    <row r="759">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row>
    <row r="760">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row>
    <row r="76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row>
    <row r="762">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row>
    <row r="763">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row>
    <row r="764">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row>
    <row r="765">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row>
    <row r="766">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row>
    <row r="767">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row>
    <row r="768">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row>
    <row r="769">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row>
    <row r="770">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row>
    <row r="77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row>
    <row r="772">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row>
    <row r="773">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row>
    <row r="774">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row>
    <row r="775">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row>
    <row r="776">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row>
    <row r="777">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row>
    <row r="778">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row>
    <row r="779">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row>
    <row r="780">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row>
    <row r="78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row>
    <row r="782">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row>
    <row r="783">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row>
    <row r="784">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row>
    <row r="785">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row>
    <row r="786">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row>
    <row r="787">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row>
    <row r="788">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row>
    <row r="789">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row>
    <row r="790">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row>
    <row r="79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row>
    <row r="792">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row>
    <row r="793">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row>
    <row r="794">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row>
    <row r="795">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row>
    <row r="796">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row>
    <row r="797">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row>
    <row r="798">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row>
    <row r="799">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row>
    <row r="800">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row>
    <row r="80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row>
    <row r="802">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row>
    <row r="803">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row>
    <row r="804">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row>
    <row r="805">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row>
    <row r="806">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row>
    <row r="807">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row>
    <row r="808">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row>
    <row r="809">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row>
    <row r="810">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row>
    <row r="81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row>
    <row r="812">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row>
    <row r="813">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row>
    <row r="814">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row>
    <row r="815">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row>
    <row r="816">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row>
    <row r="817">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row>
    <row r="818">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row>
    <row r="819">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row>
    <row r="820">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row>
    <row r="82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row>
    <row r="822">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row>
    <row r="823">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row>
    <row r="824">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row>
    <row r="825">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row>
    <row r="826">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row>
    <row r="827">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row>
    <row r="828">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row>
    <row r="829">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row>
    <row r="830">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row>
    <row r="83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row>
    <row r="832">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row>
    <row r="833">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row>
    <row r="834">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row>
    <row r="835">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row>
    <row r="836">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row>
    <row r="837">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row>
    <row r="838">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row>
    <row r="839">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row>
    <row r="840">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row>
    <row r="84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row>
    <row r="842">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row>
    <row r="843">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row>
    <row r="844">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row>
    <row r="845">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row>
    <row r="846">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row>
    <row r="847">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row>
    <row r="848">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row>
    <row r="849">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row>
    <row r="850">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row>
    <row r="85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row>
    <row r="852">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row>
    <row r="853">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row>
    <row r="854">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row>
    <row r="855">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row>
    <row r="856">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row>
    <row r="857">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row>
    <row r="858">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row>
    <row r="859">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row>
    <row r="860">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row>
    <row r="86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row>
    <row r="862">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row>
    <row r="863">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row>
    <row r="864">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row>
    <row r="865">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row>
    <row r="866">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row>
    <row r="867">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row>
    <row r="868">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row>
    <row r="869">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row>
    <row r="870">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row>
    <row r="87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row>
    <row r="872">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row>
    <row r="873">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row>
    <row r="874">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row>
    <row r="875">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row>
    <row r="876">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row>
    <row r="877">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row>
    <row r="878">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row>
    <row r="879">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row>
    <row r="880">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row>
    <row r="88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row>
    <row r="882">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row>
    <row r="883">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row>
    <row r="884">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row>
    <row r="885">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row>
    <row r="886">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row>
    <row r="887">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row>
    <row r="888">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row>
    <row r="889">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row>
    <row r="890">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row>
    <row r="89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row>
    <row r="892">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row>
    <row r="893">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row>
    <row r="894">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row>
    <row r="895">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row>
    <row r="896">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row>
    <row r="897">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row>
    <row r="898">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row>
    <row r="899">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row>
    <row r="900">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row>
    <row r="90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row>
    <row r="902">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row>
    <row r="903">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row>
    <row r="904">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row>
    <row r="905">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row>
    <row r="906">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row>
    <row r="907">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row>
    <row r="908">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row>
    <row r="909">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row>
    <row r="910">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row>
    <row r="91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row>
    <row r="912">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row>
    <row r="913">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row>
    <row r="914">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row>
    <row r="915">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row>
    <row r="916">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row>
    <row r="917">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row>
    <row r="918">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row>
    <row r="919">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row>
    <row r="920">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row>
    <row r="92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row>
    <row r="922">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row>
    <row r="923">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row>
    <row r="924">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row>
    <row r="925">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row>
    <row r="926">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row>
    <row r="927">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row>
    <row r="928">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row>
    <row r="929">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row>
    <row r="930">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row>
    <row r="93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row>
    <row r="932">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row>
    <row r="933">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row>
    <row r="934">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row>
    <row r="935">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row>
    <row r="936">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row>
    <row r="937">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row>
    <row r="938">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row>
    <row r="939">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row>
    <row r="940">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row>
    <row r="94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row>
    <row r="942">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row>
    <row r="943">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row>
    <row r="944">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row>
    <row r="945">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row>
    <row r="946">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row>
    <row r="947">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row>
    <row r="948">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row>
    <row r="949">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row>
    <row r="950">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row>
    <row r="95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row>
    <row r="952">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row>
    <row r="953">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row>
    <row r="954">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row>
    <row r="955">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row>
    <row r="956">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row>
    <row r="957">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row>
    <row r="958">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row>
    <row r="959">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row>
    <row r="960">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row>
    <row r="96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row>
    <row r="962">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row>
    <row r="963">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row>
    <row r="964">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row>
    <row r="965">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row>
    <row r="966">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row>
    <row r="967">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row>
    <row r="968">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row>
    <row r="969">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row>
    <row r="970">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row>
    <row r="97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row>
    <row r="972">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row>
    <row r="973">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row>
    <row r="974">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row>
    <row r="975">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row>
    <row r="976">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row>
    <row r="977">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row>
    <row r="978">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row>
    <row r="979">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row>
    <row r="980">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row>
    <row r="981">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row>
    <row r="982">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row>
    <row r="983">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row>
    <row r="984">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row>
    <row r="985">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row>
    <row r="986">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row>
    <row r="987">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row>
    <row r="988">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row>
    <row r="989">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row>
    <row r="990">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row>
    <row r="991">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row>
    <row r="992">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row>
    <row r="993">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row>
    <row r="994">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row>
    <row r="995">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row>
    <row r="996">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row>
    <row r="997">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row>
    <row r="998">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row>
    <row r="999">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row>
    <row r="1000">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row>
  </sheetData>
  <mergeCells count="4">
    <mergeCell ref="A2:J2"/>
    <mergeCell ref="A3:J3"/>
    <mergeCell ref="A4:J4"/>
    <mergeCell ref="A5:J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0.13"/>
    <col customWidth="1" min="3" max="3" width="25.13"/>
    <col customWidth="1" min="4" max="4" width="5.88"/>
    <col customWidth="1" min="5" max="5" width="3.88"/>
    <col customWidth="1" min="6" max="6" width="5.63"/>
    <col customWidth="1" min="7" max="7" width="3.88"/>
    <col customWidth="1" min="8" max="8" width="6.13"/>
    <col customWidth="1" min="9" max="9" width="4.88"/>
    <col customWidth="1" min="10" max="10" width="7.5"/>
    <col customWidth="1" min="11" max="11" width="3.13"/>
    <col customWidth="1" min="12" max="12" width="6.5"/>
    <col customWidth="1" min="13" max="13" width="3.13"/>
    <col customWidth="1" min="14" max="14" width="4.38"/>
    <col customWidth="1" min="15" max="16" width="5.13"/>
    <col customWidth="1" min="17" max="17" width="4.13"/>
    <col customWidth="1" min="18" max="18" width="5.5"/>
    <col customWidth="1" min="19" max="19" width="3.88"/>
    <col customWidth="1" min="20" max="20" width="6.5"/>
    <col customWidth="1" min="21" max="21" width="3.38"/>
    <col customWidth="1" min="22" max="22" width="6.5"/>
    <col customWidth="1" min="23" max="23" width="4.5"/>
    <col customWidth="1" min="24" max="24" width="6.13"/>
    <col customWidth="1" min="25" max="25" width="5.0"/>
    <col customWidth="1" min="26" max="26" width="4.88"/>
    <col customWidth="1" min="27" max="27" width="7.88"/>
  </cols>
  <sheetData>
    <row r="1" ht="11.25" customHeight="1">
      <c r="A1" s="1"/>
      <c r="B1" s="1"/>
      <c r="C1" s="2"/>
      <c r="D1" s="1"/>
      <c r="E1" s="1"/>
      <c r="F1" s="1"/>
      <c r="G1" s="1"/>
      <c r="H1" s="1"/>
      <c r="I1" s="1"/>
      <c r="J1" s="1"/>
      <c r="K1" s="1"/>
      <c r="L1" s="1"/>
      <c r="M1" s="1"/>
      <c r="N1" s="1"/>
      <c r="O1" s="1"/>
      <c r="P1" s="1"/>
      <c r="Q1" s="1"/>
      <c r="R1" s="1"/>
      <c r="S1" s="216"/>
      <c r="T1" s="1"/>
      <c r="U1" s="217" t="s">
        <v>309</v>
      </c>
    </row>
    <row r="2" ht="11.25" customHeight="1">
      <c r="A2" s="218" t="s">
        <v>292</v>
      </c>
    </row>
    <row r="3" ht="11.25" customHeight="1">
      <c r="A3" s="76" t="s">
        <v>310</v>
      </c>
    </row>
    <row r="4" ht="11.25" customHeight="1">
      <c r="A4" s="76" t="s">
        <v>311</v>
      </c>
    </row>
    <row r="5" ht="11.25" customHeight="1">
      <c r="A5" s="10"/>
      <c r="B5" s="219" t="s">
        <v>312</v>
      </c>
      <c r="D5" s="10"/>
      <c r="E5" s="10"/>
      <c r="F5" s="10"/>
      <c r="G5" s="10"/>
      <c r="H5" s="10"/>
      <c r="I5" s="10"/>
      <c r="J5" s="10"/>
      <c r="K5" s="11"/>
      <c r="L5" s="10"/>
      <c r="M5" s="10"/>
      <c r="N5" s="12"/>
      <c r="O5" s="12"/>
      <c r="P5" s="12"/>
      <c r="Q5" s="12"/>
      <c r="R5" s="12"/>
      <c r="S5" s="220"/>
      <c r="T5" s="16"/>
      <c r="U5" s="221"/>
      <c r="V5" s="16"/>
      <c r="W5" s="16"/>
      <c r="X5" s="222" t="s">
        <v>313</v>
      </c>
    </row>
    <row r="6" ht="11.25" customHeight="1">
      <c r="A6" s="10"/>
      <c r="B6" s="223" t="s">
        <v>314</v>
      </c>
      <c r="C6" s="10"/>
      <c r="D6" s="12"/>
      <c r="E6" s="10"/>
      <c r="F6" s="10"/>
      <c r="G6" s="10"/>
      <c r="H6" s="10"/>
      <c r="I6" s="10"/>
      <c r="J6" s="10"/>
      <c r="K6" s="11"/>
      <c r="L6" s="223" t="s">
        <v>315</v>
      </c>
      <c r="M6" s="10"/>
      <c r="N6" s="10"/>
      <c r="O6" s="223" t="s">
        <v>316</v>
      </c>
      <c r="P6" s="10"/>
      <c r="Q6" s="10"/>
      <c r="R6" s="10"/>
      <c r="S6" s="220"/>
      <c r="T6" s="16" t="s">
        <v>317</v>
      </c>
      <c r="U6" s="221"/>
      <c r="V6" s="16"/>
      <c r="W6" s="16"/>
      <c r="X6" s="16"/>
      <c r="Y6" s="16"/>
      <c r="Z6" s="16"/>
    </row>
    <row r="7" ht="11.25" customHeight="1">
      <c r="A7" s="224" t="s">
        <v>7</v>
      </c>
      <c r="B7" s="225" t="s">
        <v>8</v>
      </c>
      <c r="C7" s="226" t="s">
        <v>9</v>
      </c>
      <c r="D7" s="227">
        <v>20.0</v>
      </c>
      <c r="E7" s="5"/>
      <c r="F7" s="227">
        <v>18.0</v>
      </c>
      <c r="G7" s="5"/>
      <c r="H7" s="227">
        <v>16.0</v>
      </c>
      <c r="I7" s="5"/>
      <c r="J7" s="227">
        <v>16.0</v>
      </c>
      <c r="K7" s="5"/>
      <c r="L7" s="227">
        <v>12.0</v>
      </c>
      <c r="M7" s="5"/>
      <c r="N7" s="227">
        <v>8.0</v>
      </c>
      <c r="O7" s="5"/>
      <c r="P7" s="228"/>
      <c r="Q7" s="5"/>
      <c r="R7" s="227">
        <v>3.0</v>
      </c>
      <c r="S7" s="5"/>
      <c r="T7" s="227"/>
      <c r="U7" s="5"/>
      <c r="V7" s="227">
        <v>4.0</v>
      </c>
      <c r="W7" s="5"/>
      <c r="X7" s="227">
        <v>5.0</v>
      </c>
      <c r="Y7" s="5"/>
      <c r="Z7" s="229" t="s">
        <v>10</v>
      </c>
    </row>
    <row r="8" ht="22.5" customHeight="1">
      <c r="A8" s="28"/>
      <c r="B8" s="28"/>
      <c r="C8" s="226" t="s">
        <v>11</v>
      </c>
      <c r="D8" s="230" t="s">
        <v>318</v>
      </c>
      <c r="E8" s="5"/>
      <c r="F8" s="230" t="s">
        <v>319</v>
      </c>
      <c r="G8" s="5"/>
      <c r="H8" s="230" t="s">
        <v>320</v>
      </c>
      <c r="I8" s="5"/>
      <c r="J8" s="230" t="s">
        <v>321</v>
      </c>
      <c r="K8" s="5"/>
      <c r="L8" s="230" t="s">
        <v>322</v>
      </c>
      <c r="M8" s="5"/>
      <c r="N8" s="230" t="s">
        <v>323</v>
      </c>
      <c r="O8" s="5"/>
      <c r="P8" s="228" t="s">
        <v>324</v>
      </c>
      <c r="Q8" s="5"/>
      <c r="R8" s="230" t="s">
        <v>325</v>
      </c>
      <c r="S8" s="5"/>
      <c r="T8" s="230" t="s">
        <v>326</v>
      </c>
      <c r="U8" s="5"/>
      <c r="V8" s="230" t="s">
        <v>327</v>
      </c>
      <c r="W8" s="5"/>
      <c r="X8" s="230" t="s">
        <v>328</v>
      </c>
      <c r="Y8" s="5"/>
      <c r="Z8" s="28"/>
    </row>
    <row r="9" ht="11.25" customHeight="1">
      <c r="A9" s="28"/>
      <c r="B9" s="28"/>
      <c r="C9" s="224" t="s">
        <v>21</v>
      </c>
      <c r="D9" s="231" t="s">
        <v>22</v>
      </c>
      <c r="E9" s="231" t="s">
        <v>23</v>
      </c>
      <c r="F9" s="231" t="s">
        <v>22</v>
      </c>
      <c r="G9" s="231" t="s">
        <v>23</v>
      </c>
      <c r="H9" s="231" t="s">
        <v>22</v>
      </c>
      <c r="I9" s="232" t="s">
        <v>23</v>
      </c>
      <c r="J9" s="231" t="s">
        <v>22</v>
      </c>
      <c r="K9" s="231" t="s">
        <v>23</v>
      </c>
      <c r="L9" s="231" t="s">
        <v>22</v>
      </c>
      <c r="M9" s="231" t="s">
        <v>23</v>
      </c>
      <c r="N9" s="231" t="s">
        <v>22</v>
      </c>
      <c r="O9" s="231" t="s">
        <v>23</v>
      </c>
      <c r="P9" s="231" t="s">
        <v>22</v>
      </c>
      <c r="Q9" s="232" t="s">
        <v>23</v>
      </c>
      <c r="R9" s="232" t="s">
        <v>22</v>
      </c>
      <c r="S9" s="233" t="s">
        <v>23</v>
      </c>
      <c r="T9" s="232" t="s">
        <v>22</v>
      </c>
      <c r="U9" s="234" t="s">
        <v>23</v>
      </c>
      <c r="V9" s="231" t="s">
        <v>22</v>
      </c>
      <c r="W9" s="231" t="s">
        <v>23</v>
      </c>
      <c r="X9" s="231" t="s">
        <v>22</v>
      </c>
      <c r="Y9" s="231" t="s">
        <v>23</v>
      </c>
      <c r="Z9" s="28"/>
    </row>
    <row r="10" ht="11.2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ht="11.25" customHeight="1">
      <c r="A11" s="235">
        <v>1.0</v>
      </c>
      <c r="B11" s="236" t="s">
        <v>329</v>
      </c>
      <c r="C11" s="237" t="s">
        <v>330</v>
      </c>
      <c r="D11" s="236">
        <v>12.0</v>
      </c>
      <c r="E11" s="238">
        <v>60.0</v>
      </c>
      <c r="F11" s="236">
        <v>15.0</v>
      </c>
      <c r="G11" s="239">
        <v>83.33333333333333</v>
      </c>
      <c r="H11" s="240">
        <v>8.0</v>
      </c>
      <c r="I11" s="241">
        <v>50.0</v>
      </c>
      <c r="J11" s="236">
        <v>11.0</v>
      </c>
      <c r="K11" s="239">
        <v>73.33333333333334</v>
      </c>
      <c r="L11" s="236">
        <v>7.0</v>
      </c>
      <c r="M11" s="239">
        <v>58.333333333333336</v>
      </c>
      <c r="N11" s="236">
        <v>6.0</v>
      </c>
      <c r="O11" s="238">
        <v>75.0</v>
      </c>
      <c r="P11" s="242">
        <v>3.0</v>
      </c>
      <c r="Q11" s="243">
        <v>100.0</v>
      </c>
      <c r="R11" s="244">
        <v>3.0</v>
      </c>
      <c r="S11" s="244">
        <v>100.0</v>
      </c>
      <c r="T11" s="245">
        <v>4.0</v>
      </c>
      <c r="U11" s="241">
        <v>80.0</v>
      </c>
      <c r="V11" s="246">
        <v>2.0</v>
      </c>
      <c r="W11" s="238">
        <v>50.0</v>
      </c>
      <c r="X11" s="246">
        <v>3.0</v>
      </c>
      <c r="Y11" s="238">
        <v>60.0</v>
      </c>
      <c r="Z11" s="247">
        <v>71.81818181818181</v>
      </c>
    </row>
    <row r="12" ht="11.25" customHeight="1">
      <c r="A12" s="235">
        <v>2.0</v>
      </c>
      <c r="B12" s="236" t="s">
        <v>331</v>
      </c>
      <c r="C12" s="237" t="s">
        <v>332</v>
      </c>
      <c r="D12" s="236">
        <v>9.0</v>
      </c>
      <c r="E12" s="238">
        <v>45.0</v>
      </c>
      <c r="F12" s="236">
        <v>12.0</v>
      </c>
      <c r="G12" s="239">
        <v>66.66666666666667</v>
      </c>
      <c r="H12" s="240">
        <v>12.0</v>
      </c>
      <c r="I12" s="241">
        <v>75.0</v>
      </c>
      <c r="J12" s="236">
        <v>4.0</v>
      </c>
      <c r="K12" s="239">
        <v>26.666666666666668</v>
      </c>
      <c r="L12" s="236">
        <v>5.0</v>
      </c>
      <c r="M12" s="239">
        <v>41.66666666666667</v>
      </c>
      <c r="N12" s="236">
        <v>6.0</v>
      </c>
      <c r="O12" s="238">
        <v>75.0</v>
      </c>
      <c r="P12" s="242">
        <v>3.0</v>
      </c>
      <c r="Q12" s="243">
        <v>100.0</v>
      </c>
      <c r="R12" s="244">
        <v>3.0</v>
      </c>
      <c r="S12" s="244">
        <v>100.0</v>
      </c>
      <c r="T12" s="245">
        <v>3.0</v>
      </c>
      <c r="U12" s="241">
        <v>60.0</v>
      </c>
      <c r="V12" s="246">
        <v>1.0</v>
      </c>
      <c r="W12" s="238">
        <v>25.0</v>
      </c>
      <c r="X12" s="246">
        <v>3.0</v>
      </c>
      <c r="Y12" s="238">
        <v>60.0</v>
      </c>
      <c r="Z12" s="247">
        <v>61.36363636363637</v>
      </c>
    </row>
    <row r="13" ht="11.25" customHeight="1">
      <c r="A13" s="235">
        <v>3.0</v>
      </c>
      <c r="B13" s="236" t="s">
        <v>333</v>
      </c>
      <c r="C13" s="237" t="s">
        <v>334</v>
      </c>
      <c r="D13" s="236">
        <v>11.0</v>
      </c>
      <c r="E13" s="238">
        <v>55.00000000000001</v>
      </c>
      <c r="F13" s="236">
        <v>14.0</v>
      </c>
      <c r="G13" s="239">
        <v>77.77777777777777</v>
      </c>
      <c r="H13" s="240">
        <v>16.0</v>
      </c>
      <c r="I13" s="241">
        <v>100.0</v>
      </c>
      <c r="J13" s="236">
        <v>12.0</v>
      </c>
      <c r="K13" s="239">
        <v>80.0</v>
      </c>
      <c r="L13" s="236">
        <v>4.0</v>
      </c>
      <c r="M13" s="239">
        <v>33.33333333333333</v>
      </c>
      <c r="N13" s="236">
        <v>3.0</v>
      </c>
      <c r="O13" s="238">
        <v>38.0</v>
      </c>
      <c r="P13" s="242">
        <v>2.0</v>
      </c>
      <c r="Q13" s="243">
        <v>67.0</v>
      </c>
      <c r="R13" s="244">
        <v>2.0</v>
      </c>
      <c r="S13" s="244">
        <v>66.66666666666666</v>
      </c>
      <c r="T13" s="245">
        <v>3.0</v>
      </c>
      <c r="U13" s="241">
        <v>60.0</v>
      </c>
      <c r="V13" s="246">
        <v>3.0</v>
      </c>
      <c r="W13" s="238">
        <v>75.0</v>
      </c>
      <c r="X13" s="246">
        <v>4.0</v>
      </c>
      <c r="Y13" s="238">
        <v>80.0</v>
      </c>
      <c r="Z13" s="247">
        <v>66.6161616161616</v>
      </c>
    </row>
    <row r="14" ht="11.25" customHeight="1">
      <c r="A14" s="235">
        <v>4.0</v>
      </c>
      <c r="B14" s="236" t="s">
        <v>335</v>
      </c>
      <c r="C14" s="237" t="s">
        <v>336</v>
      </c>
      <c r="D14" s="236">
        <v>13.0</v>
      </c>
      <c r="E14" s="238">
        <v>65.0</v>
      </c>
      <c r="F14" s="236">
        <v>15.0</v>
      </c>
      <c r="G14" s="239">
        <v>83.33333333333333</v>
      </c>
      <c r="H14" s="240">
        <v>8.0</v>
      </c>
      <c r="I14" s="241">
        <v>50.0</v>
      </c>
      <c r="J14" s="236">
        <v>10.0</v>
      </c>
      <c r="K14" s="239">
        <v>66.66666666666667</v>
      </c>
      <c r="L14" s="236">
        <v>7.0</v>
      </c>
      <c r="M14" s="239">
        <v>58.333333333333336</v>
      </c>
      <c r="N14" s="236">
        <v>6.0</v>
      </c>
      <c r="O14" s="238">
        <v>75.0</v>
      </c>
      <c r="P14" s="242">
        <v>3.0</v>
      </c>
      <c r="Q14" s="243">
        <v>100.0</v>
      </c>
      <c r="R14" s="244">
        <v>3.0</v>
      </c>
      <c r="S14" s="244">
        <v>100.0</v>
      </c>
      <c r="T14" s="245">
        <v>4.0</v>
      </c>
      <c r="U14" s="241">
        <v>80.0</v>
      </c>
      <c r="V14" s="246">
        <v>3.0</v>
      </c>
      <c r="W14" s="238">
        <v>75.0</v>
      </c>
      <c r="X14" s="246">
        <v>3.0</v>
      </c>
      <c r="Y14" s="238">
        <v>60.0</v>
      </c>
      <c r="Z14" s="247">
        <v>73.93939393939394</v>
      </c>
    </row>
    <row r="15" ht="11.25" customHeight="1">
      <c r="A15" s="235">
        <v>5.0</v>
      </c>
      <c r="B15" s="236" t="s">
        <v>337</v>
      </c>
      <c r="C15" s="248" t="s">
        <v>338</v>
      </c>
      <c r="D15" s="236">
        <v>11.0</v>
      </c>
      <c r="E15" s="238">
        <v>55.00000000000001</v>
      </c>
      <c r="F15" s="236">
        <v>14.0</v>
      </c>
      <c r="G15" s="239">
        <v>77.77777777777777</v>
      </c>
      <c r="H15" s="240">
        <v>8.0</v>
      </c>
      <c r="I15" s="241">
        <v>50.0</v>
      </c>
      <c r="J15" s="236">
        <v>10.0</v>
      </c>
      <c r="K15" s="239">
        <v>66.66666666666667</v>
      </c>
      <c r="L15" s="236">
        <v>6.0</v>
      </c>
      <c r="M15" s="239">
        <v>50.0</v>
      </c>
      <c r="N15" s="236">
        <v>4.0</v>
      </c>
      <c r="O15" s="238">
        <v>50.0</v>
      </c>
      <c r="P15" s="242">
        <v>3.0</v>
      </c>
      <c r="Q15" s="243">
        <v>100.0</v>
      </c>
      <c r="R15" s="244">
        <v>2.0</v>
      </c>
      <c r="S15" s="244">
        <v>66.66666666666666</v>
      </c>
      <c r="T15" s="245">
        <v>3.0</v>
      </c>
      <c r="U15" s="241">
        <v>60.0</v>
      </c>
      <c r="V15" s="246">
        <v>2.0</v>
      </c>
      <c r="W15" s="238">
        <v>50.0</v>
      </c>
      <c r="X15" s="246">
        <v>2.0</v>
      </c>
      <c r="Y15" s="238">
        <v>40.0</v>
      </c>
      <c r="Z15" s="247">
        <v>60.55555555555555</v>
      </c>
    </row>
    <row r="16" ht="11.25" customHeight="1">
      <c r="A16" s="235">
        <v>6.0</v>
      </c>
      <c r="B16" s="236" t="s">
        <v>339</v>
      </c>
      <c r="C16" s="248" t="s">
        <v>340</v>
      </c>
      <c r="D16" s="236">
        <v>12.0</v>
      </c>
      <c r="E16" s="238">
        <v>60.0</v>
      </c>
      <c r="F16" s="236">
        <v>16.0</v>
      </c>
      <c r="G16" s="239">
        <v>88.88888888888889</v>
      </c>
      <c r="H16" s="240">
        <v>12.0</v>
      </c>
      <c r="I16" s="241">
        <v>75.0</v>
      </c>
      <c r="J16" s="236">
        <v>9.0</v>
      </c>
      <c r="K16" s="239">
        <v>60.0</v>
      </c>
      <c r="L16" s="236">
        <v>9.0</v>
      </c>
      <c r="M16" s="239">
        <v>75.0</v>
      </c>
      <c r="N16" s="236">
        <v>6.0</v>
      </c>
      <c r="O16" s="238">
        <v>75.0</v>
      </c>
      <c r="P16" s="242">
        <v>2.0</v>
      </c>
      <c r="Q16" s="243">
        <v>67.0</v>
      </c>
      <c r="R16" s="244">
        <v>2.0</v>
      </c>
      <c r="S16" s="244">
        <v>66.66666666666666</v>
      </c>
      <c r="T16" s="245">
        <v>4.0</v>
      </c>
      <c r="U16" s="241">
        <v>80.0</v>
      </c>
      <c r="V16" s="246">
        <v>3.0</v>
      </c>
      <c r="W16" s="238">
        <v>75.0</v>
      </c>
      <c r="X16" s="246">
        <v>4.0</v>
      </c>
      <c r="Y16" s="238">
        <v>80.0</v>
      </c>
      <c r="Z16" s="247">
        <v>72.95959595959596</v>
      </c>
    </row>
    <row r="17" ht="11.25" customHeight="1">
      <c r="A17" s="235">
        <v>7.0</v>
      </c>
      <c r="B17" s="236" t="s">
        <v>341</v>
      </c>
      <c r="C17" s="237" t="s">
        <v>342</v>
      </c>
      <c r="D17" s="236">
        <v>13.0</v>
      </c>
      <c r="E17" s="238">
        <v>65.0</v>
      </c>
      <c r="F17" s="236">
        <v>15.0</v>
      </c>
      <c r="G17" s="239">
        <v>83.33333333333333</v>
      </c>
      <c r="H17" s="241">
        <v>8.0</v>
      </c>
      <c r="I17" s="241">
        <v>50.0</v>
      </c>
      <c r="J17" s="245">
        <v>10.0</v>
      </c>
      <c r="K17" s="244">
        <v>66.66666666666667</v>
      </c>
      <c r="L17" s="245">
        <v>7.0</v>
      </c>
      <c r="M17" s="244">
        <v>58.333333333333336</v>
      </c>
      <c r="N17" s="245">
        <v>6.0</v>
      </c>
      <c r="O17" s="241">
        <v>75.0</v>
      </c>
      <c r="P17" s="249">
        <v>3.0</v>
      </c>
      <c r="Q17" s="250">
        <v>100.0</v>
      </c>
      <c r="R17" s="244">
        <v>3.0</v>
      </c>
      <c r="S17" s="244">
        <v>100.0</v>
      </c>
      <c r="T17" s="245">
        <v>3.0</v>
      </c>
      <c r="U17" s="241">
        <v>75.0</v>
      </c>
      <c r="V17" s="246">
        <v>4.0</v>
      </c>
      <c r="W17" s="238">
        <v>80.0</v>
      </c>
      <c r="X17" s="246">
        <v>3.0</v>
      </c>
      <c r="Y17" s="238">
        <v>60.0</v>
      </c>
      <c r="Z17" s="247">
        <v>73.93939393939394</v>
      </c>
    </row>
    <row r="18" ht="11.25" customHeight="1">
      <c r="A18" s="235">
        <v>8.0</v>
      </c>
      <c r="B18" s="236" t="s">
        <v>343</v>
      </c>
      <c r="C18" s="237" t="s">
        <v>344</v>
      </c>
      <c r="D18" s="236">
        <v>14.0</v>
      </c>
      <c r="E18" s="238">
        <v>70.0</v>
      </c>
      <c r="F18" s="236">
        <v>14.0</v>
      </c>
      <c r="G18" s="239">
        <v>77.77777777777777</v>
      </c>
      <c r="H18" s="241">
        <v>8.0</v>
      </c>
      <c r="I18" s="241">
        <v>50.0</v>
      </c>
      <c r="J18" s="245">
        <v>8.0</v>
      </c>
      <c r="K18" s="244">
        <v>53.333333333333336</v>
      </c>
      <c r="L18" s="245">
        <v>7.0</v>
      </c>
      <c r="M18" s="244">
        <v>58.333333333333336</v>
      </c>
      <c r="N18" s="245">
        <v>5.0</v>
      </c>
      <c r="O18" s="241">
        <v>63.0</v>
      </c>
      <c r="P18" s="249">
        <v>3.0</v>
      </c>
      <c r="Q18" s="250">
        <v>100.0</v>
      </c>
      <c r="R18" s="244">
        <v>2.0</v>
      </c>
      <c r="S18" s="244">
        <v>66.66666666666666</v>
      </c>
      <c r="T18" s="245">
        <v>2.0</v>
      </c>
      <c r="U18" s="241">
        <v>50.0</v>
      </c>
      <c r="V18" s="246">
        <v>3.0</v>
      </c>
      <c r="W18" s="238">
        <v>60.0</v>
      </c>
      <c r="X18" s="246">
        <v>4.0</v>
      </c>
      <c r="Y18" s="238">
        <v>80.0</v>
      </c>
      <c r="Z18" s="247">
        <v>66.28282828282828</v>
      </c>
    </row>
    <row r="19" ht="11.25" customHeight="1">
      <c r="A19" s="235">
        <v>9.0</v>
      </c>
      <c r="B19" s="236" t="s">
        <v>345</v>
      </c>
      <c r="C19" s="248" t="s">
        <v>346</v>
      </c>
      <c r="D19" s="236">
        <v>12.0</v>
      </c>
      <c r="E19" s="238">
        <v>60.0</v>
      </c>
      <c r="F19" s="236">
        <v>11.0</v>
      </c>
      <c r="G19" s="239">
        <v>61.111111111111114</v>
      </c>
      <c r="H19" s="240">
        <v>8.0</v>
      </c>
      <c r="I19" s="241">
        <v>50.0</v>
      </c>
      <c r="J19" s="245">
        <v>11.0</v>
      </c>
      <c r="K19" s="244">
        <v>73.33333333333334</v>
      </c>
      <c r="L19" s="245">
        <v>6.0</v>
      </c>
      <c r="M19" s="244">
        <v>50.0</v>
      </c>
      <c r="N19" s="245">
        <v>6.0</v>
      </c>
      <c r="O19" s="241">
        <v>75.0</v>
      </c>
      <c r="P19" s="249">
        <v>3.0</v>
      </c>
      <c r="Q19" s="243">
        <v>100.0</v>
      </c>
      <c r="R19" s="244">
        <v>3.0</v>
      </c>
      <c r="S19" s="244">
        <v>100.0</v>
      </c>
      <c r="T19" s="245">
        <v>3.0</v>
      </c>
      <c r="U19" s="241">
        <v>75.0</v>
      </c>
      <c r="V19" s="245">
        <v>3.0</v>
      </c>
      <c r="W19" s="241">
        <v>60.0</v>
      </c>
      <c r="X19" s="245">
        <v>3.0</v>
      </c>
      <c r="Y19" s="241">
        <v>60.0</v>
      </c>
      <c r="Z19" s="247">
        <v>69.4949494949495</v>
      </c>
    </row>
    <row r="20" ht="11.25" customHeight="1">
      <c r="A20" s="235">
        <v>10.0</v>
      </c>
      <c r="B20" s="236" t="s">
        <v>347</v>
      </c>
      <c r="C20" s="237" t="s">
        <v>348</v>
      </c>
      <c r="D20" s="236">
        <v>13.0</v>
      </c>
      <c r="E20" s="238">
        <v>65.0</v>
      </c>
      <c r="F20" s="236">
        <v>12.0</v>
      </c>
      <c r="G20" s="239">
        <v>66.66666666666667</v>
      </c>
      <c r="H20" s="240">
        <v>12.0</v>
      </c>
      <c r="I20" s="241">
        <v>75.0</v>
      </c>
      <c r="J20" s="245">
        <v>9.0</v>
      </c>
      <c r="K20" s="244">
        <v>60.0</v>
      </c>
      <c r="L20" s="245">
        <v>7.0</v>
      </c>
      <c r="M20" s="244">
        <v>58.333333333333336</v>
      </c>
      <c r="N20" s="245">
        <v>6.0</v>
      </c>
      <c r="O20" s="241">
        <v>75.0</v>
      </c>
      <c r="P20" s="249">
        <v>3.0</v>
      </c>
      <c r="Q20" s="243">
        <v>100.0</v>
      </c>
      <c r="R20" s="244">
        <v>3.0</v>
      </c>
      <c r="S20" s="244">
        <v>100.0</v>
      </c>
      <c r="T20" s="245">
        <v>3.0</v>
      </c>
      <c r="U20" s="241">
        <v>75.0</v>
      </c>
      <c r="V20" s="245">
        <v>3.0</v>
      </c>
      <c r="W20" s="241">
        <v>60.0</v>
      </c>
      <c r="X20" s="245">
        <v>4.0</v>
      </c>
      <c r="Y20" s="241">
        <v>80.0</v>
      </c>
      <c r="Z20" s="247">
        <v>74.0909090909091</v>
      </c>
    </row>
    <row r="21" ht="11.25" customHeight="1">
      <c r="A21" s="235">
        <v>11.0</v>
      </c>
      <c r="B21" s="236" t="s">
        <v>349</v>
      </c>
      <c r="C21" s="237" t="s">
        <v>350</v>
      </c>
      <c r="D21" s="236">
        <v>11.0</v>
      </c>
      <c r="E21" s="238">
        <v>55.00000000000001</v>
      </c>
      <c r="F21" s="236">
        <v>14.0</v>
      </c>
      <c r="G21" s="239">
        <v>77.77777777777777</v>
      </c>
      <c r="H21" s="240">
        <v>12.0</v>
      </c>
      <c r="I21" s="241">
        <v>75.0</v>
      </c>
      <c r="J21" s="245">
        <v>10.0</v>
      </c>
      <c r="K21" s="244">
        <v>66.66666666666667</v>
      </c>
      <c r="L21" s="245">
        <v>5.0</v>
      </c>
      <c r="M21" s="244">
        <v>41.66666666666667</v>
      </c>
      <c r="N21" s="245">
        <v>6.0</v>
      </c>
      <c r="O21" s="241">
        <v>75.0</v>
      </c>
      <c r="P21" s="249">
        <v>3.0</v>
      </c>
      <c r="Q21" s="243">
        <v>100.0</v>
      </c>
      <c r="R21" s="244">
        <v>3.0</v>
      </c>
      <c r="S21" s="244">
        <v>100.0</v>
      </c>
      <c r="T21" s="245">
        <v>1.0</v>
      </c>
      <c r="U21" s="241">
        <v>25.0</v>
      </c>
      <c r="V21" s="246">
        <v>3.0</v>
      </c>
      <c r="W21" s="238">
        <v>60.0</v>
      </c>
      <c r="X21" s="246">
        <v>2.0</v>
      </c>
      <c r="Y21" s="238">
        <v>40.0</v>
      </c>
      <c r="Z21" s="247">
        <v>65.1010101010101</v>
      </c>
    </row>
    <row r="22" ht="24.0" customHeight="1">
      <c r="A22" s="251" t="s">
        <v>138</v>
      </c>
      <c r="B22" s="169"/>
      <c r="C22" s="75"/>
      <c r="D22" s="252" t="s">
        <v>351</v>
      </c>
      <c r="E22" s="75"/>
      <c r="F22" s="253" t="s">
        <v>352</v>
      </c>
      <c r="G22" s="75"/>
      <c r="H22" s="254" t="s">
        <v>353</v>
      </c>
      <c r="I22" s="255"/>
      <c r="J22" s="253" t="s">
        <v>354</v>
      </c>
      <c r="K22" s="75"/>
      <c r="L22" s="253" t="s">
        <v>141</v>
      </c>
      <c r="M22" s="75"/>
      <c r="N22" s="253" t="s">
        <v>355</v>
      </c>
      <c r="O22" s="75"/>
      <c r="P22" s="256" t="s">
        <v>356</v>
      </c>
      <c r="Q22" s="75"/>
      <c r="R22" s="253" t="s">
        <v>142</v>
      </c>
      <c r="S22" s="75"/>
      <c r="T22" s="253" t="s">
        <v>351</v>
      </c>
      <c r="U22" s="75"/>
      <c r="V22" s="253" t="s">
        <v>352</v>
      </c>
      <c r="W22" s="169"/>
      <c r="X22" s="253" t="s">
        <v>141</v>
      </c>
      <c r="Y22" s="75"/>
      <c r="Z22" s="257"/>
    </row>
    <row r="23" ht="11.25" customHeight="1">
      <c r="A23" s="76"/>
      <c r="B23" s="84"/>
      <c r="C23" s="77"/>
      <c r="D23" s="78"/>
      <c r="E23" s="78"/>
      <c r="F23" s="76"/>
      <c r="G23" s="76"/>
      <c r="H23" s="80"/>
      <c r="I23" s="80"/>
      <c r="J23" s="76"/>
      <c r="K23" s="12"/>
      <c r="L23" s="76"/>
      <c r="M23" s="12"/>
      <c r="N23" s="76"/>
      <c r="O23" s="12"/>
      <c r="P23" s="76"/>
      <c r="Q23" s="76"/>
      <c r="R23" s="76"/>
      <c r="S23" s="258"/>
      <c r="T23" s="76"/>
      <c r="U23" s="76"/>
      <c r="V23" s="76"/>
      <c r="W23" s="76"/>
      <c r="X23" s="222"/>
      <c r="Y23" s="12"/>
      <c r="Z23" s="259"/>
    </row>
    <row r="24" ht="29.25" customHeight="1">
      <c r="A24" s="84"/>
      <c r="B24" s="12"/>
      <c r="C24" s="84" t="s">
        <v>357</v>
      </c>
      <c r="D24" s="12"/>
      <c r="E24" s="12"/>
      <c r="F24" s="86"/>
      <c r="G24" s="2"/>
      <c r="H24" s="12"/>
      <c r="I24" s="88"/>
      <c r="J24" s="76"/>
      <c r="K24" s="76"/>
      <c r="L24" s="90" t="s">
        <v>147</v>
      </c>
      <c r="Q24" s="86"/>
      <c r="R24" s="86"/>
      <c r="S24" s="260"/>
      <c r="T24" s="86"/>
      <c r="U24" s="217"/>
      <c r="V24" s="90" t="s">
        <v>148</v>
      </c>
    </row>
    <row r="25" ht="11.2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ht="11.2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ht="11.2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ht="11.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11.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11.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11.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11.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11.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11.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11.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11.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11.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11.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11.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11.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11.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11.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11.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11.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11.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1.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1.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1.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1.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1.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1.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1.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1.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1.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1.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1.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1.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1.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1.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1.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1.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1.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1.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1.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1.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1.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1.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1.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1.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1.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1.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1.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1.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1.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1.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1.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1.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1.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1.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1.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1.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1.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1.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1.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1.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1.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1.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1.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1.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1.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1.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1.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1.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1.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1.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1.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1.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1.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1.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1.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1.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1.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1.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1.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1.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1.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1.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1.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1.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1.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1.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1.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1.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1.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1.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1.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1.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1.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1.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1.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1.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1.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1.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1.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1.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1.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1.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1.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1.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1.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1.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1.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1.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1.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1.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1.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1.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1.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1.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1.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1.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1.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1.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1.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1.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1.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1.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1.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H9:H10"/>
    <mergeCell ref="I9:I10"/>
    <mergeCell ref="J9:J10"/>
    <mergeCell ref="K9:K10"/>
    <mergeCell ref="U1:Z1"/>
    <mergeCell ref="A2:Z2"/>
    <mergeCell ref="A3:Z3"/>
    <mergeCell ref="A4:Z4"/>
    <mergeCell ref="X5:Z5"/>
    <mergeCell ref="A7:A10"/>
    <mergeCell ref="Z7:Z10"/>
    <mergeCell ref="B7:B10"/>
    <mergeCell ref="D8:E8"/>
    <mergeCell ref="C9:C10"/>
    <mergeCell ref="D9:D10"/>
    <mergeCell ref="E9:E10"/>
    <mergeCell ref="A22:C22"/>
    <mergeCell ref="D22:E22"/>
    <mergeCell ref="T22:U22"/>
    <mergeCell ref="V22:W22"/>
    <mergeCell ref="X22:Y22"/>
    <mergeCell ref="V24:Z24"/>
    <mergeCell ref="F22:G22"/>
    <mergeCell ref="H22:I22"/>
    <mergeCell ref="J22:K22"/>
    <mergeCell ref="L22:M22"/>
    <mergeCell ref="N22:O22"/>
    <mergeCell ref="P22:Q22"/>
    <mergeCell ref="R22:S22"/>
    <mergeCell ref="L24:P24"/>
    <mergeCell ref="L9:L10"/>
    <mergeCell ref="M9:M10"/>
    <mergeCell ref="N9:N10"/>
    <mergeCell ref="O9:O10"/>
    <mergeCell ref="P9:P10"/>
    <mergeCell ref="Q9:Q10"/>
    <mergeCell ref="R9:R10"/>
    <mergeCell ref="S9:S10"/>
    <mergeCell ref="T9:T10"/>
    <mergeCell ref="U9:U10"/>
    <mergeCell ref="V9:V10"/>
    <mergeCell ref="W9:W10"/>
    <mergeCell ref="X9:X10"/>
    <mergeCell ref="Y9:Y10"/>
  </mergeCells>
  <conditionalFormatting sqref="U21">
    <cfRule type="notContainsBlanks" dxfId="0" priority="1">
      <formula>LEN(TRIM(U21))&gt;0</formula>
    </cfRule>
  </conditionalFormatting>
  <printOptions/>
  <pageMargins bottom="0.0" footer="0.0" header="0.0" left="0.5" right="0.0" top="0.75"/>
  <pageSetup paperSize="9" scale="8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0.0"/>
    <col customWidth="1" min="3" max="3" width="17.63"/>
    <col customWidth="1" min="4" max="4" width="5.88"/>
    <col customWidth="1" min="5" max="5" width="3.88"/>
    <col customWidth="1" min="6" max="6" width="5.63"/>
    <col customWidth="1" min="7" max="7" width="3.88"/>
    <col customWidth="1" min="8" max="8" width="4.88"/>
    <col customWidth="1" min="9" max="9" width="3.88"/>
    <col customWidth="1" min="10" max="10" width="6.0"/>
    <col customWidth="1" min="11" max="11" width="4.13"/>
    <col customWidth="1" min="12" max="12" width="5.0"/>
    <col customWidth="1" min="13" max="13" width="3.88"/>
    <col customWidth="1" min="14" max="14" width="4.38"/>
    <col customWidth="1" min="15" max="16" width="5.13"/>
    <col customWidth="1" min="17" max="17" width="4.13"/>
    <col customWidth="1" min="18" max="18" width="4.5"/>
    <col customWidth="1" min="19" max="19" width="3.88"/>
    <col customWidth="1" min="20" max="20" width="5.38"/>
    <col customWidth="1" min="21" max="21" width="3.88"/>
    <col customWidth="1" min="22" max="22" width="5.13"/>
    <col customWidth="1" min="23" max="23" width="3.5"/>
    <col customWidth="1" min="24" max="24" width="6.13"/>
    <col customWidth="1" min="25" max="25" width="3.88"/>
    <col customWidth="1" min="26" max="26" width="6.63"/>
    <col customWidth="1" min="27" max="27" width="7.88"/>
  </cols>
  <sheetData>
    <row r="1" ht="11.25" customHeight="1">
      <c r="A1" s="1"/>
      <c r="B1" s="1"/>
      <c r="C1" s="2"/>
      <c r="D1" s="1"/>
      <c r="E1" s="1"/>
      <c r="F1" s="1"/>
      <c r="G1" s="1"/>
      <c r="H1" s="1"/>
      <c r="I1" s="1"/>
      <c r="J1" s="1"/>
      <c r="K1" s="1"/>
      <c r="L1" s="1"/>
      <c r="M1" s="1"/>
      <c r="N1" s="1"/>
      <c r="O1" s="1"/>
      <c r="P1" s="1"/>
      <c r="Q1" s="1"/>
      <c r="R1" s="1"/>
      <c r="S1" s="216"/>
      <c r="T1" s="1"/>
      <c r="U1" s="217" t="s">
        <v>309</v>
      </c>
    </row>
    <row r="2" ht="11.25" customHeight="1">
      <c r="A2" s="218" t="s">
        <v>292</v>
      </c>
    </row>
    <row r="3" ht="11.25" customHeight="1">
      <c r="A3" s="76" t="s">
        <v>310</v>
      </c>
    </row>
    <row r="4" ht="11.25" customHeight="1">
      <c r="A4" s="76" t="s">
        <v>311</v>
      </c>
    </row>
    <row r="5" ht="11.25" customHeight="1">
      <c r="A5" s="10"/>
      <c r="B5" s="219" t="s">
        <v>312</v>
      </c>
      <c r="D5" s="10"/>
      <c r="E5" s="10"/>
      <c r="F5" s="10"/>
      <c r="G5" s="10"/>
      <c r="H5" s="10"/>
      <c r="I5" s="10"/>
      <c r="J5" s="10"/>
      <c r="K5" s="11"/>
      <c r="L5" s="10"/>
      <c r="M5" s="10"/>
      <c r="N5" s="12"/>
      <c r="O5" s="12"/>
      <c r="P5" s="12"/>
      <c r="Q5" s="12"/>
      <c r="R5" s="12"/>
      <c r="S5" s="220"/>
      <c r="T5" s="16"/>
      <c r="U5" s="221"/>
      <c r="V5" s="16"/>
      <c r="W5" s="16"/>
      <c r="X5" s="222" t="s">
        <v>313</v>
      </c>
    </row>
    <row r="6" ht="11.25" customHeight="1">
      <c r="A6" s="10"/>
      <c r="B6" s="223" t="s">
        <v>314</v>
      </c>
      <c r="C6" s="10"/>
      <c r="D6" s="12"/>
      <c r="E6" s="10"/>
      <c r="F6" s="10"/>
      <c r="G6" s="10"/>
      <c r="H6" s="10"/>
      <c r="I6" s="10"/>
      <c r="J6" s="10"/>
      <c r="K6" s="11"/>
      <c r="L6" s="223" t="s">
        <v>315</v>
      </c>
      <c r="M6" s="10"/>
      <c r="N6" s="10"/>
      <c r="O6" s="223" t="s">
        <v>316</v>
      </c>
      <c r="P6" s="10"/>
      <c r="Q6" s="10"/>
      <c r="R6" s="10"/>
      <c r="S6" s="220"/>
      <c r="T6" s="16" t="s">
        <v>358</v>
      </c>
      <c r="U6" s="221"/>
      <c r="V6" s="16"/>
      <c r="W6" s="16"/>
      <c r="X6" s="16"/>
      <c r="Y6" s="16"/>
      <c r="Z6" s="16"/>
    </row>
    <row r="7" ht="11.25" customHeight="1">
      <c r="A7" s="224" t="s">
        <v>7</v>
      </c>
      <c r="B7" s="225" t="s">
        <v>8</v>
      </c>
      <c r="C7" s="226" t="s">
        <v>9</v>
      </c>
      <c r="D7" s="261">
        <v>20.0</v>
      </c>
      <c r="E7" s="5"/>
      <c r="F7" s="261">
        <v>18.0</v>
      </c>
      <c r="G7" s="5"/>
      <c r="H7" s="261">
        <v>16.0</v>
      </c>
      <c r="I7" s="5"/>
      <c r="J7" s="261">
        <v>16.0</v>
      </c>
      <c r="K7" s="5"/>
      <c r="L7" s="261">
        <v>12.0</v>
      </c>
      <c r="M7" s="5"/>
      <c r="N7" s="261">
        <v>8.0</v>
      </c>
      <c r="O7" s="5"/>
      <c r="P7" s="262"/>
      <c r="Q7" s="5"/>
      <c r="R7" s="261">
        <v>3.0</v>
      </c>
      <c r="S7" s="5"/>
      <c r="T7" s="261"/>
      <c r="U7" s="5"/>
      <c r="V7" s="261">
        <v>4.0</v>
      </c>
      <c r="W7" s="5"/>
      <c r="X7" s="261">
        <v>5.0</v>
      </c>
      <c r="Y7" s="5"/>
      <c r="Z7" s="263" t="s">
        <v>10</v>
      </c>
    </row>
    <row r="8" ht="22.5" customHeight="1">
      <c r="A8" s="28"/>
      <c r="B8" s="28"/>
      <c r="C8" s="226" t="s">
        <v>11</v>
      </c>
      <c r="D8" s="264" t="s">
        <v>318</v>
      </c>
      <c r="E8" s="5"/>
      <c r="F8" s="264" t="s">
        <v>319</v>
      </c>
      <c r="G8" s="5"/>
      <c r="H8" s="264" t="s">
        <v>320</v>
      </c>
      <c r="I8" s="5"/>
      <c r="J8" s="264" t="s">
        <v>321</v>
      </c>
      <c r="K8" s="5"/>
      <c r="L8" s="264" t="s">
        <v>322</v>
      </c>
      <c r="M8" s="5"/>
      <c r="N8" s="264" t="s">
        <v>323</v>
      </c>
      <c r="O8" s="5"/>
      <c r="P8" s="262" t="s">
        <v>324</v>
      </c>
      <c r="Q8" s="5"/>
      <c r="R8" s="264" t="s">
        <v>325</v>
      </c>
      <c r="S8" s="5"/>
      <c r="T8" s="264" t="s">
        <v>326</v>
      </c>
      <c r="U8" s="5"/>
      <c r="V8" s="264" t="s">
        <v>327</v>
      </c>
      <c r="W8" s="5"/>
      <c r="X8" s="264" t="s">
        <v>328</v>
      </c>
      <c r="Y8" s="5"/>
      <c r="Z8" s="28"/>
    </row>
    <row r="9" ht="11.25" customHeight="1">
      <c r="A9" s="28"/>
      <c r="B9" s="28"/>
      <c r="C9" s="224" t="s">
        <v>21</v>
      </c>
      <c r="D9" s="225" t="s">
        <v>22</v>
      </c>
      <c r="E9" s="225" t="s">
        <v>23</v>
      </c>
      <c r="F9" s="225" t="s">
        <v>22</v>
      </c>
      <c r="G9" s="225" t="s">
        <v>23</v>
      </c>
      <c r="H9" s="225" t="s">
        <v>22</v>
      </c>
      <c r="I9" s="265" t="s">
        <v>23</v>
      </c>
      <c r="J9" s="225" t="s">
        <v>22</v>
      </c>
      <c r="K9" s="225" t="s">
        <v>23</v>
      </c>
      <c r="L9" s="225" t="s">
        <v>22</v>
      </c>
      <c r="M9" s="225" t="s">
        <v>23</v>
      </c>
      <c r="N9" s="225" t="s">
        <v>22</v>
      </c>
      <c r="O9" s="225" t="s">
        <v>23</v>
      </c>
      <c r="P9" s="225" t="s">
        <v>22</v>
      </c>
      <c r="Q9" s="266" t="s">
        <v>23</v>
      </c>
      <c r="R9" s="266" t="s">
        <v>22</v>
      </c>
      <c r="S9" s="267" t="s">
        <v>23</v>
      </c>
      <c r="T9" s="266" t="s">
        <v>22</v>
      </c>
      <c r="U9" s="268" t="s">
        <v>23</v>
      </c>
      <c r="V9" s="269" t="s">
        <v>22</v>
      </c>
      <c r="W9" s="225" t="s">
        <v>23</v>
      </c>
      <c r="X9" s="225" t="s">
        <v>22</v>
      </c>
      <c r="Y9" s="225" t="s">
        <v>23</v>
      </c>
      <c r="Z9" s="28"/>
    </row>
    <row r="10" ht="11.2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ht="11.25" customHeight="1">
      <c r="A11" s="270">
        <v>1.0</v>
      </c>
      <c r="B11" s="236" t="s">
        <v>359</v>
      </c>
      <c r="C11" s="271" t="s">
        <v>360</v>
      </c>
      <c r="D11" s="236">
        <v>15.0</v>
      </c>
      <c r="E11" s="238">
        <v>75.0</v>
      </c>
      <c r="F11" s="236">
        <v>12.0</v>
      </c>
      <c r="G11" s="239">
        <v>66.66666666666667</v>
      </c>
      <c r="H11" s="240">
        <v>16.0</v>
      </c>
      <c r="I11" s="241">
        <v>100.0</v>
      </c>
      <c r="J11" s="236">
        <v>9.0</v>
      </c>
      <c r="K11" s="239">
        <v>60.0</v>
      </c>
      <c r="L11" s="236">
        <v>10.0</v>
      </c>
      <c r="M11" s="239">
        <v>83.33333333333334</v>
      </c>
      <c r="N11" s="236">
        <v>7.0</v>
      </c>
      <c r="O11" s="238">
        <v>88.0</v>
      </c>
      <c r="P11" s="242">
        <v>2.0</v>
      </c>
      <c r="Q11" s="243">
        <v>67.0</v>
      </c>
      <c r="R11" s="244">
        <v>2.0</v>
      </c>
      <c r="S11" s="244">
        <v>66.66666666666666</v>
      </c>
      <c r="T11" s="245">
        <v>3.0</v>
      </c>
      <c r="U11" s="241">
        <v>60.0</v>
      </c>
      <c r="V11" s="246">
        <v>3.0</v>
      </c>
      <c r="W11" s="238">
        <v>75.0</v>
      </c>
      <c r="X11" s="246">
        <v>4.0</v>
      </c>
      <c r="Y11" s="238">
        <v>80.0</v>
      </c>
      <c r="Z11" s="247">
        <v>74.69696969696969</v>
      </c>
    </row>
    <row r="12" ht="11.25" customHeight="1">
      <c r="A12" s="270">
        <v>2.0</v>
      </c>
      <c r="B12" s="236" t="s">
        <v>361</v>
      </c>
      <c r="C12" s="271" t="s">
        <v>362</v>
      </c>
      <c r="D12" s="236">
        <v>14.0</v>
      </c>
      <c r="E12" s="238">
        <v>70.0</v>
      </c>
      <c r="F12" s="236">
        <v>14.0</v>
      </c>
      <c r="G12" s="239">
        <v>77.77777777777777</v>
      </c>
      <c r="H12" s="240">
        <v>12.0</v>
      </c>
      <c r="I12" s="241">
        <v>75.0</v>
      </c>
      <c r="J12" s="272">
        <v>11.0</v>
      </c>
      <c r="K12" s="239">
        <v>73.33333333333334</v>
      </c>
      <c r="L12" s="236">
        <v>9.0</v>
      </c>
      <c r="M12" s="239">
        <v>75.0</v>
      </c>
      <c r="N12" s="236">
        <v>7.0</v>
      </c>
      <c r="O12" s="238">
        <v>88.0</v>
      </c>
      <c r="P12" s="242">
        <v>2.0</v>
      </c>
      <c r="Q12" s="243">
        <v>67.0</v>
      </c>
      <c r="R12" s="244">
        <v>3.0</v>
      </c>
      <c r="S12" s="244">
        <v>100.0</v>
      </c>
      <c r="T12" s="245">
        <v>5.0</v>
      </c>
      <c r="U12" s="241">
        <v>100.0</v>
      </c>
      <c r="V12" s="246">
        <v>3.0</v>
      </c>
      <c r="W12" s="238">
        <v>75.0</v>
      </c>
      <c r="X12" s="246">
        <v>3.0</v>
      </c>
      <c r="Y12" s="238">
        <v>60.0</v>
      </c>
      <c r="Z12" s="247">
        <v>78.28282828282828</v>
      </c>
    </row>
    <row r="13" ht="11.25" customHeight="1">
      <c r="A13" s="270">
        <v>3.0</v>
      </c>
      <c r="B13" s="236" t="s">
        <v>363</v>
      </c>
      <c r="C13" s="271" t="s">
        <v>364</v>
      </c>
      <c r="D13" s="236">
        <v>16.0</v>
      </c>
      <c r="E13" s="238">
        <v>80.0</v>
      </c>
      <c r="F13" s="236">
        <v>16.0</v>
      </c>
      <c r="G13" s="239">
        <v>88.88888888888889</v>
      </c>
      <c r="H13" s="241">
        <v>12.0</v>
      </c>
      <c r="I13" s="241">
        <v>75.0</v>
      </c>
      <c r="J13" s="245">
        <v>13.0</v>
      </c>
      <c r="K13" s="244">
        <v>86.66666666666667</v>
      </c>
      <c r="L13" s="245">
        <v>8.0</v>
      </c>
      <c r="M13" s="244">
        <v>66.66666666666666</v>
      </c>
      <c r="N13" s="245">
        <v>6.0</v>
      </c>
      <c r="O13" s="241">
        <v>75.0</v>
      </c>
      <c r="P13" s="249">
        <v>3.0</v>
      </c>
      <c r="Q13" s="250">
        <v>100.0</v>
      </c>
      <c r="R13" s="244">
        <v>3.0</v>
      </c>
      <c r="S13" s="244">
        <v>100.0</v>
      </c>
      <c r="T13" s="245">
        <v>3.0</v>
      </c>
      <c r="U13" s="241">
        <v>75.0</v>
      </c>
      <c r="V13" s="246">
        <v>4.0</v>
      </c>
      <c r="W13" s="238">
        <v>80.0</v>
      </c>
      <c r="X13" s="246">
        <v>4.0</v>
      </c>
      <c r="Y13" s="238">
        <v>80.0</v>
      </c>
      <c r="Z13" s="247">
        <v>82.47474747474747</v>
      </c>
    </row>
    <row r="14" ht="11.25" customHeight="1">
      <c r="A14" s="270">
        <v>4.0</v>
      </c>
      <c r="B14" s="236" t="s">
        <v>365</v>
      </c>
      <c r="C14" s="271" t="s">
        <v>366</v>
      </c>
      <c r="D14" s="236">
        <v>17.0</v>
      </c>
      <c r="E14" s="238">
        <v>85.0</v>
      </c>
      <c r="F14" s="236">
        <v>16.0</v>
      </c>
      <c r="G14" s="239">
        <v>88.88888888888889</v>
      </c>
      <c r="H14" s="241">
        <v>12.0</v>
      </c>
      <c r="I14" s="241">
        <v>75.0</v>
      </c>
      <c r="J14" s="245">
        <v>13.0</v>
      </c>
      <c r="K14" s="244">
        <v>86.66666666666667</v>
      </c>
      <c r="L14" s="245">
        <v>8.0</v>
      </c>
      <c r="M14" s="244">
        <v>66.66666666666666</v>
      </c>
      <c r="N14" s="245">
        <v>7.0</v>
      </c>
      <c r="O14" s="241">
        <v>88.0</v>
      </c>
      <c r="P14" s="249">
        <v>3.0</v>
      </c>
      <c r="Q14" s="243">
        <v>100.0</v>
      </c>
      <c r="R14" s="244">
        <v>3.0</v>
      </c>
      <c r="S14" s="244">
        <v>100.0</v>
      </c>
      <c r="T14" s="245">
        <v>3.0</v>
      </c>
      <c r="U14" s="241">
        <v>75.0</v>
      </c>
      <c r="V14" s="245">
        <v>4.0</v>
      </c>
      <c r="W14" s="241">
        <v>80.0</v>
      </c>
      <c r="X14" s="245">
        <v>2.0</v>
      </c>
      <c r="Y14" s="241">
        <v>40.0</v>
      </c>
      <c r="Z14" s="247">
        <v>80.47474747474747</v>
      </c>
    </row>
    <row r="15" ht="11.25" customHeight="1">
      <c r="A15" s="270">
        <v>5.0</v>
      </c>
      <c r="B15" s="236" t="s">
        <v>367</v>
      </c>
      <c r="C15" s="271" t="s">
        <v>368</v>
      </c>
      <c r="D15" s="236">
        <v>16.0</v>
      </c>
      <c r="E15" s="238">
        <v>80.0</v>
      </c>
      <c r="F15" s="236">
        <v>14.0</v>
      </c>
      <c r="G15" s="239">
        <v>77.77777777777777</v>
      </c>
      <c r="H15" s="240">
        <v>16.0</v>
      </c>
      <c r="I15" s="241">
        <v>100.0</v>
      </c>
      <c r="J15" s="245">
        <v>13.0</v>
      </c>
      <c r="K15" s="244">
        <v>86.66666666666667</v>
      </c>
      <c r="L15" s="245">
        <v>8.0</v>
      </c>
      <c r="M15" s="244">
        <v>66.66666666666666</v>
      </c>
      <c r="N15" s="245">
        <v>6.0</v>
      </c>
      <c r="O15" s="241">
        <v>75.0</v>
      </c>
      <c r="P15" s="249">
        <v>3.0</v>
      </c>
      <c r="Q15" s="243">
        <v>100.0</v>
      </c>
      <c r="R15" s="244">
        <v>3.0</v>
      </c>
      <c r="S15" s="244">
        <v>100.0</v>
      </c>
      <c r="T15" s="245">
        <v>3.0</v>
      </c>
      <c r="U15" s="241">
        <v>75.0</v>
      </c>
      <c r="V15" s="245">
        <v>5.0</v>
      </c>
      <c r="W15" s="241">
        <v>100.0</v>
      </c>
      <c r="X15" s="245">
        <v>3.0</v>
      </c>
      <c r="Y15" s="241">
        <v>60.0</v>
      </c>
      <c r="Z15" s="247">
        <v>83.73737373737373</v>
      </c>
    </row>
    <row r="16" ht="11.25" customHeight="1">
      <c r="A16" s="270">
        <v>6.0</v>
      </c>
      <c r="B16" s="236" t="s">
        <v>369</v>
      </c>
      <c r="C16" s="271" t="s">
        <v>370</v>
      </c>
      <c r="D16" s="236">
        <v>16.0</v>
      </c>
      <c r="E16" s="238">
        <v>80.0</v>
      </c>
      <c r="F16" s="236">
        <v>13.0</v>
      </c>
      <c r="G16" s="239">
        <v>72.22222222222223</v>
      </c>
      <c r="H16" s="240">
        <v>8.0</v>
      </c>
      <c r="I16" s="241">
        <v>50.0</v>
      </c>
      <c r="J16" s="245">
        <v>13.0</v>
      </c>
      <c r="K16" s="244">
        <v>86.66666666666667</v>
      </c>
      <c r="L16" s="245">
        <v>9.0</v>
      </c>
      <c r="M16" s="244">
        <v>75.0</v>
      </c>
      <c r="N16" s="245">
        <v>8.0</v>
      </c>
      <c r="O16" s="241">
        <v>100.0</v>
      </c>
      <c r="P16" s="249">
        <v>3.0</v>
      </c>
      <c r="Q16" s="243">
        <v>100.0</v>
      </c>
      <c r="R16" s="244">
        <v>3.0</v>
      </c>
      <c r="S16" s="244">
        <v>100.0</v>
      </c>
      <c r="T16" s="245">
        <v>4.0</v>
      </c>
      <c r="U16" s="241">
        <v>100.0</v>
      </c>
      <c r="V16" s="245">
        <v>3.0</v>
      </c>
      <c r="W16" s="241">
        <v>60.0</v>
      </c>
      <c r="X16" s="245">
        <v>2.0</v>
      </c>
      <c r="Y16" s="241">
        <v>40.0</v>
      </c>
      <c r="Z16" s="247">
        <v>78.53535353535354</v>
      </c>
    </row>
    <row r="17" ht="11.25" customHeight="1">
      <c r="A17" s="270">
        <v>7.0</v>
      </c>
      <c r="B17" s="236" t="s">
        <v>371</v>
      </c>
      <c r="C17" s="271" t="s">
        <v>372</v>
      </c>
      <c r="D17" s="236">
        <v>15.0</v>
      </c>
      <c r="E17" s="238">
        <v>75.0</v>
      </c>
      <c r="F17" s="236">
        <v>14.0</v>
      </c>
      <c r="G17" s="239">
        <v>77.77777777777777</v>
      </c>
      <c r="H17" s="240">
        <v>12.0</v>
      </c>
      <c r="I17" s="241">
        <v>75.0</v>
      </c>
      <c r="J17" s="245">
        <v>12.0</v>
      </c>
      <c r="K17" s="244">
        <v>80.0</v>
      </c>
      <c r="L17" s="245">
        <v>8.0</v>
      </c>
      <c r="M17" s="244">
        <v>66.66666666666666</v>
      </c>
      <c r="N17" s="245">
        <v>6.0</v>
      </c>
      <c r="O17" s="241">
        <v>75.0</v>
      </c>
      <c r="P17" s="249">
        <v>3.0</v>
      </c>
      <c r="Q17" s="243">
        <v>100.0</v>
      </c>
      <c r="R17" s="244">
        <v>3.0</v>
      </c>
      <c r="S17" s="244">
        <v>100.0</v>
      </c>
      <c r="T17" s="245">
        <v>4.0</v>
      </c>
      <c r="U17" s="241">
        <v>100.0</v>
      </c>
      <c r="V17" s="245">
        <v>3.0</v>
      </c>
      <c r="W17" s="241">
        <v>60.0</v>
      </c>
      <c r="X17" s="245">
        <v>5.0</v>
      </c>
      <c r="Y17" s="241">
        <v>100.0</v>
      </c>
      <c r="Z17" s="247">
        <v>82.67676767676768</v>
      </c>
    </row>
    <row r="18" ht="11.25" customHeight="1">
      <c r="A18" s="270">
        <v>9.0</v>
      </c>
      <c r="B18" s="236" t="s">
        <v>373</v>
      </c>
      <c r="C18" s="271" t="s">
        <v>374</v>
      </c>
      <c r="D18" s="236">
        <v>16.0</v>
      </c>
      <c r="E18" s="238">
        <v>80.0</v>
      </c>
      <c r="F18" s="236">
        <v>16.0</v>
      </c>
      <c r="G18" s="239">
        <v>88.88888888888889</v>
      </c>
      <c r="H18" s="240">
        <v>12.0</v>
      </c>
      <c r="I18" s="241">
        <v>75.0</v>
      </c>
      <c r="J18" s="245">
        <v>13.0</v>
      </c>
      <c r="K18" s="244">
        <v>86.66666666666667</v>
      </c>
      <c r="L18" s="245">
        <v>7.0</v>
      </c>
      <c r="M18" s="244">
        <v>58.333333333333336</v>
      </c>
      <c r="N18" s="245">
        <v>6.0</v>
      </c>
      <c r="O18" s="241">
        <v>75.0</v>
      </c>
      <c r="P18" s="249">
        <v>3.0</v>
      </c>
      <c r="Q18" s="243">
        <v>100.0</v>
      </c>
      <c r="R18" s="244">
        <v>3.0</v>
      </c>
      <c r="S18" s="244">
        <v>100.0</v>
      </c>
      <c r="T18" s="245">
        <v>4.0</v>
      </c>
      <c r="U18" s="241">
        <v>100.0</v>
      </c>
      <c r="V18" s="245">
        <v>3.0</v>
      </c>
      <c r="W18" s="241">
        <v>60.0</v>
      </c>
      <c r="X18" s="245">
        <v>4.0</v>
      </c>
      <c r="Y18" s="241">
        <v>80.0</v>
      </c>
      <c r="Z18" s="247">
        <v>82.17171717171718</v>
      </c>
    </row>
    <row r="19" ht="11.25" customHeight="1">
      <c r="A19" s="270">
        <v>10.0</v>
      </c>
      <c r="B19" s="236" t="s">
        <v>375</v>
      </c>
      <c r="C19" s="271" t="s">
        <v>376</v>
      </c>
      <c r="D19" s="236">
        <v>16.0</v>
      </c>
      <c r="E19" s="238">
        <v>80.0</v>
      </c>
      <c r="F19" s="236">
        <v>14.0</v>
      </c>
      <c r="G19" s="239">
        <v>77.77777777777777</v>
      </c>
      <c r="H19" s="240">
        <v>12.0</v>
      </c>
      <c r="I19" s="241">
        <v>75.0</v>
      </c>
      <c r="J19" s="245">
        <v>15.0</v>
      </c>
      <c r="K19" s="244">
        <v>100.0</v>
      </c>
      <c r="L19" s="245">
        <v>8.0</v>
      </c>
      <c r="M19" s="244">
        <v>66.66666666666666</v>
      </c>
      <c r="N19" s="245">
        <v>7.0</v>
      </c>
      <c r="O19" s="241">
        <v>88.0</v>
      </c>
      <c r="P19" s="249">
        <v>3.0</v>
      </c>
      <c r="Q19" s="243">
        <v>100.0</v>
      </c>
      <c r="R19" s="244">
        <v>3.0</v>
      </c>
      <c r="S19" s="244">
        <v>100.0</v>
      </c>
      <c r="T19" s="245">
        <v>3.0</v>
      </c>
      <c r="U19" s="241">
        <v>75.0</v>
      </c>
      <c r="V19" s="245">
        <v>4.0</v>
      </c>
      <c r="W19" s="241">
        <v>80.0</v>
      </c>
      <c r="X19" s="245">
        <v>4.0</v>
      </c>
      <c r="Y19" s="241">
        <v>80.0</v>
      </c>
      <c r="Z19" s="247">
        <v>83.85858585858585</v>
      </c>
    </row>
    <row r="20" ht="11.25" customHeight="1">
      <c r="A20" s="270">
        <v>11.0</v>
      </c>
      <c r="B20" s="236" t="s">
        <v>377</v>
      </c>
      <c r="C20" s="271" t="s">
        <v>378</v>
      </c>
      <c r="D20" s="236">
        <v>16.0</v>
      </c>
      <c r="E20" s="238">
        <v>80.0</v>
      </c>
      <c r="F20" s="236">
        <v>13.0</v>
      </c>
      <c r="G20" s="239">
        <v>72.22222222222223</v>
      </c>
      <c r="H20" s="240">
        <v>12.0</v>
      </c>
      <c r="I20" s="241">
        <v>75.0</v>
      </c>
      <c r="J20" s="245">
        <v>13.0</v>
      </c>
      <c r="K20" s="244">
        <v>86.66666666666667</v>
      </c>
      <c r="L20" s="245">
        <v>7.0</v>
      </c>
      <c r="M20" s="244">
        <v>58.333333333333336</v>
      </c>
      <c r="N20" s="245">
        <v>5.0</v>
      </c>
      <c r="O20" s="241">
        <v>63.0</v>
      </c>
      <c r="P20" s="249">
        <v>3.0</v>
      </c>
      <c r="Q20" s="243">
        <v>100.0</v>
      </c>
      <c r="R20" s="244">
        <v>2.0</v>
      </c>
      <c r="S20" s="244">
        <v>66.66666666666666</v>
      </c>
      <c r="T20" s="245">
        <v>4.0</v>
      </c>
      <c r="U20" s="241">
        <v>100.0</v>
      </c>
      <c r="V20" s="245">
        <v>3.0</v>
      </c>
      <c r="W20" s="241">
        <v>60.0</v>
      </c>
      <c r="X20" s="245">
        <v>4.0</v>
      </c>
      <c r="Y20" s="241">
        <v>80.0</v>
      </c>
      <c r="Z20" s="247">
        <v>76.53535353535352</v>
      </c>
    </row>
    <row r="21" ht="11.25" customHeight="1">
      <c r="A21" s="270">
        <v>12.0</v>
      </c>
      <c r="B21" s="236" t="s">
        <v>379</v>
      </c>
      <c r="C21" s="271" t="s">
        <v>380</v>
      </c>
      <c r="D21" s="236">
        <v>14.0</v>
      </c>
      <c r="E21" s="238">
        <v>70.0</v>
      </c>
      <c r="F21" s="236">
        <v>17.0</v>
      </c>
      <c r="G21" s="239">
        <v>94.44444444444444</v>
      </c>
      <c r="H21" s="240">
        <v>16.0</v>
      </c>
      <c r="I21" s="241">
        <v>100.0</v>
      </c>
      <c r="J21" s="245">
        <v>12.0</v>
      </c>
      <c r="K21" s="244">
        <v>80.0</v>
      </c>
      <c r="L21" s="245">
        <v>6.0</v>
      </c>
      <c r="M21" s="244">
        <v>50.0</v>
      </c>
      <c r="N21" s="245">
        <v>5.0</v>
      </c>
      <c r="O21" s="241">
        <v>63.0</v>
      </c>
      <c r="P21" s="249">
        <v>3.0</v>
      </c>
      <c r="Q21" s="243">
        <v>100.0</v>
      </c>
      <c r="R21" s="244">
        <v>3.0</v>
      </c>
      <c r="S21" s="244">
        <v>100.0</v>
      </c>
      <c r="T21" s="245">
        <v>4.0</v>
      </c>
      <c r="U21" s="241">
        <v>100.0</v>
      </c>
      <c r="V21" s="245">
        <v>3.0</v>
      </c>
      <c r="W21" s="241">
        <v>60.0</v>
      </c>
      <c r="X21" s="245">
        <v>4.0</v>
      </c>
      <c r="Y21" s="241">
        <v>80.0</v>
      </c>
      <c r="Z21" s="247">
        <v>81.58585858585859</v>
      </c>
    </row>
    <row r="22" ht="11.25" customHeight="1">
      <c r="A22" s="270">
        <v>13.0</v>
      </c>
      <c r="B22" s="236" t="s">
        <v>381</v>
      </c>
      <c r="C22" s="271" t="s">
        <v>382</v>
      </c>
      <c r="D22" s="245">
        <v>11.0</v>
      </c>
      <c r="E22" s="241">
        <v>55.00000000000001</v>
      </c>
      <c r="F22" s="245">
        <v>14.0</v>
      </c>
      <c r="G22" s="244">
        <v>77.77777777777777</v>
      </c>
      <c r="H22" s="241">
        <v>12.0</v>
      </c>
      <c r="I22" s="241">
        <v>75.0</v>
      </c>
      <c r="J22" s="245">
        <v>11.0</v>
      </c>
      <c r="K22" s="244">
        <v>73.33333333333334</v>
      </c>
      <c r="L22" s="245">
        <v>7.0</v>
      </c>
      <c r="M22" s="244">
        <v>58.333333333333336</v>
      </c>
      <c r="N22" s="245">
        <v>6.0</v>
      </c>
      <c r="O22" s="241">
        <v>75.0</v>
      </c>
      <c r="P22" s="249">
        <v>3.0</v>
      </c>
      <c r="Q22" s="243">
        <v>100.0</v>
      </c>
      <c r="R22" s="244">
        <v>3.0</v>
      </c>
      <c r="S22" s="244">
        <v>100.0</v>
      </c>
      <c r="T22" s="245">
        <v>3.0</v>
      </c>
      <c r="U22" s="241">
        <v>75.0</v>
      </c>
      <c r="V22" s="245">
        <v>3.0</v>
      </c>
      <c r="W22" s="241">
        <v>60.0</v>
      </c>
      <c r="X22" s="245">
        <v>4.0</v>
      </c>
      <c r="Y22" s="241">
        <v>80.0</v>
      </c>
      <c r="Z22" s="273">
        <v>75.4040404040404</v>
      </c>
    </row>
    <row r="23" ht="11.25" customHeight="1">
      <c r="A23" s="270">
        <v>14.0</v>
      </c>
      <c r="B23" s="236" t="s">
        <v>383</v>
      </c>
      <c r="C23" s="271" t="s">
        <v>384</v>
      </c>
      <c r="D23" s="245">
        <v>17.0</v>
      </c>
      <c r="E23" s="241">
        <v>85.0</v>
      </c>
      <c r="F23" s="245">
        <v>17.0</v>
      </c>
      <c r="G23" s="244">
        <v>94.44444444444444</v>
      </c>
      <c r="H23" s="241">
        <v>16.0</v>
      </c>
      <c r="I23" s="241">
        <v>100.0</v>
      </c>
      <c r="J23" s="245">
        <v>9.0</v>
      </c>
      <c r="K23" s="244">
        <v>60.0</v>
      </c>
      <c r="L23" s="245">
        <v>7.0</v>
      </c>
      <c r="M23" s="244">
        <v>58.333333333333336</v>
      </c>
      <c r="N23" s="245">
        <v>5.0</v>
      </c>
      <c r="O23" s="241">
        <v>63.0</v>
      </c>
      <c r="P23" s="249">
        <v>3.0</v>
      </c>
      <c r="Q23" s="243">
        <v>100.0</v>
      </c>
      <c r="R23" s="244">
        <v>3.0</v>
      </c>
      <c r="S23" s="244">
        <v>100.0</v>
      </c>
      <c r="T23" s="245">
        <v>4.0</v>
      </c>
      <c r="U23" s="241">
        <v>100.0</v>
      </c>
      <c r="V23" s="245">
        <v>3.0</v>
      </c>
      <c r="W23" s="241">
        <v>60.0</v>
      </c>
      <c r="X23" s="245">
        <v>5.0</v>
      </c>
      <c r="Y23" s="241">
        <v>100.0</v>
      </c>
      <c r="Z23" s="273">
        <v>83.70707070707071</v>
      </c>
    </row>
    <row r="24" ht="10.5" customHeight="1">
      <c r="A24" s="274">
        <v>15.0</v>
      </c>
      <c r="B24" s="275" t="s">
        <v>385</v>
      </c>
      <c r="C24" s="276" t="s">
        <v>386</v>
      </c>
      <c r="D24" s="277">
        <v>14.0</v>
      </c>
      <c r="E24" s="278">
        <v>70.0</v>
      </c>
      <c r="F24" s="277">
        <v>16.0</v>
      </c>
      <c r="G24" s="279">
        <v>88.88888888888889</v>
      </c>
      <c r="H24" s="278">
        <v>16.0</v>
      </c>
      <c r="I24" s="278">
        <v>100.0</v>
      </c>
      <c r="J24" s="277">
        <v>10.0</v>
      </c>
      <c r="K24" s="279">
        <v>66.66666666666667</v>
      </c>
      <c r="L24" s="280">
        <v>7.0</v>
      </c>
      <c r="M24" s="279">
        <v>58.333333333333336</v>
      </c>
      <c r="N24" s="277">
        <v>6.0</v>
      </c>
      <c r="O24" s="278">
        <v>75.0</v>
      </c>
      <c r="P24" s="281">
        <v>3.0</v>
      </c>
      <c r="Q24" s="282">
        <v>100.0</v>
      </c>
      <c r="R24" s="279">
        <v>3.0</v>
      </c>
      <c r="S24" s="279">
        <v>100.0</v>
      </c>
      <c r="T24" s="277">
        <v>2.0</v>
      </c>
      <c r="U24" s="278">
        <v>50.0</v>
      </c>
      <c r="V24" s="277">
        <v>3.0</v>
      </c>
      <c r="W24" s="278">
        <v>60.0</v>
      </c>
      <c r="X24" s="277">
        <v>4.0</v>
      </c>
      <c r="Y24" s="278">
        <v>80.0</v>
      </c>
      <c r="Z24" s="283">
        <v>77.17171717171718</v>
      </c>
    </row>
    <row r="25" ht="24.0" customHeight="1">
      <c r="A25" s="284" t="s">
        <v>138</v>
      </c>
      <c r="B25" s="4"/>
      <c r="C25" s="5"/>
      <c r="D25" s="252" t="s">
        <v>351</v>
      </c>
      <c r="E25" s="75"/>
      <c r="F25" s="253" t="s">
        <v>352</v>
      </c>
      <c r="G25" s="75"/>
      <c r="H25" s="254" t="s">
        <v>353</v>
      </c>
      <c r="I25" s="255"/>
      <c r="J25" s="253" t="s">
        <v>354</v>
      </c>
      <c r="K25" s="75"/>
      <c r="L25" s="253" t="s">
        <v>141</v>
      </c>
      <c r="M25" s="75"/>
      <c r="N25" s="253" t="s">
        <v>355</v>
      </c>
      <c r="O25" s="75"/>
      <c r="P25" s="256" t="s">
        <v>356</v>
      </c>
      <c r="Q25" s="75"/>
      <c r="R25" s="253" t="s">
        <v>142</v>
      </c>
      <c r="S25" s="75"/>
      <c r="T25" s="253" t="s">
        <v>351</v>
      </c>
      <c r="U25" s="75"/>
      <c r="V25" s="253" t="s">
        <v>352</v>
      </c>
      <c r="W25" s="169"/>
      <c r="X25" s="253" t="s">
        <v>141</v>
      </c>
      <c r="Y25" s="75"/>
      <c r="Z25" s="257"/>
    </row>
    <row r="26" ht="11.25" customHeight="1">
      <c r="A26" s="76"/>
      <c r="B26" s="84"/>
      <c r="C26" s="77"/>
      <c r="D26" s="78"/>
      <c r="E26" s="78"/>
      <c r="F26" s="76"/>
      <c r="G26" s="76"/>
      <c r="H26" s="80"/>
      <c r="I26" s="80"/>
      <c r="J26" s="76"/>
      <c r="K26" s="12"/>
      <c r="L26" s="76"/>
      <c r="M26" s="12"/>
      <c r="N26" s="76"/>
      <c r="O26" s="12"/>
      <c r="P26" s="76"/>
      <c r="Q26" s="76"/>
      <c r="R26" s="76"/>
      <c r="S26" s="258"/>
      <c r="T26" s="76"/>
      <c r="U26" s="76"/>
      <c r="V26" s="76"/>
      <c r="W26" s="76"/>
      <c r="X26" s="222"/>
      <c r="Y26" s="12"/>
      <c r="Z26" s="259"/>
    </row>
    <row r="27" ht="29.25" customHeight="1">
      <c r="A27" s="84"/>
      <c r="B27" s="12"/>
      <c r="C27" s="84" t="s">
        <v>357</v>
      </c>
      <c r="D27" s="12"/>
      <c r="E27" s="12"/>
      <c r="F27" s="86"/>
      <c r="G27" s="2"/>
      <c r="H27" s="12"/>
      <c r="I27" s="88"/>
      <c r="J27" s="76"/>
      <c r="K27" s="76"/>
      <c r="L27" s="90" t="s">
        <v>147</v>
      </c>
      <c r="Q27" s="86"/>
      <c r="R27" s="86"/>
      <c r="S27" s="260"/>
      <c r="T27" s="86"/>
      <c r="U27" s="217"/>
      <c r="V27" s="90" t="s">
        <v>148</v>
      </c>
    </row>
    <row r="28" ht="11.2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11.2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11.2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11.2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11.2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11.2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11.2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11.2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11.2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11.2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11.2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11.2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11.2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11.2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11.2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11.2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11.2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11.2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1.2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1.2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1.2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1.2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1.2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1.2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1.2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1.2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1.2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1.2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1.2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1.2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1.2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1.2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1.2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1.2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1.2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1.2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1.2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1.2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1.2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1.2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1.2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1.2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1.2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1.2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1.2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1.2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1.2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1.2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1.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1.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1.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1.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1.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1.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1.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1.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1.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1.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1.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1.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1.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1.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1.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1.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1.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1.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1.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1.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1.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1.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1.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1.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1.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1.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1.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1.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1.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1.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1.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1.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1.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1.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1.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1.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1.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1.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1.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1.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1.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1.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1.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1.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1.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1.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1.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1.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1.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1.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1.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1.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1.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1.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1.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1.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1.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1.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1.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1.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1.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1.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1.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1.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1.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1.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1.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1.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1.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1.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1.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1.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1.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1.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1.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1.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H9:H10"/>
    <mergeCell ref="I9:I10"/>
    <mergeCell ref="J9:J10"/>
    <mergeCell ref="K9:K10"/>
    <mergeCell ref="U1:Z1"/>
    <mergeCell ref="A2:Z2"/>
    <mergeCell ref="A3:Z3"/>
    <mergeCell ref="A4:Z4"/>
    <mergeCell ref="X5:Z5"/>
    <mergeCell ref="A7:A10"/>
    <mergeCell ref="Z7:Z10"/>
    <mergeCell ref="B7:B10"/>
    <mergeCell ref="D8:E8"/>
    <mergeCell ref="C9:C10"/>
    <mergeCell ref="D9:D10"/>
    <mergeCell ref="E9:E10"/>
    <mergeCell ref="A25:C25"/>
    <mergeCell ref="D25:E25"/>
    <mergeCell ref="T25:U25"/>
    <mergeCell ref="V25:W25"/>
    <mergeCell ref="X25:Y25"/>
    <mergeCell ref="V27:Z27"/>
    <mergeCell ref="F25:G25"/>
    <mergeCell ref="H25:I25"/>
    <mergeCell ref="J25:K25"/>
    <mergeCell ref="L25:M25"/>
    <mergeCell ref="N25:O25"/>
    <mergeCell ref="P25:Q25"/>
    <mergeCell ref="R25:S25"/>
    <mergeCell ref="L27:P27"/>
    <mergeCell ref="L9:L10"/>
    <mergeCell ref="M9:M10"/>
    <mergeCell ref="N9:N10"/>
    <mergeCell ref="O9:O10"/>
    <mergeCell ref="P9:P10"/>
    <mergeCell ref="Q9:Q10"/>
    <mergeCell ref="R9:R10"/>
    <mergeCell ref="S9:S10"/>
    <mergeCell ref="T9:T10"/>
    <mergeCell ref="U9:U10"/>
    <mergeCell ref="V9:V10"/>
    <mergeCell ref="W9:W10"/>
    <mergeCell ref="X9:X10"/>
    <mergeCell ref="Y9:Y10"/>
  </mergeCells>
  <conditionalFormatting sqref="U24">
    <cfRule type="notContainsBlanks" dxfId="0" priority="1">
      <formula>LEN(TRIM(U24))&gt;0</formula>
    </cfRule>
  </conditionalFormatting>
  <printOptions/>
  <pageMargins bottom="0.75" footer="0.0" header="0.0" left="0.75" right="0.0" top="0.75"/>
  <pageSetup paperSize="9" scale="8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1.13"/>
    <col customWidth="1" min="3" max="3" width="26.38"/>
    <col customWidth="1" min="4" max="8" width="3.88"/>
    <col customWidth="1" min="9" max="9" width="4.88"/>
    <col customWidth="1" min="10" max="16" width="3.88"/>
    <col customWidth="1" min="17" max="17" width="4.63"/>
    <col customWidth="1" min="18" max="22" width="3.88"/>
    <col customWidth="1" min="23" max="23" width="4.0"/>
    <col customWidth="1" min="24" max="24" width="3.88"/>
    <col customWidth="1" min="25" max="25" width="4.88"/>
    <col customWidth="1" min="26" max="26" width="5.5"/>
    <col customWidth="1" min="27" max="27" width="7.88"/>
  </cols>
  <sheetData>
    <row r="1" ht="11.25" customHeight="1">
      <c r="A1" s="285"/>
      <c r="B1" s="285"/>
      <c r="C1" s="285"/>
      <c r="D1" s="285"/>
      <c r="E1" s="285"/>
      <c r="F1" s="285"/>
      <c r="G1" s="285"/>
      <c r="H1" s="285"/>
      <c r="I1" s="285"/>
      <c r="J1" s="285"/>
      <c r="K1" s="285"/>
      <c r="L1" s="285"/>
      <c r="M1" s="285"/>
      <c r="N1" s="285"/>
      <c r="O1" s="285"/>
      <c r="P1" s="285"/>
      <c r="Q1" s="285"/>
      <c r="R1" s="285"/>
      <c r="S1" s="286"/>
      <c r="T1" s="285"/>
      <c r="U1" s="287" t="s">
        <v>309</v>
      </c>
    </row>
    <row r="2" ht="24.0" customHeight="1">
      <c r="A2" s="288" t="s">
        <v>292</v>
      </c>
    </row>
    <row r="3" ht="15.75" customHeight="1">
      <c r="A3" s="90" t="s">
        <v>310</v>
      </c>
    </row>
    <row r="4" ht="18.0" customHeight="1">
      <c r="A4" s="90" t="s">
        <v>311</v>
      </c>
    </row>
    <row r="5" ht="8.25" customHeight="1">
      <c r="A5" s="289"/>
      <c r="B5" s="290" t="s">
        <v>312</v>
      </c>
      <c r="D5" s="289"/>
      <c r="E5" s="289"/>
      <c r="F5" s="289"/>
      <c r="G5" s="289"/>
      <c r="H5" s="289"/>
      <c r="I5" s="289"/>
      <c r="J5" s="289"/>
      <c r="K5" s="291"/>
      <c r="L5" s="289"/>
      <c r="M5" s="289"/>
      <c r="N5" s="292"/>
      <c r="O5" s="292"/>
      <c r="P5" s="292"/>
      <c r="Q5" s="292"/>
      <c r="R5" s="292"/>
      <c r="S5" s="293"/>
      <c r="T5" s="90"/>
      <c r="U5" s="294"/>
      <c r="V5" s="90"/>
      <c r="W5" s="90"/>
      <c r="X5" s="295" t="s">
        <v>313</v>
      </c>
    </row>
    <row r="6" ht="8.25" customHeight="1">
      <c r="A6" s="289"/>
      <c r="B6" s="296" t="s">
        <v>314</v>
      </c>
      <c r="C6" s="289"/>
      <c r="D6" s="292"/>
      <c r="E6" s="289"/>
      <c r="F6" s="289"/>
      <c r="G6" s="289"/>
      <c r="H6" s="289"/>
      <c r="I6" s="289"/>
      <c r="J6" s="289"/>
      <c r="K6" s="291"/>
      <c r="L6" s="296" t="s">
        <v>315</v>
      </c>
      <c r="M6" s="289"/>
      <c r="N6" s="289"/>
      <c r="O6" s="296" t="s">
        <v>316</v>
      </c>
      <c r="P6" s="289"/>
      <c r="Q6" s="289"/>
      <c r="R6" s="289"/>
      <c r="S6" s="293"/>
      <c r="T6" s="90" t="s">
        <v>387</v>
      </c>
      <c r="U6" s="294"/>
      <c r="V6" s="90"/>
      <c r="W6" s="90"/>
      <c r="X6" s="90"/>
      <c r="Y6" s="90"/>
      <c r="Z6" s="90"/>
    </row>
    <row r="7" ht="11.25" customHeight="1">
      <c r="A7" s="297" t="s">
        <v>7</v>
      </c>
      <c r="B7" s="31" t="s">
        <v>8</v>
      </c>
      <c r="C7" s="298" t="s">
        <v>9</v>
      </c>
      <c r="D7" s="284">
        <v>20.0</v>
      </c>
      <c r="E7" s="5"/>
      <c r="F7" s="284">
        <v>18.0</v>
      </c>
      <c r="G7" s="5"/>
      <c r="H7" s="284">
        <v>16.0</v>
      </c>
      <c r="I7" s="5"/>
      <c r="J7" s="284">
        <v>16.0</v>
      </c>
      <c r="K7" s="5"/>
      <c r="L7" s="284">
        <v>12.0</v>
      </c>
      <c r="M7" s="5"/>
      <c r="N7" s="284">
        <v>8.0</v>
      </c>
      <c r="O7" s="5"/>
      <c r="P7" s="262">
        <v>3.0</v>
      </c>
      <c r="Q7" s="5"/>
      <c r="R7" s="284">
        <v>3.0</v>
      </c>
      <c r="S7" s="5"/>
      <c r="T7" s="284" t="s">
        <v>388</v>
      </c>
      <c r="U7" s="5"/>
      <c r="V7" s="284" t="s">
        <v>389</v>
      </c>
      <c r="W7" s="5"/>
      <c r="X7" s="284" t="s">
        <v>390</v>
      </c>
      <c r="Y7" s="5"/>
      <c r="Z7" s="24" t="s">
        <v>10</v>
      </c>
    </row>
    <row r="8" ht="23.25" customHeight="1">
      <c r="A8" s="28"/>
      <c r="B8" s="28"/>
      <c r="C8" s="298" t="s">
        <v>11</v>
      </c>
      <c r="D8" s="299" t="s">
        <v>318</v>
      </c>
      <c r="E8" s="5"/>
      <c r="F8" s="299" t="s">
        <v>319</v>
      </c>
      <c r="G8" s="5"/>
      <c r="H8" s="299" t="s">
        <v>320</v>
      </c>
      <c r="I8" s="5"/>
      <c r="J8" s="299" t="s">
        <v>321</v>
      </c>
      <c r="K8" s="5"/>
      <c r="L8" s="299" t="s">
        <v>322</v>
      </c>
      <c r="M8" s="5"/>
      <c r="N8" s="299" t="s">
        <v>323</v>
      </c>
      <c r="O8" s="5"/>
      <c r="P8" s="262" t="s">
        <v>324</v>
      </c>
      <c r="Q8" s="5"/>
      <c r="R8" s="299" t="s">
        <v>325</v>
      </c>
      <c r="S8" s="5"/>
      <c r="T8" s="299" t="s">
        <v>326</v>
      </c>
      <c r="U8" s="5"/>
      <c r="V8" s="299" t="s">
        <v>327</v>
      </c>
      <c r="W8" s="5"/>
      <c r="X8" s="299" t="s">
        <v>328</v>
      </c>
      <c r="Y8" s="5"/>
      <c r="Z8" s="28"/>
    </row>
    <row r="9" ht="5.25" customHeight="1">
      <c r="A9" s="28"/>
      <c r="B9" s="28"/>
      <c r="C9" s="297" t="s">
        <v>21</v>
      </c>
      <c r="D9" s="31" t="s">
        <v>22</v>
      </c>
      <c r="E9" s="31" t="s">
        <v>23</v>
      </c>
      <c r="F9" s="31" t="s">
        <v>22</v>
      </c>
      <c r="G9" s="31" t="s">
        <v>23</v>
      </c>
      <c r="H9" s="31" t="s">
        <v>22</v>
      </c>
      <c r="I9" s="32" t="s">
        <v>23</v>
      </c>
      <c r="J9" s="31" t="s">
        <v>22</v>
      </c>
      <c r="K9" s="31" t="s">
        <v>23</v>
      </c>
      <c r="L9" s="31" t="s">
        <v>22</v>
      </c>
      <c r="M9" s="31" t="s">
        <v>23</v>
      </c>
      <c r="N9" s="31" t="s">
        <v>22</v>
      </c>
      <c r="O9" s="31" t="s">
        <v>23</v>
      </c>
      <c r="P9" s="31" t="s">
        <v>22</v>
      </c>
      <c r="Q9" s="32" t="s">
        <v>23</v>
      </c>
      <c r="R9" s="32" t="s">
        <v>22</v>
      </c>
      <c r="S9" s="300" t="s">
        <v>23</v>
      </c>
      <c r="T9" s="32" t="s">
        <v>22</v>
      </c>
      <c r="U9" s="301" t="s">
        <v>23</v>
      </c>
      <c r="V9" s="31" t="s">
        <v>22</v>
      </c>
      <c r="W9" s="31" t="s">
        <v>23</v>
      </c>
      <c r="X9" s="31" t="s">
        <v>22</v>
      </c>
      <c r="Y9" s="31" t="s">
        <v>23</v>
      </c>
      <c r="Z9" s="28"/>
    </row>
    <row r="10" ht="8.25" customHeight="1">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28"/>
    </row>
    <row r="11" ht="9.75" customHeight="1">
      <c r="A11" s="302">
        <v>1.0</v>
      </c>
      <c r="B11" s="303" t="s">
        <v>391</v>
      </c>
      <c r="C11" s="304" t="s">
        <v>392</v>
      </c>
      <c r="D11" s="236">
        <v>19.0</v>
      </c>
      <c r="E11" s="236">
        <v>95.0</v>
      </c>
      <c r="F11" s="236">
        <v>18.0</v>
      </c>
      <c r="G11" s="305">
        <v>100.0</v>
      </c>
      <c r="H11" s="246">
        <v>16.0</v>
      </c>
      <c r="I11" s="245">
        <v>100.0</v>
      </c>
      <c r="J11" s="236">
        <v>14.0</v>
      </c>
      <c r="K11" s="305">
        <v>93.33333333333334</v>
      </c>
      <c r="L11" s="236">
        <v>11.0</v>
      </c>
      <c r="M11" s="305">
        <v>91.66666666666666</v>
      </c>
      <c r="N11" s="236">
        <v>8.0</v>
      </c>
      <c r="O11" s="236">
        <v>100.0</v>
      </c>
      <c r="P11" s="306">
        <v>3.0</v>
      </c>
      <c r="Q11" s="245">
        <v>100.0</v>
      </c>
      <c r="R11" s="307">
        <v>3.0</v>
      </c>
      <c r="S11" s="307">
        <v>100.0</v>
      </c>
      <c r="T11" s="245">
        <v>5.0</v>
      </c>
      <c r="U11" s="245">
        <v>100.0</v>
      </c>
      <c r="V11" s="246">
        <v>4.0</v>
      </c>
      <c r="W11" s="236">
        <v>100.0</v>
      </c>
      <c r="X11" s="246">
        <v>5.0</v>
      </c>
      <c r="Y11" s="236">
        <v>100.0</v>
      </c>
      <c r="Z11" s="273">
        <v>98.18181818181819</v>
      </c>
    </row>
    <row r="12" ht="9.75" customHeight="1">
      <c r="A12" s="302">
        <v>2.0</v>
      </c>
      <c r="B12" s="303" t="s">
        <v>393</v>
      </c>
      <c r="C12" s="304" t="s">
        <v>394</v>
      </c>
      <c r="D12" s="236">
        <v>18.0</v>
      </c>
      <c r="E12" s="236">
        <v>90.0</v>
      </c>
      <c r="F12" s="236">
        <v>18.0</v>
      </c>
      <c r="G12" s="305">
        <v>100.0</v>
      </c>
      <c r="H12" s="246">
        <v>16.0</v>
      </c>
      <c r="I12" s="245">
        <v>100.0</v>
      </c>
      <c r="J12" s="236">
        <v>14.0</v>
      </c>
      <c r="K12" s="305">
        <v>93.33333333333334</v>
      </c>
      <c r="L12" s="236">
        <v>10.0</v>
      </c>
      <c r="M12" s="305">
        <v>83.33333333333334</v>
      </c>
      <c r="N12" s="236">
        <v>7.0</v>
      </c>
      <c r="O12" s="236">
        <v>88.0</v>
      </c>
      <c r="P12" s="306">
        <v>3.0</v>
      </c>
      <c r="Q12" s="245">
        <v>100.0</v>
      </c>
      <c r="R12" s="307">
        <v>3.0</v>
      </c>
      <c r="S12" s="307">
        <v>100.0</v>
      </c>
      <c r="T12" s="245">
        <v>3.0</v>
      </c>
      <c r="U12" s="245">
        <v>60.0</v>
      </c>
      <c r="V12" s="246">
        <v>4.0</v>
      </c>
      <c r="W12" s="236">
        <v>100.0</v>
      </c>
      <c r="X12" s="246">
        <v>5.0</v>
      </c>
      <c r="Y12" s="236">
        <v>100.0</v>
      </c>
      <c r="Z12" s="273">
        <v>92.24242424242425</v>
      </c>
    </row>
    <row r="13" ht="9.75" customHeight="1">
      <c r="A13" s="302">
        <v>3.0</v>
      </c>
      <c r="B13" s="303" t="s">
        <v>395</v>
      </c>
      <c r="C13" s="304" t="s">
        <v>396</v>
      </c>
      <c r="D13" s="236">
        <v>18.0</v>
      </c>
      <c r="E13" s="236">
        <v>90.0</v>
      </c>
      <c r="F13" s="236">
        <v>17.0</v>
      </c>
      <c r="G13" s="305">
        <v>94.44444444444444</v>
      </c>
      <c r="H13" s="246">
        <v>12.0</v>
      </c>
      <c r="I13" s="245">
        <v>75.0</v>
      </c>
      <c r="J13" s="236">
        <v>14.0</v>
      </c>
      <c r="K13" s="305">
        <v>93.33333333333334</v>
      </c>
      <c r="L13" s="236">
        <v>12.0</v>
      </c>
      <c r="M13" s="305">
        <v>100.0</v>
      </c>
      <c r="N13" s="236">
        <v>7.0</v>
      </c>
      <c r="O13" s="236">
        <v>88.0</v>
      </c>
      <c r="P13" s="306">
        <v>2.0</v>
      </c>
      <c r="Q13" s="245">
        <v>67.0</v>
      </c>
      <c r="R13" s="307">
        <v>3.0</v>
      </c>
      <c r="S13" s="307">
        <v>100.0</v>
      </c>
      <c r="T13" s="245">
        <v>5.0</v>
      </c>
      <c r="U13" s="245">
        <v>100.0</v>
      </c>
      <c r="V13" s="246">
        <v>4.0</v>
      </c>
      <c r="W13" s="236">
        <v>100.0</v>
      </c>
      <c r="X13" s="246">
        <v>5.0</v>
      </c>
      <c r="Y13" s="236">
        <v>100.0</v>
      </c>
      <c r="Z13" s="273">
        <v>91.61616161616162</v>
      </c>
    </row>
    <row r="14" ht="9.75" customHeight="1">
      <c r="A14" s="302">
        <v>4.0</v>
      </c>
      <c r="B14" s="303" t="s">
        <v>397</v>
      </c>
      <c r="C14" s="308" t="s">
        <v>398</v>
      </c>
      <c r="D14" s="236">
        <v>19.0</v>
      </c>
      <c r="E14" s="236">
        <v>95.0</v>
      </c>
      <c r="F14" s="236">
        <v>17.0</v>
      </c>
      <c r="G14" s="305">
        <v>94.44444444444444</v>
      </c>
      <c r="H14" s="246">
        <v>16.0</v>
      </c>
      <c r="I14" s="245">
        <v>100.0</v>
      </c>
      <c r="J14" s="236">
        <v>15.0</v>
      </c>
      <c r="K14" s="305">
        <v>100.0</v>
      </c>
      <c r="L14" s="236">
        <v>10.0</v>
      </c>
      <c r="M14" s="305">
        <v>83.33333333333334</v>
      </c>
      <c r="N14" s="236">
        <v>7.0</v>
      </c>
      <c r="O14" s="236">
        <v>88.0</v>
      </c>
      <c r="P14" s="306">
        <v>3.0</v>
      </c>
      <c r="Q14" s="245">
        <v>100.0</v>
      </c>
      <c r="R14" s="307">
        <v>3.0</v>
      </c>
      <c r="S14" s="307">
        <v>100.0</v>
      </c>
      <c r="T14" s="245">
        <v>4.0</v>
      </c>
      <c r="U14" s="245">
        <v>80.0</v>
      </c>
      <c r="V14" s="246">
        <v>4.0</v>
      </c>
      <c r="W14" s="236">
        <v>100.0</v>
      </c>
      <c r="X14" s="246">
        <v>4.0</v>
      </c>
      <c r="Y14" s="236">
        <v>80.0</v>
      </c>
      <c r="Z14" s="273">
        <v>92.7979797979798</v>
      </c>
    </row>
    <row r="15" ht="9.75" customHeight="1">
      <c r="A15" s="302">
        <v>5.0</v>
      </c>
      <c r="B15" s="303" t="s">
        <v>399</v>
      </c>
      <c r="C15" s="304" t="s">
        <v>400</v>
      </c>
      <c r="D15" s="236">
        <v>16.0</v>
      </c>
      <c r="E15" s="236">
        <v>80.0</v>
      </c>
      <c r="F15" s="236">
        <v>16.0</v>
      </c>
      <c r="G15" s="305">
        <v>88.88888888888889</v>
      </c>
      <c r="H15" s="246">
        <v>16.0</v>
      </c>
      <c r="I15" s="245">
        <v>100.0</v>
      </c>
      <c r="J15" s="236">
        <v>13.0</v>
      </c>
      <c r="K15" s="305">
        <v>86.66666666666667</v>
      </c>
      <c r="L15" s="236">
        <v>11.0</v>
      </c>
      <c r="M15" s="305">
        <v>91.66666666666666</v>
      </c>
      <c r="N15" s="236">
        <v>5.0</v>
      </c>
      <c r="O15" s="236">
        <v>63.0</v>
      </c>
      <c r="P15" s="306">
        <v>3.0</v>
      </c>
      <c r="Q15" s="245">
        <v>100.0</v>
      </c>
      <c r="R15" s="307">
        <v>3.0</v>
      </c>
      <c r="S15" s="307">
        <v>100.0</v>
      </c>
      <c r="T15" s="245">
        <v>5.0</v>
      </c>
      <c r="U15" s="245">
        <v>100.0</v>
      </c>
      <c r="V15" s="246">
        <v>4.0</v>
      </c>
      <c r="W15" s="236">
        <v>100.0</v>
      </c>
      <c r="X15" s="246">
        <v>3.0</v>
      </c>
      <c r="Y15" s="236">
        <v>60.0</v>
      </c>
      <c r="Z15" s="273">
        <v>88.20202020202021</v>
      </c>
    </row>
    <row r="16" ht="9.75" customHeight="1">
      <c r="A16" s="302">
        <v>6.0</v>
      </c>
      <c r="B16" s="303" t="s">
        <v>401</v>
      </c>
      <c r="C16" s="304" t="s">
        <v>402</v>
      </c>
      <c r="D16" s="236">
        <v>17.0</v>
      </c>
      <c r="E16" s="236">
        <v>85.0</v>
      </c>
      <c r="F16" s="236">
        <v>15.0</v>
      </c>
      <c r="G16" s="305">
        <v>83.33333333333333</v>
      </c>
      <c r="H16" s="246">
        <v>12.0</v>
      </c>
      <c r="I16" s="245">
        <v>75.0</v>
      </c>
      <c r="J16" s="236">
        <v>15.0</v>
      </c>
      <c r="K16" s="305">
        <v>100.0</v>
      </c>
      <c r="L16" s="236">
        <v>8.0</v>
      </c>
      <c r="M16" s="305">
        <v>66.66666666666666</v>
      </c>
      <c r="N16" s="236">
        <v>7.0</v>
      </c>
      <c r="O16" s="236">
        <v>88.0</v>
      </c>
      <c r="P16" s="306">
        <v>3.0</v>
      </c>
      <c r="Q16" s="245">
        <v>100.0</v>
      </c>
      <c r="R16" s="307">
        <v>3.0</v>
      </c>
      <c r="S16" s="307">
        <v>100.0</v>
      </c>
      <c r="T16" s="245">
        <v>5.0</v>
      </c>
      <c r="U16" s="245">
        <v>100.0</v>
      </c>
      <c r="V16" s="246">
        <v>4.0</v>
      </c>
      <c r="W16" s="236">
        <v>100.0</v>
      </c>
      <c r="X16" s="246">
        <v>3.0</v>
      </c>
      <c r="Y16" s="236">
        <v>60.0</v>
      </c>
      <c r="Z16" s="273">
        <v>87.0909090909091</v>
      </c>
    </row>
    <row r="17" ht="9.75" customHeight="1">
      <c r="A17" s="302">
        <v>7.0</v>
      </c>
      <c r="B17" s="303" t="s">
        <v>403</v>
      </c>
      <c r="C17" s="304" t="s">
        <v>404</v>
      </c>
      <c r="D17" s="236">
        <v>19.0</v>
      </c>
      <c r="E17" s="236">
        <v>95.0</v>
      </c>
      <c r="F17" s="236">
        <v>17.0</v>
      </c>
      <c r="G17" s="305">
        <v>94.44444444444444</v>
      </c>
      <c r="H17" s="246">
        <v>16.0</v>
      </c>
      <c r="I17" s="245">
        <v>100.0</v>
      </c>
      <c r="J17" s="236">
        <v>16.0</v>
      </c>
      <c r="K17" s="305">
        <v>106.66666666666667</v>
      </c>
      <c r="L17" s="236">
        <v>10.0</v>
      </c>
      <c r="M17" s="305">
        <v>83.33333333333334</v>
      </c>
      <c r="N17" s="236">
        <v>7.0</v>
      </c>
      <c r="O17" s="236">
        <v>88.0</v>
      </c>
      <c r="P17" s="306">
        <v>3.0</v>
      </c>
      <c r="Q17" s="245">
        <v>100.0</v>
      </c>
      <c r="R17" s="307">
        <v>3.0</v>
      </c>
      <c r="S17" s="307">
        <v>100.0</v>
      </c>
      <c r="T17" s="245">
        <v>5.0</v>
      </c>
      <c r="U17" s="245">
        <v>100.0</v>
      </c>
      <c r="V17" s="246">
        <v>3.0</v>
      </c>
      <c r="W17" s="236">
        <v>75.0</v>
      </c>
      <c r="X17" s="246">
        <v>3.0</v>
      </c>
      <c r="Y17" s="236">
        <v>60.0</v>
      </c>
      <c r="Z17" s="273">
        <v>91.13131313131314</v>
      </c>
    </row>
    <row r="18" ht="9.75" customHeight="1">
      <c r="A18" s="302">
        <v>8.0</v>
      </c>
      <c r="B18" s="303" t="s">
        <v>405</v>
      </c>
      <c r="C18" s="304" t="s">
        <v>406</v>
      </c>
      <c r="D18" s="236">
        <v>17.0</v>
      </c>
      <c r="E18" s="236">
        <v>85.0</v>
      </c>
      <c r="F18" s="236">
        <v>18.0</v>
      </c>
      <c r="G18" s="305">
        <v>100.0</v>
      </c>
      <c r="H18" s="246">
        <v>16.0</v>
      </c>
      <c r="I18" s="246">
        <v>100.0</v>
      </c>
      <c r="J18" s="236">
        <v>13.0</v>
      </c>
      <c r="K18" s="305">
        <v>86.66666666666667</v>
      </c>
      <c r="L18" s="236">
        <v>8.0</v>
      </c>
      <c r="M18" s="305">
        <v>66.66666666666666</v>
      </c>
      <c r="N18" s="236">
        <v>6.0</v>
      </c>
      <c r="O18" s="236">
        <v>75.0</v>
      </c>
      <c r="P18" s="306">
        <v>3.0</v>
      </c>
      <c r="Q18" s="245">
        <v>100.0</v>
      </c>
      <c r="R18" s="307">
        <v>3.0</v>
      </c>
      <c r="S18" s="307">
        <v>100.0</v>
      </c>
      <c r="T18" s="245">
        <v>5.0</v>
      </c>
      <c r="U18" s="245">
        <v>100.0</v>
      </c>
      <c r="V18" s="246">
        <v>4.0</v>
      </c>
      <c r="W18" s="236">
        <v>100.0</v>
      </c>
      <c r="X18" s="246">
        <v>3.0</v>
      </c>
      <c r="Y18" s="236">
        <v>60.0</v>
      </c>
      <c r="Z18" s="273">
        <v>88.48484848484848</v>
      </c>
    </row>
    <row r="19" ht="9.75" customHeight="1">
      <c r="A19" s="302">
        <v>9.0</v>
      </c>
      <c r="B19" s="303" t="s">
        <v>407</v>
      </c>
      <c r="C19" s="308" t="s">
        <v>408</v>
      </c>
      <c r="D19" s="236">
        <v>16.0</v>
      </c>
      <c r="E19" s="236">
        <v>80.0</v>
      </c>
      <c r="F19" s="236">
        <v>18.0</v>
      </c>
      <c r="G19" s="305">
        <v>100.0</v>
      </c>
      <c r="H19" s="246">
        <v>16.0</v>
      </c>
      <c r="I19" s="246">
        <v>100.0</v>
      </c>
      <c r="J19" s="236">
        <v>13.0</v>
      </c>
      <c r="K19" s="305">
        <v>86.66666666666667</v>
      </c>
      <c r="L19" s="236">
        <v>8.0</v>
      </c>
      <c r="M19" s="305">
        <v>66.66666666666666</v>
      </c>
      <c r="N19" s="236">
        <v>6.0</v>
      </c>
      <c r="O19" s="236">
        <v>75.0</v>
      </c>
      <c r="P19" s="306">
        <v>3.0</v>
      </c>
      <c r="Q19" s="246">
        <v>100.0</v>
      </c>
      <c r="R19" s="307">
        <v>3.0</v>
      </c>
      <c r="S19" s="305">
        <v>100.0</v>
      </c>
      <c r="T19" s="246">
        <v>5.0</v>
      </c>
      <c r="U19" s="236">
        <v>100.0</v>
      </c>
      <c r="V19" s="246">
        <v>4.0</v>
      </c>
      <c r="W19" s="236">
        <v>100.0</v>
      </c>
      <c r="X19" s="246">
        <v>4.0</v>
      </c>
      <c r="Y19" s="236">
        <v>80.0</v>
      </c>
      <c r="Z19" s="273">
        <v>89.84848484848486</v>
      </c>
    </row>
    <row r="20" ht="9.75" customHeight="1">
      <c r="A20" s="302">
        <v>10.0</v>
      </c>
      <c r="B20" s="309" t="s">
        <v>409</v>
      </c>
      <c r="C20" s="304" t="s">
        <v>410</v>
      </c>
      <c r="D20" s="236">
        <v>17.0</v>
      </c>
      <c r="E20" s="236">
        <v>85.0</v>
      </c>
      <c r="F20" s="236">
        <v>18.0</v>
      </c>
      <c r="G20" s="305">
        <v>100.0</v>
      </c>
      <c r="H20" s="246">
        <v>16.0</v>
      </c>
      <c r="I20" s="246">
        <v>100.0</v>
      </c>
      <c r="J20" s="236">
        <v>13.0</v>
      </c>
      <c r="K20" s="305">
        <v>86.66666666666667</v>
      </c>
      <c r="L20" s="236">
        <v>7.0</v>
      </c>
      <c r="M20" s="305">
        <v>58.333333333333336</v>
      </c>
      <c r="N20" s="236">
        <v>6.0</v>
      </c>
      <c r="O20" s="236">
        <v>75.0</v>
      </c>
      <c r="P20" s="306">
        <v>3.0</v>
      </c>
      <c r="Q20" s="246">
        <v>100.0</v>
      </c>
      <c r="R20" s="307">
        <v>3.0</v>
      </c>
      <c r="S20" s="305">
        <v>100.0</v>
      </c>
      <c r="T20" s="246">
        <v>5.0</v>
      </c>
      <c r="U20" s="236">
        <v>100.0</v>
      </c>
      <c r="V20" s="246">
        <v>4.0</v>
      </c>
      <c r="W20" s="236">
        <v>100.0</v>
      </c>
      <c r="X20" s="246">
        <v>3.0</v>
      </c>
      <c r="Y20" s="236">
        <v>60.0</v>
      </c>
      <c r="Z20" s="273">
        <v>87.72727272727273</v>
      </c>
    </row>
    <row r="21" ht="9.75" customHeight="1">
      <c r="A21" s="310">
        <v>11.0</v>
      </c>
      <c r="B21" s="311" t="s">
        <v>411</v>
      </c>
      <c r="C21" s="304" t="s">
        <v>412</v>
      </c>
      <c r="D21" s="236">
        <v>20.0</v>
      </c>
      <c r="E21" s="236">
        <v>100.0</v>
      </c>
      <c r="F21" s="236">
        <v>18.0</v>
      </c>
      <c r="G21" s="305">
        <v>100.0</v>
      </c>
      <c r="H21" s="245">
        <v>16.0</v>
      </c>
      <c r="I21" s="245">
        <v>100.0</v>
      </c>
      <c r="J21" s="245">
        <v>13.0</v>
      </c>
      <c r="K21" s="307">
        <v>86.66666666666667</v>
      </c>
      <c r="L21" s="245">
        <v>12.0</v>
      </c>
      <c r="M21" s="307">
        <v>100.0</v>
      </c>
      <c r="N21" s="245">
        <v>8.0</v>
      </c>
      <c r="O21" s="245">
        <v>100.0</v>
      </c>
      <c r="P21" s="273">
        <v>3.0</v>
      </c>
      <c r="Q21" s="245">
        <v>100.0</v>
      </c>
      <c r="R21" s="307">
        <v>3.0</v>
      </c>
      <c r="S21" s="307">
        <v>100.0</v>
      </c>
      <c r="T21" s="245">
        <v>4.0</v>
      </c>
      <c r="U21" s="245">
        <v>100.0</v>
      </c>
      <c r="V21" s="246">
        <v>5.0</v>
      </c>
      <c r="W21" s="236">
        <v>100.0</v>
      </c>
      <c r="X21" s="246">
        <v>5.0</v>
      </c>
      <c r="Y21" s="236">
        <v>100.0</v>
      </c>
      <c r="Z21" s="273">
        <v>98.7878787878788</v>
      </c>
    </row>
    <row r="22" ht="9.75" customHeight="1">
      <c r="A22" s="310">
        <v>12.0</v>
      </c>
      <c r="B22" s="311" t="s">
        <v>413</v>
      </c>
      <c r="C22" s="308" t="s">
        <v>414</v>
      </c>
      <c r="D22" s="236">
        <v>15.0</v>
      </c>
      <c r="E22" s="236">
        <v>75.0</v>
      </c>
      <c r="F22" s="236">
        <v>17.0</v>
      </c>
      <c r="G22" s="305">
        <v>94.44444444444444</v>
      </c>
      <c r="H22" s="245">
        <v>16.0</v>
      </c>
      <c r="I22" s="245">
        <v>100.0</v>
      </c>
      <c r="J22" s="245">
        <v>12.0</v>
      </c>
      <c r="K22" s="307">
        <v>80.0</v>
      </c>
      <c r="L22" s="245">
        <v>7.0</v>
      </c>
      <c r="M22" s="307">
        <v>58.333333333333336</v>
      </c>
      <c r="N22" s="245">
        <v>6.0</v>
      </c>
      <c r="O22" s="245">
        <v>75.0</v>
      </c>
      <c r="P22" s="273">
        <v>3.0</v>
      </c>
      <c r="Q22" s="245">
        <v>100.0</v>
      </c>
      <c r="R22" s="307">
        <v>3.0</v>
      </c>
      <c r="S22" s="307">
        <v>100.0</v>
      </c>
      <c r="T22" s="245">
        <v>3.0</v>
      </c>
      <c r="U22" s="245">
        <v>75.0</v>
      </c>
      <c r="V22" s="246">
        <v>5.0</v>
      </c>
      <c r="W22" s="236">
        <v>100.0</v>
      </c>
      <c r="X22" s="246">
        <v>4.0</v>
      </c>
      <c r="Y22" s="236">
        <v>80.0</v>
      </c>
      <c r="Z22" s="273">
        <v>85.25252525252526</v>
      </c>
    </row>
    <row r="23" ht="9.75" customHeight="1">
      <c r="A23" s="310">
        <v>13.0</v>
      </c>
      <c r="B23" s="311" t="s">
        <v>415</v>
      </c>
      <c r="C23" s="304" t="s">
        <v>416</v>
      </c>
      <c r="D23" s="236">
        <v>18.0</v>
      </c>
      <c r="E23" s="236">
        <v>90.0</v>
      </c>
      <c r="F23" s="236">
        <v>15.0</v>
      </c>
      <c r="G23" s="305">
        <v>83.33333333333333</v>
      </c>
      <c r="H23" s="245">
        <v>16.0</v>
      </c>
      <c r="I23" s="245">
        <v>100.0</v>
      </c>
      <c r="J23" s="245">
        <v>14.0</v>
      </c>
      <c r="K23" s="307">
        <v>93.33333333333334</v>
      </c>
      <c r="L23" s="245">
        <v>8.0</v>
      </c>
      <c r="M23" s="307">
        <v>66.66666666666666</v>
      </c>
      <c r="N23" s="245">
        <v>7.0</v>
      </c>
      <c r="O23" s="245">
        <v>88.0</v>
      </c>
      <c r="P23" s="273">
        <v>3.0</v>
      </c>
      <c r="Q23" s="245">
        <v>100.0</v>
      </c>
      <c r="R23" s="307">
        <v>3.0</v>
      </c>
      <c r="S23" s="307">
        <v>100.0</v>
      </c>
      <c r="T23" s="245">
        <v>4.0</v>
      </c>
      <c r="U23" s="245">
        <v>100.0</v>
      </c>
      <c r="V23" s="246">
        <v>4.0</v>
      </c>
      <c r="W23" s="236">
        <v>80.0</v>
      </c>
      <c r="X23" s="246">
        <v>4.0</v>
      </c>
      <c r="Y23" s="236">
        <v>80.0</v>
      </c>
      <c r="Z23" s="273">
        <v>89.2121212121212</v>
      </c>
    </row>
    <row r="24" ht="9.75" customHeight="1">
      <c r="A24" s="310">
        <v>14.0</v>
      </c>
      <c r="B24" s="311" t="s">
        <v>417</v>
      </c>
      <c r="C24" s="304" t="s">
        <v>418</v>
      </c>
      <c r="D24" s="236">
        <v>20.0</v>
      </c>
      <c r="E24" s="236">
        <v>100.0</v>
      </c>
      <c r="F24" s="236">
        <v>18.0</v>
      </c>
      <c r="G24" s="305">
        <v>100.0</v>
      </c>
      <c r="H24" s="245">
        <v>16.0</v>
      </c>
      <c r="I24" s="245">
        <v>100.0</v>
      </c>
      <c r="J24" s="245">
        <v>15.0</v>
      </c>
      <c r="K24" s="307">
        <v>100.0</v>
      </c>
      <c r="L24" s="245">
        <v>12.0</v>
      </c>
      <c r="M24" s="307">
        <v>100.0</v>
      </c>
      <c r="N24" s="245">
        <v>8.0</v>
      </c>
      <c r="O24" s="245">
        <v>100.0</v>
      </c>
      <c r="P24" s="273">
        <v>3.0</v>
      </c>
      <c r="Q24" s="245">
        <v>100.0</v>
      </c>
      <c r="R24" s="307">
        <v>3.0</v>
      </c>
      <c r="S24" s="307">
        <v>100.0</v>
      </c>
      <c r="T24" s="245">
        <v>4.0</v>
      </c>
      <c r="U24" s="245">
        <v>100.0</v>
      </c>
      <c r="V24" s="246">
        <v>5.0</v>
      </c>
      <c r="W24" s="236">
        <v>100.0</v>
      </c>
      <c r="X24" s="246">
        <v>5.0</v>
      </c>
      <c r="Y24" s="236">
        <v>100.0</v>
      </c>
      <c r="Z24" s="273">
        <v>100.0</v>
      </c>
    </row>
    <row r="25" ht="9.75" customHeight="1">
      <c r="A25" s="310">
        <v>15.0</v>
      </c>
      <c r="B25" s="311" t="s">
        <v>419</v>
      </c>
      <c r="C25" s="304" t="s">
        <v>420</v>
      </c>
      <c r="D25" s="236">
        <v>15.0</v>
      </c>
      <c r="E25" s="236">
        <v>75.0</v>
      </c>
      <c r="F25" s="236">
        <v>16.0</v>
      </c>
      <c r="G25" s="305">
        <v>88.88888888888889</v>
      </c>
      <c r="H25" s="245">
        <v>12.0</v>
      </c>
      <c r="I25" s="245">
        <v>75.0</v>
      </c>
      <c r="J25" s="245">
        <v>14.0</v>
      </c>
      <c r="K25" s="307">
        <v>93.33333333333334</v>
      </c>
      <c r="L25" s="245">
        <v>9.0</v>
      </c>
      <c r="M25" s="307">
        <v>75.0</v>
      </c>
      <c r="N25" s="245">
        <v>7.0</v>
      </c>
      <c r="O25" s="245">
        <v>88.0</v>
      </c>
      <c r="P25" s="273">
        <v>3.0</v>
      </c>
      <c r="Q25" s="245">
        <v>100.0</v>
      </c>
      <c r="R25" s="307">
        <v>3.0</v>
      </c>
      <c r="S25" s="307">
        <v>100.0</v>
      </c>
      <c r="T25" s="245">
        <v>4.0</v>
      </c>
      <c r="U25" s="245">
        <v>100.0</v>
      </c>
      <c r="V25" s="246">
        <v>5.0</v>
      </c>
      <c r="W25" s="236">
        <v>100.0</v>
      </c>
      <c r="X25" s="246">
        <v>3.0</v>
      </c>
      <c r="Y25" s="236">
        <v>60.0</v>
      </c>
      <c r="Z25" s="273">
        <v>86.83838383838383</v>
      </c>
    </row>
    <row r="26" ht="9.75" customHeight="1">
      <c r="A26" s="310">
        <v>16.0</v>
      </c>
      <c r="B26" s="311" t="s">
        <v>421</v>
      </c>
      <c r="C26" s="304" t="s">
        <v>422</v>
      </c>
      <c r="D26" s="236">
        <v>17.0</v>
      </c>
      <c r="E26" s="236">
        <v>85.0</v>
      </c>
      <c r="F26" s="236">
        <v>18.0</v>
      </c>
      <c r="G26" s="305">
        <v>100.0</v>
      </c>
      <c r="H26" s="245">
        <v>16.0</v>
      </c>
      <c r="I26" s="245">
        <v>100.0</v>
      </c>
      <c r="J26" s="245">
        <v>13.0</v>
      </c>
      <c r="K26" s="307">
        <v>86.66666666666667</v>
      </c>
      <c r="L26" s="245">
        <v>7.0</v>
      </c>
      <c r="M26" s="307">
        <v>58.333333333333336</v>
      </c>
      <c r="N26" s="245">
        <v>6.0</v>
      </c>
      <c r="O26" s="245">
        <v>75.0</v>
      </c>
      <c r="P26" s="273">
        <v>3.0</v>
      </c>
      <c r="Q26" s="245">
        <v>100.0</v>
      </c>
      <c r="R26" s="307">
        <v>3.0</v>
      </c>
      <c r="S26" s="307">
        <v>100.0</v>
      </c>
      <c r="T26" s="245">
        <v>3.0</v>
      </c>
      <c r="U26" s="245">
        <v>75.0</v>
      </c>
      <c r="V26" s="246">
        <v>5.0</v>
      </c>
      <c r="W26" s="236">
        <v>100.0</v>
      </c>
      <c r="X26" s="246">
        <v>4.0</v>
      </c>
      <c r="Y26" s="236">
        <v>80.0</v>
      </c>
      <c r="Z26" s="273">
        <v>87.27272727272727</v>
      </c>
    </row>
    <row r="27" ht="9.75" customHeight="1">
      <c r="A27" s="310">
        <v>17.0</v>
      </c>
      <c r="B27" s="311" t="s">
        <v>423</v>
      </c>
      <c r="C27" s="304" t="s">
        <v>424</v>
      </c>
      <c r="D27" s="236">
        <v>15.0</v>
      </c>
      <c r="E27" s="236">
        <v>75.0</v>
      </c>
      <c r="F27" s="236">
        <v>17.0</v>
      </c>
      <c r="G27" s="305">
        <v>94.44444444444444</v>
      </c>
      <c r="H27" s="245">
        <v>16.0</v>
      </c>
      <c r="I27" s="245">
        <v>100.0</v>
      </c>
      <c r="J27" s="245">
        <v>13.0</v>
      </c>
      <c r="K27" s="307">
        <v>86.66666666666667</v>
      </c>
      <c r="L27" s="245">
        <v>8.0</v>
      </c>
      <c r="M27" s="307">
        <v>66.66666666666666</v>
      </c>
      <c r="N27" s="245">
        <v>6.0</v>
      </c>
      <c r="O27" s="245">
        <v>75.0</v>
      </c>
      <c r="P27" s="273">
        <v>3.0</v>
      </c>
      <c r="Q27" s="245">
        <v>100.0</v>
      </c>
      <c r="R27" s="307">
        <v>3.0</v>
      </c>
      <c r="S27" s="307">
        <v>100.0</v>
      </c>
      <c r="T27" s="245">
        <v>3.0</v>
      </c>
      <c r="U27" s="245">
        <v>75.0</v>
      </c>
      <c r="V27" s="246">
        <v>5.0</v>
      </c>
      <c r="W27" s="236">
        <v>100.0</v>
      </c>
      <c r="X27" s="246">
        <v>4.0</v>
      </c>
      <c r="Y27" s="236">
        <v>80.0</v>
      </c>
      <c r="Z27" s="273">
        <v>86.61616161616162</v>
      </c>
    </row>
    <row r="28" ht="9.75" customHeight="1">
      <c r="A28" s="310">
        <v>18.0</v>
      </c>
      <c r="B28" s="311" t="s">
        <v>425</v>
      </c>
      <c r="C28" s="304" t="s">
        <v>426</v>
      </c>
      <c r="D28" s="236">
        <v>18.0</v>
      </c>
      <c r="E28" s="236">
        <v>90.0</v>
      </c>
      <c r="F28" s="236">
        <v>17.0</v>
      </c>
      <c r="G28" s="305">
        <v>94.44444444444444</v>
      </c>
      <c r="H28" s="245">
        <v>16.0</v>
      </c>
      <c r="I28" s="245">
        <v>100.0</v>
      </c>
      <c r="J28" s="245">
        <v>15.0</v>
      </c>
      <c r="K28" s="307">
        <v>100.0</v>
      </c>
      <c r="L28" s="245">
        <v>10.0</v>
      </c>
      <c r="M28" s="307">
        <v>83.33333333333334</v>
      </c>
      <c r="N28" s="245">
        <v>7.0</v>
      </c>
      <c r="O28" s="245">
        <v>88.0</v>
      </c>
      <c r="P28" s="273">
        <v>3.0</v>
      </c>
      <c r="Q28" s="245">
        <v>100.0</v>
      </c>
      <c r="R28" s="307">
        <v>3.0</v>
      </c>
      <c r="S28" s="307">
        <v>100.0</v>
      </c>
      <c r="T28" s="245">
        <v>4.0</v>
      </c>
      <c r="U28" s="245">
        <v>100.0</v>
      </c>
      <c r="V28" s="245">
        <v>5.0</v>
      </c>
      <c r="W28" s="245">
        <v>100.0</v>
      </c>
      <c r="X28" s="245">
        <v>5.0</v>
      </c>
      <c r="Y28" s="245">
        <v>100.0</v>
      </c>
      <c r="Z28" s="273">
        <v>95.97979797979798</v>
      </c>
    </row>
    <row r="29" ht="9.75" customHeight="1">
      <c r="A29" s="312">
        <v>19.0</v>
      </c>
      <c r="B29" s="313" t="s">
        <v>427</v>
      </c>
      <c r="C29" s="314" t="s">
        <v>428</v>
      </c>
      <c r="D29" s="236">
        <v>18.0</v>
      </c>
      <c r="E29" s="236">
        <v>90.0</v>
      </c>
      <c r="F29" s="236">
        <v>16.0</v>
      </c>
      <c r="G29" s="305">
        <v>88.88888888888889</v>
      </c>
      <c r="H29" s="246">
        <v>16.0</v>
      </c>
      <c r="I29" s="245">
        <v>100.0</v>
      </c>
      <c r="J29" s="245">
        <v>14.0</v>
      </c>
      <c r="K29" s="307">
        <v>93.33333333333334</v>
      </c>
      <c r="L29" s="245">
        <v>9.0</v>
      </c>
      <c r="M29" s="307">
        <v>75.0</v>
      </c>
      <c r="N29" s="245">
        <v>7.0</v>
      </c>
      <c r="O29" s="245">
        <v>88.0</v>
      </c>
      <c r="P29" s="273">
        <v>3.0</v>
      </c>
      <c r="Q29" s="245">
        <v>100.0</v>
      </c>
      <c r="R29" s="307">
        <v>3.0</v>
      </c>
      <c r="S29" s="307">
        <v>100.0</v>
      </c>
      <c r="T29" s="245">
        <v>4.0</v>
      </c>
      <c r="U29" s="245">
        <v>100.0</v>
      </c>
      <c r="V29" s="245">
        <v>5.0</v>
      </c>
      <c r="W29" s="245">
        <v>100.0</v>
      </c>
      <c r="X29" s="245">
        <v>4.0</v>
      </c>
      <c r="Y29" s="245">
        <v>80.0</v>
      </c>
      <c r="Z29" s="273">
        <v>92.2929292929293</v>
      </c>
    </row>
    <row r="30" ht="9.75" customHeight="1">
      <c r="A30" s="302">
        <v>20.0</v>
      </c>
      <c r="B30" s="303" t="s">
        <v>429</v>
      </c>
      <c r="C30" s="304" t="s">
        <v>430</v>
      </c>
      <c r="D30" s="236">
        <v>17.0</v>
      </c>
      <c r="E30" s="236">
        <v>85.0</v>
      </c>
      <c r="F30" s="236">
        <v>16.0</v>
      </c>
      <c r="G30" s="305">
        <v>88.88888888888889</v>
      </c>
      <c r="H30" s="246">
        <v>16.0</v>
      </c>
      <c r="I30" s="245">
        <v>100.0</v>
      </c>
      <c r="J30" s="245">
        <v>15.0</v>
      </c>
      <c r="K30" s="307">
        <v>100.0</v>
      </c>
      <c r="L30" s="245">
        <v>9.0</v>
      </c>
      <c r="M30" s="307">
        <v>75.0</v>
      </c>
      <c r="N30" s="245">
        <v>7.0</v>
      </c>
      <c r="O30" s="245">
        <v>88.0</v>
      </c>
      <c r="P30" s="273">
        <v>3.0</v>
      </c>
      <c r="Q30" s="245">
        <v>100.0</v>
      </c>
      <c r="R30" s="307">
        <v>3.0</v>
      </c>
      <c r="S30" s="307">
        <v>100.0</v>
      </c>
      <c r="T30" s="245">
        <v>4.0</v>
      </c>
      <c r="U30" s="245">
        <v>100.0</v>
      </c>
      <c r="V30" s="245">
        <v>5.0</v>
      </c>
      <c r="W30" s="245">
        <v>100.0</v>
      </c>
      <c r="X30" s="245">
        <v>4.0</v>
      </c>
      <c r="Y30" s="245">
        <v>80.0</v>
      </c>
      <c r="Z30" s="273">
        <v>92.44444444444444</v>
      </c>
    </row>
    <row r="31" ht="9.75" customHeight="1">
      <c r="A31" s="302">
        <v>21.0</v>
      </c>
      <c r="B31" s="303" t="s">
        <v>431</v>
      </c>
      <c r="C31" s="304" t="s">
        <v>432</v>
      </c>
      <c r="D31" s="236">
        <v>16.0</v>
      </c>
      <c r="E31" s="236">
        <v>80.0</v>
      </c>
      <c r="F31" s="236">
        <v>14.0</v>
      </c>
      <c r="G31" s="305">
        <v>77.77777777777777</v>
      </c>
      <c r="H31" s="246">
        <v>16.0</v>
      </c>
      <c r="I31" s="245">
        <v>100.0</v>
      </c>
      <c r="J31" s="245">
        <v>12.0</v>
      </c>
      <c r="K31" s="307">
        <v>80.0</v>
      </c>
      <c r="L31" s="245">
        <v>9.0</v>
      </c>
      <c r="M31" s="307">
        <v>75.0</v>
      </c>
      <c r="N31" s="245">
        <v>7.0</v>
      </c>
      <c r="O31" s="245">
        <v>88.0</v>
      </c>
      <c r="P31" s="273">
        <v>3.0</v>
      </c>
      <c r="Q31" s="245">
        <v>100.0</v>
      </c>
      <c r="R31" s="307">
        <v>3.0</v>
      </c>
      <c r="S31" s="307">
        <v>100.0</v>
      </c>
      <c r="T31" s="245">
        <v>4.0</v>
      </c>
      <c r="U31" s="245">
        <v>100.0</v>
      </c>
      <c r="V31" s="245">
        <v>4.0</v>
      </c>
      <c r="W31" s="245">
        <v>80.0</v>
      </c>
      <c r="X31" s="245">
        <v>4.0</v>
      </c>
      <c r="Y31" s="245">
        <v>80.0</v>
      </c>
      <c r="Z31" s="273">
        <v>87.34343434343435</v>
      </c>
    </row>
    <row r="32" ht="9.75" customHeight="1">
      <c r="A32" s="302">
        <v>22.0</v>
      </c>
      <c r="B32" s="303" t="s">
        <v>433</v>
      </c>
      <c r="C32" s="308" t="s">
        <v>434</v>
      </c>
      <c r="D32" s="236">
        <v>17.0</v>
      </c>
      <c r="E32" s="236">
        <v>85.0</v>
      </c>
      <c r="F32" s="236">
        <v>17.0</v>
      </c>
      <c r="G32" s="305">
        <v>94.44444444444444</v>
      </c>
      <c r="H32" s="246">
        <v>16.0</v>
      </c>
      <c r="I32" s="245">
        <v>100.0</v>
      </c>
      <c r="J32" s="245">
        <v>16.0</v>
      </c>
      <c r="K32" s="307">
        <v>106.66666666666667</v>
      </c>
      <c r="L32" s="245">
        <v>10.0</v>
      </c>
      <c r="M32" s="307">
        <v>83.33333333333334</v>
      </c>
      <c r="N32" s="245">
        <v>7.0</v>
      </c>
      <c r="O32" s="245">
        <v>88.0</v>
      </c>
      <c r="P32" s="273">
        <v>3.0</v>
      </c>
      <c r="Q32" s="245">
        <v>100.0</v>
      </c>
      <c r="R32" s="307">
        <v>3.0</v>
      </c>
      <c r="S32" s="307">
        <v>100.0</v>
      </c>
      <c r="T32" s="245">
        <v>4.0</v>
      </c>
      <c r="U32" s="245">
        <v>100.0</v>
      </c>
      <c r="V32" s="245">
        <v>4.0</v>
      </c>
      <c r="W32" s="245">
        <v>80.0</v>
      </c>
      <c r="X32" s="245">
        <v>4.0</v>
      </c>
      <c r="Y32" s="245">
        <v>80.0</v>
      </c>
      <c r="Z32" s="273">
        <v>92.4949494949495</v>
      </c>
    </row>
    <row r="33" ht="9.75" customHeight="1">
      <c r="A33" s="302">
        <v>23.0</v>
      </c>
      <c r="B33" s="303" t="s">
        <v>435</v>
      </c>
      <c r="C33" s="304" t="s">
        <v>436</v>
      </c>
      <c r="D33" s="236">
        <v>17.0</v>
      </c>
      <c r="E33" s="236">
        <v>85.0</v>
      </c>
      <c r="F33" s="236">
        <v>15.0</v>
      </c>
      <c r="G33" s="305">
        <v>83.33333333333333</v>
      </c>
      <c r="H33" s="246">
        <v>16.0</v>
      </c>
      <c r="I33" s="245">
        <v>100.0</v>
      </c>
      <c r="J33" s="245">
        <v>13.0</v>
      </c>
      <c r="K33" s="307">
        <v>86.66666666666667</v>
      </c>
      <c r="L33" s="245">
        <v>9.0</v>
      </c>
      <c r="M33" s="307">
        <v>75.0</v>
      </c>
      <c r="N33" s="245">
        <v>7.0</v>
      </c>
      <c r="O33" s="245">
        <v>88.0</v>
      </c>
      <c r="P33" s="315">
        <v>3.0</v>
      </c>
      <c r="Q33" s="245">
        <v>100.0</v>
      </c>
      <c r="R33" s="307">
        <v>3.0</v>
      </c>
      <c r="S33" s="307">
        <v>100.0</v>
      </c>
      <c r="T33" s="245">
        <v>4.0</v>
      </c>
      <c r="U33" s="245">
        <v>100.0</v>
      </c>
      <c r="V33" s="245">
        <v>4.0</v>
      </c>
      <c r="W33" s="245">
        <v>80.0</v>
      </c>
      <c r="X33" s="245">
        <v>3.0</v>
      </c>
      <c r="Y33" s="245">
        <v>60.0</v>
      </c>
      <c r="Z33" s="273">
        <v>87.0909090909091</v>
      </c>
    </row>
    <row r="34" ht="9.75" customHeight="1">
      <c r="A34" s="302">
        <v>24.0</v>
      </c>
      <c r="B34" s="303" t="s">
        <v>437</v>
      </c>
      <c r="C34" s="304" t="s">
        <v>438</v>
      </c>
      <c r="D34" s="236">
        <v>15.0</v>
      </c>
      <c r="E34" s="236">
        <v>75.0</v>
      </c>
      <c r="F34" s="236">
        <v>16.0</v>
      </c>
      <c r="G34" s="305">
        <v>88.88888888888889</v>
      </c>
      <c r="H34" s="246">
        <v>16.0</v>
      </c>
      <c r="I34" s="245">
        <v>100.0</v>
      </c>
      <c r="J34" s="245">
        <v>14.0</v>
      </c>
      <c r="K34" s="307">
        <v>93.33333333333334</v>
      </c>
      <c r="L34" s="245">
        <v>9.0</v>
      </c>
      <c r="M34" s="307">
        <v>75.0</v>
      </c>
      <c r="N34" s="245">
        <v>7.0</v>
      </c>
      <c r="O34" s="245">
        <v>88.0</v>
      </c>
      <c r="P34" s="273">
        <v>3.0</v>
      </c>
      <c r="Q34" s="245">
        <v>100.0</v>
      </c>
      <c r="R34" s="307">
        <v>3.0</v>
      </c>
      <c r="S34" s="307">
        <v>100.0</v>
      </c>
      <c r="T34" s="245">
        <v>4.0</v>
      </c>
      <c r="U34" s="245">
        <v>100.0</v>
      </c>
      <c r="V34" s="245">
        <v>5.0</v>
      </c>
      <c r="W34" s="245">
        <v>100.0</v>
      </c>
      <c r="X34" s="245">
        <v>4.0</v>
      </c>
      <c r="Y34" s="245">
        <v>80.0</v>
      </c>
      <c r="Z34" s="273">
        <v>90.92929292929294</v>
      </c>
    </row>
    <row r="35" ht="9.75" customHeight="1">
      <c r="A35" s="302">
        <v>25.0</v>
      </c>
      <c r="B35" s="303" t="s">
        <v>439</v>
      </c>
      <c r="C35" s="304" t="s">
        <v>440</v>
      </c>
      <c r="D35" s="236">
        <v>19.0</v>
      </c>
      <c r="E35" s="236">
        <v>95.0</v>
      </c>
      <c r="F35" s="236">
        <v>17.0</v>
      </c>
      <c r="G35" s="305">
        <v>94.44444444444444</v>
      </c>
      <c r="H35" s="246">
        <v>16.0</v>
      </c>
      <c r="I35" s="245">
        <v>100.0</v>
      </c>
      <c r="J35" s="245">
        <v>16.0</v>
      </c>
      <c r="K35" s="307">
        <v>106.66666666666667</v>
      </c>
      <c r="L35" s="245">
        <v>10.0</v>
      </c>
      <c r="M35" s="307">
        <v>83.33333333333334</v>
      </c>
      <c r="N35" s="245">
        <v>7.0</v>
      </c>
      <c r="O35" s="245">
        <v>88.0</v>
      </c>
      <c r="P35" s="273">
        <v>3.0</v>
      </c>
      <c r="Q35" s="245">
        <v>100.0</v>
      </c>
      <c r="R35" s="307">
        <v>3.0</v>
      </c>
      <c r="S35" s="307">
        <v>100.0</v>
      </c>
      <c r="T35" s="245">
        <v>4.0</v>
      </c>
      <c r="U35" s="245">
        <v>100.0</v>
      </c>
      <c r="V35" s="245">
        <v>4.0</v>
      </c>
      <c r="W35" s="245">
        <v>80.0</v>
      </c>
      <c r="X35" s="245">
        <v>5.0</v>
      </c>
      <c r="Y35" s="245">
        <v>100.0</v>
      </c>
      <c r="Z35" s="273">
        <v>95.22222222222221</v>
      </c>
    </row>
    <row r="36" ht="9.75" customHeight="1">
      <c r="A36" s="302">
        <v>26.0</v>
      </c>
      <c r="B36" s="303" t="s">
        <v>441</v>
      </c>
      <c r="C36" s="304" t="s">
        <v>442</v>
      </c>
      <c r="D36" s="236">
        <v>19.0</v>
      </c>
      <c r="E36" s="236">
        <v>95.0</v>
      </c>
      <c r="F36" s="236">
        <v>17.0</v>
      </c>
      <c r="G36" s="305">
        <v>94.44444444444444</v>
      </c>
      <c r="H36" s="246">
        <v>16.0</v>
      </c>
      <c r="I36" s="245">
        <v>100.0</v>
      </c>
      <c r="J36" s="245">
        <v>13.0</v>
      </c>
      <c r="K36" s="307">
        <v>86.66666666666667</v>
      </c>
      <c r="L36" s="245">
        <v>10.0</v>
      </c>
      <c r="M36" s="307">
        <v>83.33333333333334</v>
      </c>
      <c r="N36" s="245">
        <v>8.0</v>
      </c>
      <c r="O36" s="245">
        <v>100.0</v>
      </c>
      <c r="P36" s="273">
        <v>3.0</v>
      </c>
      <c r="Q36" s="245">
        <v>100.0</v>
      </c>
      <c r="R36" s="307">
        <v>3.0</v>
      </c>
      <c r="S36" s="307">
        <v>100.0</v>
      </c>
      <c r="T36" s="245">
        <v>4.0</v>
      </c>
      <c r="U36" s="245">
        <v>100.0</v>
      </c>
      <c r="V36" s="245">
        <v>5.0</v>
      </c>
      <c r="W36" s="245">
        <v>100.0</v>
      </c>
      <c r="X36" s="245">
        <v>4.0</v>
      </c>
      <c r="Y36" s="245">
        <v>80.0</v>
      </c>
      <c r="Z36" s="273">
        <v>94.49494949494948</v>
      </c>
    </row>
    <row r="37" ht="9.75" customHeight="1">
      <c r="A37" s="302">
        <v>27.0</v>
      </c>
      <c r="B37" s="303" t="s">
        <v>443</v>
      </c>
      <c r="C37" s="308" t="s">
        <v>444</v>
      </c>
      <c r="D37" s="236">
        <v>19.0</v>
      </c>
      <c r="E37" s="236">
        <v>95.0</v>
      </c>
      <c r="F37" s="236">
        <v>17.0</v>
      </c>
      <c r="G37" s="305">
        <v>94.44444444444444</v>
      </c>
      <c r="H37" s="246">
        <v>16.0</v>
      </c>
      <c r="I37" s="245">
        <v>100.0</v>
      </c>
      <c r="J37" s="245">
        <v>15.0</v>
      </c>
      <c r="K37" s="307">
        <v>100.0</v>
      </c>
      <c r="L37" s="245">
        <v>10.0</v>
      </c>
      <c r="M37" s="307">
        <v>83.33333333333334</v>
      </c>
      <c r="N37" s="245">
        <v>6.0</v>
      </c>
      <c r="O37" s="245">
        <v>75.0</v>
      </c>
      <c r="P37" s="273">
        <v>3.0</v>
      </c>
      <c r="Q37" s="245">
        <v>100.0</v>
      </c>
      <c r="R37" s="307">
        <v>3.0</v>
      </c>
      <c r="S37" s="307">
        <v>100.0</v>
      </c>
      <c r="T37" s="245">
        <v>4.0</v>
      </c>
      <c r="U37" s="245">
        <v>100.0</v>
      </c>
      <c r="V37" s="245">
        <v>4.0</v>
      </c>
      <c r="W37" s="245">
        <v>80.0</v>
      </c>
      <c r="X37" s="245">
        <v>5.0</v>
      </c>
      <c r="Y37" s="245">
        <v>100.0</v>
      </c>
      <c r="Z37" s="273">
        <v>93.43434343434343</v>
      </c>
    </row>
    <row r="38" ht="9.75" customHeight="1">
      <c r="A38" s="302">
        <v>28.0</v>
      </c>
      <c r="B38" s="303" t="s">
        <v>445</v>
      </c>
      <c r="C38" s="304" t="s">
        <v>446</v>
      </c>
      <c r="D38" s="236">
        <v>19.0</v>
      </c>
      <c r="E38" s="236">
        <v>95.0</v>
      </c>
      <c r="F38" s="236">
        <v>17.0</v>
      </c>
      <c r="G38" s="305">
        <v>94.44444444444444</v>
      </c>
      <c r="H38" s="246">
        <v>16.0</v>
      </c>
      <c r="I38" s="245">
        <v>100.0</v>
      </c>
      <c r="J38" s="245">
        <v>15.0</v>
      </c>
      <c r="K38" s="307">
        <v>100.0</v>
      </c>
      <c r="L38" s="245">
        <v>12.0</v>
      </c>
      <c r="M38" s="307">
        <v>100.0</v>
      </c>
      <c r="N38" s="245">
        <v>8.0</v>
      </c>
      <c r="O38" s="245">
        <v>100.0</v>
      </c>
      <c r="P38" s="273">
        <v>3.0</v>
      </c>
      <c r="Q38" s="245">
        <v>100.0</v>
      </c>
      <c r="R38" s="307">
        <v>3.0</v>
      </c>
      <c r="S38" s="307">
        <v>100.0</v>
      </c>
      <c r="T38" s="245">
        <v>4.0</v>
      </c>
      <c r="U38" s="245">
        <v>100.0</v>
      </c>
      <c r="V38" s="245">
        <v>5.0</v>
      </c>
      <c r="W38" s="245">
        <v>100.0</v>
      </c>
      <c r="X38" s="245">
        <v>5.0</v>
      </c>
      <c r="Y38" s="245">
        <v>100.0</v>
      </c>
      <c r="Z38" s="273">
        <v>99.04040404040403</v>
      </c>
    </row>
    <row r="39" ht="9.75" customHeight="1">
      <c r="A39" s="302">
        <v>29.0</v>
      </c>
      <c r="B39" s="303" t="s">
        <v>447</v>
      </c>
      <c r="C39" s="308" t="s">
        <v>448</v>
      </c>
      <c r="D39" s="236">
        <v>17.0</v>
      </c>
      <c r="E39" s="236">
        <v>85.0</v>
      </c>
      <c r="F39" s="236">
        <v>17.0</v>
      </c>
      <c r="G39" s="305">
        <v>94.44444444444444</v>
      </c>
      <c r="H39" s="246">
        <v>12.0</v>
      </c>
      <c r="I39" s="245">
        <v>75.0</v>
      </c>
      <c r="J39" s="245">
        <v>15.0</v>
      </c>
      <c r="K39" s="307">
        <v>100.0</v>
      </c>
      <c r="L39" s="245">
        <v>10.0</v>
      </c>
      <c r="M39" s="307">
        <v>83.33333333333334</v>
      </c>
      <c r="N39" s="245">
        <v>6.0</v>
      </c>
      <c r="O39" s="245">
        <v>75.0</v>
      </c>
      <c r="P39" s="273">
        <v>3.0</v>
      </c>
      <c r="Q39" s="245">
        <v>100.0</v>
      </c>
      <c r="R39" s="307">
        <v>3.0</v>
      </c>
      <c r="S39" s="307">
        <v>100.0</v>
      </c>
      <c r="T39" s="245">
        <v>4.0</v>
      </c>
      <c r="U39" s="245">
        <v>100.0</v>
      </c>
      <c r="V39" s="245">
        <v>4.0</v>
      </c>
      <c r="W39" s="245">
        <v>80.0</v>
      </c>
      <c r="X39" s="245">
        <v>5.0</v>
      </c>
      <c r="Y39" s="245">
        <v>100.0</v>
      </c>
      <c r="Z39" s="273">
        <v>90.25252525252526</v>
      </c>
    </row>
    <row r="40" ht="9.75" customHeight="1">
      <c r="A40" s="302">
        <v>30.0</v>
      </c>
      <c r="B40" s="303" t="s">
        <v>449</v>
      </c>
      <c r="C40" s="304" t="s">
        <v>450</v>
      </c>
      <c r="D40" s="236">
        <v>19.0</v>
      </c>
      <c r="E40" s="236">
        <v>95.0</v>
      </c>
      <c r="F40" s="236">
        <v>17.0</v>
      </c>
      <c r="G40" s="305">
        <v>94.44444444444444</v>
      </c>
      <c r="H40" s="246">
        <v>16.0</v>
      </c>
      <c r="I40" s="245">
        <v>100.0</v>
      </c>
      <c r="J40" s="245">
        <v>15.0</v>
      </c>
      <c r="K40" s="307">
        <v>100.0</v>
      </c>
      <c r="L40" s="245">
        <v>11.0</v>
      </c>
      <c r="M40" s="307">
        <v>91.66666666666666</v>
      </c>
      <c r="N40" s="245">
        <v>8.0</v>
      </c>
      <c r="O40" s="245">
        <v>100.0</v>
      </c>
      <c r="P40" s="273">
        <v>3.0</v>
      </c>
      <c r="Q40" s="245">
        <v>100.0</v>
      </c>
      <c r="R40" s="307">
        <v>3.0</v>
      </c>
      <c r="S40" s="307">
        <v>100.0</v>
      </c>
      <c r="T40" s="245">
        <v>4.0</v>
      </c>
      <c r="U40" s="245">
        <v>100.0</v>
      </c>
      <c r="V40" s="245">
        <v>5.0</v>
      </c>
      <c r="W40" s="245">
        <v>100.0</v>
      </c>
      <c r="X40" s="245">
        <v>4.0</v>
      </c>
      <c r="Y40" s="245">
        <v>80.0</v>
      </c>
      <c r="Z40" s="273">
        <v>96.46464646464646</v>
      </c>
    </row>
    <row r="41" ht="9.75" customHeight="1">
      <c r="A41" s="302">
        <v>31.0</v>
      </c>
      <c r="B41" s="303" t="s">
        <v>451</v>
      </c>
      <c r="C41" s="304" t="s">
        <v>452</v>
      </c>
      <c r="D41" s="236">
        <v>20.0</v>
      </c>
      <c r="E41" s="236">
        <v>100.0</v>
      </c>
      <c r="F41" s="236">
        <v>18.0</v>
      </c>
      <c r="G41" s="305">
        <v>100.0</v>
      </c>
      <c r="H41" s="246">
        <v>16.0</v>
      </c>
      <c r="I41" s="245">
        <v>100.0</v>
      </c>
      <c r="J41" s="245">
        <v>13.0</v>
      </c>
      <c r="K41" s="307">
        <v>86.66666666666667</v>
      </c>
      <c r="L41" s="245">
        <v>12.0</v>
      </c>
      <c r="M41" s="307">
        <v>100.0</v>
      </c>
      <c r="N41" s="245">
        <v>8.0</v>
      </c>
      <c r="O41" s="245">
        <v>100.0</v>
      </c>
      <c r="P41" s="273">
        <v>3.0</v>
      </c>
      <c r="Q41" s="245">
        <v>100.0</v>
      </c>
      <c r="R41" s="307">
        <v>3.0</v>
      </c>
      <c r="S41" s="307">
        <v>100.0</v>
      </c>
      <c r="T41" s="245">
        <v>4.0</v>
      </c>
      <c r="U41" s="245">
        <v>100.0</v>
      </c>
      <c r="V41" s="245">
        <v>5.0</v>
      </c>
      <c r="W41" s="245">
        <v>100.0</v>
      </c>
      <c r="X41" s="245">
        <v>5.0</v>
      </c>
      <c r="Y41" s="245">
        <v>100.0</v>
      </c>
      <c r="Z41" s="273">
        <v>98.7878787878788</v>
      </c>
    </row>
    <row r="42" ht="9.75" customHeight="1">
      <c r="A42" s="302">
        <v>32.0</v>
      </c>
      <c r="B42" s="303" t="s">
        <v>453</v>
      </c>
      <c r="C42" s="304" t="s">
        <v>454</v>
      </c>
      <c r="D42" s="236">
        <v>16.0</v>
      </c>
      <c r="E42" s="236">
        <v>80.0</v>
      </c>
      <c r="F42" s="236">
        <v>15.0</v>
      </c>
      <c r="G42" s="305">
        <v>83.33333333333333</v>
      </c>
      <c r="H42" s="246">
        <v>16.0</v>
      </c>
      <c r="I42" s="245">
        <v>100.0</v>
      </c>
      <c r="J42" s="245">
        <v>10.0</v>
      </c>
      <c r="K42" s="307">
        <v>66.66666666666667</v>
      </c>
      <c r="L42" s="245">
        <v>9.0</v>
      </c>
      <c r="M42" s="307">
        <v>75.0</v>
      </c>
      <c r="N42" s="245">
        <v>8.0</v>
      </c>
      <c r="O42" s="245">
        <v>100.0</v>
      </c>
      <c r="P42" s="273">
        <v>3.0</v>
      </c>
      <c r="Q42" s="245">
        <v>100.0</v>
      </c>
      <c r="R42" s="307">
        <v>2.0</v>
      </c>
      <c r="S42" s="307">
        <v>66.66666666666666</v>
      </c>
      <c r="T42" s="245">
        <v>4.0</v>
      </c>
      <c r="U42" s="245">
        <v>100.0</v>
      </c>
      <c r="V42" s="245">
        <v>4.0</v>
      </c>
      <c r="W42" s="245">
        <v>80.0</v>
      </c>
      <c r="X42" s="245">
        <v>4.0</v>
      </c>
      <c r="Y42" s="245">
        <v>80.0</v>
      </c>
      <c r="Z42" s="273">
        <v>84.69696969696969</v>
      </c>
    </row>
    <row r="43" ht="9.75" customHeight="1">
      <c r="A43" s="302">
        <v>33.0</v>
      </c>
      <c r="B43" s="303" t="s">
        <v>455</v>
      </c>
      <c r="C43" s="304" t="s">
        <v>456</v>
      </c>
      <c r="D43" s="236">
        <v>20.0</v>
      </c>
      <c r="E43" s="236">
        <v>100.0</v>
      </c>
      <c r="F43" s="236">
        <v>18.0</v>
      </c>
      <c r="G43" s="305">
        <v>100.0</v>
      </c>
      <c r="H43" s="246">
        <v>16.0</v>
      </c>
      <c r="I43" s="245">
        <v>100.0</v>
      </c>
      <c r="J43" s="245">
        <v>15.0</v>
      </c>
      <c r="K43" s="307">
        <v>100.0</v>
      </c>
      <c r="L43" s="245">
        <v>12.0</v>
      </c>
      <c r="M43" s="307">
        <v>100.0</v>
      </c>
      <c r="N43" s="245">
        <v>8.0</v>
      </c>
      <c r="O43" s="245">
        <v>100.0</v>
      </c>
      <c r="P43" s="273">
        <v>3.0</v>
      </c>
      <c r="Q43" s="245">
        <v>100.0</v>
      </c>
      <c r="R43" s="307">
        <v>3.0</v>
      </c>
      <c r="S43" s="307">
        <v>100.0</v>
      </c>
      <c r="T43" s="245">
        <v>4.0</v>
      </c>
      <c r="U43" s="245">
        <v>100.0</v>
      </c>
      <c r="V43" s="245">
        <v>5.0</v>
      </c>
      <c r="W43" s="245">
        <v>100.0</v>
      </c>
      <c r="X43" s="245">
        <v>5.0</v>
      </c>
      <c r="Y43" s="245">
        <v>100.0</v>
      </c>
      <c r="Z43" s="273">
        <v>100.0</v>
      </c>
    </row>
    <row r="44" ht="9.75" customHeight="1">
      <c r="A44" s="302">
        <v>34.0</v>
      </c>
      <c r="B44" s="303" t="s">
        <v>457</v>
      </c>
      <c r="C44" s="304" t="s">
        <v>458</v>
      </c>
      <c r="D44" s="236">
        <v>19.0</v>
      </c>
      <c r="E44" s="236">
        <v>95.0</v>
      </c>
      <c r="F44" s="236">
        <v>17.0</v>
      </c>
      <c r="G44" s="305">
        <v>94.44444444444444</v>
      </c>
      <c r="H44" s="246">
        <v>16.0</v>
      </c>
      <c r="I44" s="245">
        <v>100.0</v>
      </c>
      <c r="J44" s="245">
        <v>14.0</v>
      </c>
      <c r="K44" s="307">
        <v>93.33333333333334</v>
      </c>
      <c r="L44" s="245">
        <v>11.0</v>
      </c>
      <c r="M44" s="307">
        <v>91.66666666666666</v>
      </c>
      <c r="N44" s="245">
        <v>8.0</v>
      </c>
      <c r="O44" s="245">
        <v>100.0</v>
      </c>
      <c r="P44" s="273">
        <v>3.0</v>
      </c>
      <c r="Q44" s="245">
        <v>100.0</v>
      </c>
      <c r="R44" s="307">
        <v>3.0</v>
      </c>
      <c r="S44" s="307">
        <v>100.0</v>
      </c>
      <c r="T44" s="245">
        <v>4.0</v>
      </c>
      <c r="U44" s="245">
        <v>100.0</v>
      </c>
      <c r="V44" s="246">
        <v>4.0</v>
      </c>
      <c r="W44" s="236">
        <v>80.0</v>
      </c>
      <c r="X44" s="246">
        <v>5.0</v>
      </c>
      <c r="Y44" s="236">
        <v>100.0</v>
      </c>
      <c r="Z44" s="273">
        <v>95.85858585858585</v>
      </c>
    </row>
    <row r="45" ht="9.75" customHeight="1">
      <c r="A45" s="316">
        <v>35.0</v>
      </c>
      <c r="B45" s="309" t="s">
        <v>459</v>
      </c>
      <c r="C45" s="317" t="s">
        <v>460</v>
      </c>
      <c r="D45" s="236">
        <v>18.0</v>
      </c>
      <c r="E45" s="236">
        <v>90.0</v>
      </c>
      <c r="F45" s="236">
        <v>16.0</v>
      </c>
      <c r="G45" s="305">
        <v>88.88888888888889</v>
      </c>
      <c r="H45" s="246">
        <v>16.0</v>
      </c>
      <c r="I45" s="245">
        <v>100.0</v>
      </c>
      <c r="J45" s="245">
        <v>13.0</v>
      </c>
      <c r="K45" s="307">
        <v>86.66666666666667</v>
      </c>
      <c r="L45" s="245">
        <v>9.0</v>
      </c>
      <c r="M45" s="307">
        <v>75.0</v>
      </c>
      <c r="N45" s="245">
        <v>7.0</v>
      </c>
      <c r="O45" s="245">
        <v>88.0</v>
      </c>
      <c r="P45" s="273">
        <v>3.0</v>
      </c>
      <c r="Q45" s="245">
        <v>100.0</v>
      </c>
      <c r="R45" s="307">
        <v>3.0</v>
      </c>
      <c r="S45" s="307">
        <v>100.0</v>
      </c>
      <c r="T45" s="245">
        <v>4.0</v>
      </c>
      <c r="U45" s="245">
        <v>100.0</v>
      </c>
      <c r="V45" s="246">
        <v>4.0</v>
      </c>
      <c r="W45" s="236">
        <v>80.0</v>
      </c>
      <c r="X45" s="246">
        <v>5.0</v>
      </c>
      <c r="Y45" s="236">
        <v>100.0</v>
      </c>
      <c r="Z45" s="273">
        <v>91.68686868686869</v>
      </c>
    </row>
    <row r="46" ht="16.5" customHeight="1">
      <c r="A46" s="284" t="s">
        <v>138</v>
      </c>
      <c r="B46" s="4"/>
      <c r="C46" s="5"/>
      <c r="D46" s="318" t="s">
        <v>351</v>
      </c>
      <c r="E46" s="75"/>
      <c r="F46" s="319" t="s">
        <v>352</v>
      </c>
      <c r="G46" s="75"/>
      <c r="H46" s="320" t="s">
        <v>353</v>
      </c>
      <c r="I46" s="255"/>
      <c r="J46" s="319" t="s">
        <v>354</v>
      </c>
      <c r="K46" s="75"/>
      <c r="L46" s="319" t="s">
        <v>141</v>
      </c>
      <c r="M46" s="75"/>
      <c r="N46" s="319" t="s">
        <v>355</v>
      </c>
      <c r="O46" s="75"/>
      <c r="P46" s="321" t="s">
        <v>356</v>
      </c>
      <c r="Q46" s="75"/>
      <c r="R46" s="319" t="s">
        <v>142</v>
      </c>
      <c r="S46" s="75"/>
      <c r="T46" s="319" t="s">
        <v>351</v>
      </c>
      <c r="U46" s="75"/>
      <c r="V46" s="319" t="s">
        <v>352</v>
      </c>
      <c r="W46" s="169"/>
      <c r="X46" s="319" t="s">
        <v>141</v>
      </c>
      <c r="Y46" s="75"/>
      <c r="Z46" s="257"/>
    </row>
    <row r="47" ht="11.25" customHeight="1">
      <c r="A47" s="90"/>
      <c r="B47" s="84"/>
      <c r="C47" s="77"/>
      <c r="D47" s="322"/>
      <c r="E47" s="322"/>
      <c r="F47" s="90"/>
      <c r="G47" s="90"/>
      <c r="H47" s="323"/>
      <c r="I47" s="323"/>
      <c r="J47" s="90"/>
      <c r="K47" s="292"/>
      <c r="L47" s="90"/>
      <c r="M47" s="292"/>
      <c r="N47" s="90"/>
      <c r="O47" s="292"/>
      <c r="P47" s="90"/>
      <c r="Q47" s="90"/>
      <c r="R47" s="90"/>
      <c r="S47" s="293"/>
      <c r="T47" s="90"/>
      <c r="U47" s="90"/>
      <c r="V47" s="90"/>
      <c r="W47" s="90"/>
      <c r="X47" s="295"/>
      <c r="Y47" s="292"/>
      <c r="Z47" s="324"/>
    </row>
    <row r="48" ht="29.25" customHeight="1">
      <c r="A48" s="84"/>
      <c r="B48" s="292"/>
      <c r="C48" s="84" t="s">
        <v>357</v>
      </c>
      <c r="D48" s="292"/>
      <c r="E48" s="292"/>
      <c r="F48" s="295"/>
      <c r="G48" s="285"/>
      <c r="H48" s="292"/>
      <c r="I48" s="325"/>
      <c r="J48" s="90"/>
      <c r="K48" s="90"/>
      <c r="L48" s="90" t="s">
        <v>147</v>
      </c>
      <c r="Q48" s="295"/>
      <c r="R48" s="295"/>
      <c r="S48" s="326"/>
      <c r="T48" s="295"/>
      <c r="U48" s="287"/>
      <c r="V48" s="90" t="s">
        <v>148</v>
      </c>
    </row>
    <row r="49" ht="11.25" customHeight="1">
      <c r="A49" s="292"/>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c r="AA49" s="292"/>
    </row>
    <row r="50" ht="11.25" customHeight="1">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92"/>
      <c r="AA50" s="292"/>
    </row>
    <row r="51" ht="11.25" customHeight="1">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c r="AA51" s="292"/>
    </row>
    <row r="52" ht="11.25" customHeight="1">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c r="AA52" s="292"/>
    </row>
    <row r="53" ht="11.25" customHeight="1">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c r="AA53" s="292"/>
    </row>
    <row r="54" ht="11.25" customHeight="1">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c r="AA54" s="292"/>
    </row>
    <row r="55" ht="11.25" customHeight="1">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c r="AA55" s="292"/>
    </row>
    <row r="56" ht="11.25" customHeight="1">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c r="AA56" s="292"/>
    </row>
    <row r="57" ht="11.25" customHeight="1">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c r="AA57" s="292"/>
    </row>
    <row r="58" ht="11.25" customHeight="1">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c r="AA58" s="292"/>
    </row>
    <row r="59" ht="11.25" customHeight="1">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c r="AA59" s="292"/>
    </row>
    <row r="60" ht="11.25" customHeight="1">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c r="AA60" s="292"/>
    </row>
    <row r="61" ht="11.25" customHeight="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c r="AA61" s="292"/>
    </row>
    <row r="62" ht="11.25" customHeight="1">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c r="AA62" s="292"/>
    </row>
    <row r="63" ht="11.25" customHeight="1">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c r="AA63" s="292"/>
    </row>
    <row r="64" ht="11.25" customHeight="1">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c r="AA64" s="292"/>
    </row>
    <row r="65" ht="11.25" customHeight="1">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c r="AA65" s="292"/>
    </row>
    <row r="66" ht="11.25" customHeight="1">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c r="AA66" s="292"/>
    </row>
    <row r="67" ht="11.25" customHeight="1">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c r="AA67" s="292"/>
    </row>
    <row r="68" ht="11.25" customHeight="1">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c r="AA68" s="292"/>
    </row>
    <row r="69" ht="11.25" customHeight="1">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c r="AA69" s="292"/>
    </row>
    <row r="70" ht="11.25" customHeight="1">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c r="AA70" s="292"/>
    </row>
    <row r="71" ht="11.25" customHeight="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c r="AA71" s="292"/>
    </row>
    <row r="72" ht="11.25" customHeight="1">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row>
    <row r="73" ht="11.25" customHeight="1">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c r="AA73" s="292"/>
    </row>
    <row r="74" ht="11.25" customHeight="1">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c r="AA74" s="292"/>
    </row>
    <row r="75" ht="11.25" customHeight="1">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c r="AA75" s="292"/>
    </row>
    <row r="76" ht="11.25" customHeight="1">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c r="AA76" s="292"/>
    </row>
    <row r="77" ht="11.25" customHeight="1">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c r="AA77" s="292"/>
    </row>
    <row r="78" ht="11.25" customHeight="1">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c r="AA78" s="292"/>
    </row>
    <row r="79" ht="11.25" customHeight="1">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c r="AA79" s="292"/>
    </row>
    <row r="80" ht="11.25" customHeight="1">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row>
    <row r="81" ht="11.25" customHeight="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row>
    <row r="82" ht="11.25" customHeight="1">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row>
    <row r="83" ht="11.25" customHeight="1">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row>
    <row r="84" ht="11.25" customHeight="1">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row>
    <row r="85" ht="11.25" customHeight="1">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row>
    <row r="86" ht="11.25" customHeight="1">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row>
    <row r="87" ht="11.25" customHeight="1">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row>
    <row r="88" ht="11.25" customHeight="1">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row>
    <row r="89" ht="11.25" customHeight="1">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c r="AA89" s="292"/>
    </row>
    <row r="90" ht="11.25" customHeight="1">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c r="AA90" s="292"/>
    </row>
    <row r="91" ht="11.25" customHeight="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c r="AA91" s="292"/>
    </row>
    <row r="92" ht="11.25" customHeight="1">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c r="AA92" s="292"/>
    </row>
    <row r="93" ht="11.25" customHeight="1">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c r="AA93" s="292"/>
    </row>
    <row r="94" ht="11.25" customHeight="1">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c r="AA94" s="292"/>
    </row>
    <row r="95" ht="11.25" customHeight="1">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c r="AA95" s="292"/>
    </row>
    <row r="96" ht="11.25" customHeight="1">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row>
    <row r="97" ht="11.25" customHeight="1">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c r="AA97" s="292"/>
    </row>
    <row r="98" ht="11.25" customHeight="1">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c r="AA98" s="292"/>
    </row>
    <row r="99" ht="11.25" customHeight="1">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c r="AA99" s="292"/>
    </row>
    <row r="100" ht="11.25" customHeight="1">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c r="AA100" s="292"/>
    </row>
    <row r="101" ht="11.25" customHeight="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c r="AA101" s="292"/>
    </row>
    <row r="102" ht="11.25" customHeight="1">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row>
    <row r="103" ht="11.25" customHeight="1">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c r="AA103" s="292"/>
    </row>
    <row r="104" ht="11.25" customHeight="1">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c r="AA104" s="292"/>
    </row>
    <row r="105" ht="11.25" customHeight="1">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c r="AA105" s="292"/>
    </row>
    <row r="106" ht="11.25" customHeight="1">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c r="AA106" s="292"/>
    </row>
    <row r="107" ht="11.25" customHeight="1">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c r="AA107" s="292"/>
    </row>
    <row r="108" ht="11.25" customHeight="1">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c r="AA108" s="292"/>
    </row>
    <row r="109" ht="11.25" customHeight="1">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c r="AA109" s="292"/>
    </row>
    <row r="110" ht="11.25" customHeight="1">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c r="AA110" s="292"/>
    </row>
    <row r="111" ht="11.25" customHeight="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c r="AA111" s="292"/>
    </row>
    <row r="112" ht="11.25" customHeight="1">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c r="AA112" s="292"/>
    </row>
    <row r="113" ht="11.25" customHeight="1">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c r="AA113" s="292"/>
    </row>
    <row r="114" ht="11.25" customHeight="1">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c r="AA114" s="292"/>
    </row>
    <row r="115" ht="11.25" customHeight="1">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c r="AA115" s="292"/>
    </row>
    <row r="116" ht="11.25" customHeight="1">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c r="AA116" s="292"/>
    </row>
    <row r="117" ht="11.25" customHeight="1">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c r="AA117" s="292"/>
    </row>
    <row r="118" ht="11.25" customHeight="1">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c r="AA118" s="292"/>
    </row>
    <row r="119" ht="11.25" customHeight="1">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c r="AA119" s="292"/>
    </row>
    <row r="120" ht="11.25" customHeight="1">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c r="AA120" s="292"/>
    </row>
    <row r="121" ht="11.25" customHeight="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c r="AA121" s="292"/>
    </row>
    <row r="122" ht="11.25" customHeight="1">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row>
    <row r="123" ht="11.25" customHeight="1">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c r="AA123" s="292"/>
    </row>
    <row r="124" ht="11.25" customHeight="1">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c r="AA124" s="292"/>
    </row>
    <row r="125" ht="11.25" customHeight="1">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c r="AA125" s="292"/>
    </row>
    <row r="126" ht="11.25" customHeight="1">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c r="AA126" s="292"/>
    </row>
    <row r="127" ht="11.25" customHeight="1">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c r="AA127" s="292"/>
    </row>
    <row r="128" ht="11.25" customHeight="1">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row>
    <row r="129" ht="11.25" customHeight="1">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c r="AA129" s="292"/>
    </row>
    <row r="130" ht="11.25" customHeight="1">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c r="AA130" s="292"/>
    </row>
    <row r="131" ht="11.25" customHeight="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c r="AA131" s="292"/>
    </row>
    <row r="132" ht="11.25" customHeight="1">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row>
    <row r="133" ht="11.25" customHeight="1">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c r="AA133" s="292"/>
    </row>
    <row r="134" ht="11.25" customHeight="1">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c r="AA134" s="292"/>
    </row>
    <row r="135" ht="11.25" customHeight="1">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c r="AA135" s="292"/>
    </row>
    <row r="136" ht="11.25" customHeight="1">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c r="AA136" s="292"/>
    </row>
    <row r="137" ht="11.25" customHeight="1">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c r="AA137" s="292"/>
    </row>
    <row r="138" ht="11.25" customHeight="1">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c r="AA138" s="292"/>
    </row>
    <row r="139" ht="11.25" customHeight="1">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c r="AA139" s="292"/>
    </row>
    <row r="140" ht="11.25" customHeight="1">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c r="AA140" s="292"/>
    </row>
    <row r="141" ht="11.25" customHeight="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row>
    <row r="142" ht="11.25" customHeight="1">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c r="AA142" s="292"/>
    </row>
    <row r="143" ht="11.25" customHeight="1">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c r="AA143" s="292"/>
    </row>
    <row r="144" ht="11.25" customHeight="1">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c r="AA144" s="292"/>
    </row>
    <row r="145" ht="11.25" customHeight="1">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c r="AA145" s="292"/>
    </row>
    <row r="146" ht="11.25" customHeight="1">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c r="AA146" s="292"/>
    </row>
    <row r="147" ht="11.25" customHeight="1">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c r="AA147" s="292"/>
    </row>
    <row r="148" ht="11.25" customHeight="1">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c r="AA148" s="292"/>
    </row>
    <row r="149" ht="11.25" customHeight="1">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c r="AA149" s="292"/>
    </row>
    <row r="150" ht="11.25" customHeight="1">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c r="AA150" s="292"/>
    </row>
    <row r="151" ht="11.25" customHeight="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c r="AA151" s="292"/>
    </row>
    <row r="152" ht="11.25" customHeight="1">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c r="AA152" s="292"/>
    </row>
    <row r="153" ht="11.25" customHeight="1">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c r="AA153" s="292"/>
    </row>
    <row r="154" ht="11.25" customHeight="1">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c r="AA154" s="292"/>
    </row>
    <row r="155" ht="11.25" customHeight="1">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c r="AA155" s="292"/>
    </row>
    <row r="156" ht="11.25" customHeight="1">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c r="AA156" s="292"/>
    </row>
    <row r="157" ht="11.25" customHeight="1">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c r="AA157" s="292"/>
    </row>
    <row r="158" ht="11.25" customHeight="1">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c r="AA158" s="292"/>
    </row>
    <row r="159" ht="11.25" customHeight="1">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c r="AA159" s="292"/>
    </row>
    <row r="160" ht="11.25" customHeight="1">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c r="AA160" s="292"/>
    </row>
    <row r="161" ht="11.25" customHeight="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c r="AA161" s="292"/>
    </row>
    <row r="162" ht="11.25" customHeight="1">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c r="AA162" s="292"/>
    </row>
    <row r="163" ht="11.25" customHeight="1">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c r="AA163" s="292"/>
    </row>
    <row r="164" ht="11.25" customHeight="1">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c r="AA164" s="292"/>
    </row>
    <row r="165" ht="11.25" customHeight="1">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c r="AA165" s="292"/>
    </row>
    <row r="166" ht="11.25" customHeight="1">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c r="AA166" s="292"/>
    </row>
    <row r="167" ht="11.25" customHeight="1">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c r="AA167" s="292"/>
    </row>
    <row r="168" ht="11.25" customHeight="1">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c r="AA168" s="292"/>
    </row>
    <row r="169" ht="11.25" customHeight="1">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c r="AA169" s="292"/>
    </row>
    <row r="170" ht="11.25" customHeight="1">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c r="AA170" s="292"/>
    </row>
    <row r="171" ht="11.25" customHeight="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c r="AA171" s="292"/>
    </row>
    <row r="172" ht="11.25" customHeight="1">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c r="AA172" s="292"/>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A46:C46"/>
    <mergeCell ref="D46:E46"/>
    <mergeCell ref="F46:G46"/>
    <mergeCell ref="H9:H10"/>
    <mergeCell ref="I9:I10"/>
    <mergeCell ref="H46:I46"/>
    <mergeCell ref="T46:U46"/>
    <mergeCell ref="V46:W46"/>
    <mergeCell ref="X46:Y46"/>
    <mergeCell ref="V48:Z48"/>
    <mergeCell ref="J9:J10"/>
    <mergeCell ref="K9:K10"/>
    <mergeCell ref="J46:K46"/>
    <mergeCell ref="L46:M46"/>
    <mergeCell ref="N46:O46"/>
    <mergeCell ref="P46:Q46"/>
    <mergeCell ref="R46:S46"/>
    <mergeCell ref="L48:P48"/>
    <mergeCell ref="B7:B10"/>
    <mergeCell ref="D8:E8"/>
    <mergeCell ref="C9:C10"/>
    <mergeCell ref="D9:D10"/>
    <mergeCell ref="E9:E10"/>
    <mergeCell ref="U1:Z1"/>
    <mergeCell ref="A2:Z2"/>
    <mergeCell ref="A3:Z3"/>
    <mergeCell ref="A4:Z4"/>
    <mergeCell ref="X5:Z5"/>
    <mergeCell ref="A7:A10"/>
    <mergeCell ref="Z7:Z10"/>
    <mergeCell ref="L9:L10"/>
    <mergeCell ref="M9:M10"/>
    <mergeCell ref="N9:N10"/>
    <mergeCell ref="O9:O10"/>
    <mergeCell ref="P9:P10"/>
    <mergeCell ref="Q9:Q10"/>
    <mergeCell ref="R9:R10"/>
    <mergeCell ref="S9:S10"/>
    <mergeCell ref="T9:T10"/>
    <mergeCell ref="U9:U10"/>
    <mergeCell ref="V9:V10"/>
    <mergeCell ref="W9:W10"/>
    <mergeCell ref="X9:X10"/>
    <mergeCell ref="Y9:Y10"/>
  </mergeCells>
  <printOptions/>
  <pageMargins bottom="0.75" footer="0.0" header="0.0" left="0.7" right="0.25"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coreProperties>
</file>