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2 Attendance" sheetId="1" r:id="rId4"/>
    <sheet state="visible" name="GRACE PROOF" sheetId="2" r:id="rId5"/>
    <sheet state="visible" name="Work done sheet" sheetId="3" r:id="rId6"/>
    <sheet state="visible" name="Sheet1" sheetId="4" r:id="rId7"/>
    <sheet state="visible" name="IA2 Marks" sheetId="5" r:id="rId8"/>
    <sheet state="visible" name="Mentor Report" sheetId="6" r:id="rId9"/>
    <sheet state="hidden" name="&lt; = 49 %" sheetId="7" r:id="rId10"/>
    <sheet state="hidden" name="50% - 74%" sheetId="8" r:id="rId11"/>
    <sheet state="hidden" name="&gt;74 -&lt;=84" sheetId="9" r:id="rId12"/>
    <sheet state="hidden" name="&gt;=85" sheetId="10" r:id="rId13"/>
  </sheets>
  <definedNames/>
  <calcPr/>
  <extLst>
    <ext uri="GoogleSheetsCustomDataVersion2">
      <go:sheetsCustomData xmlns:go="http://customooxmlschemas.google.com/" r:id="rId14" roundtripDataChecksum="Y4XaCweA/iGj87dM0+4wIEkixJTMESjymbpvHhB4KnY="/>
    </ext>
  </extLst>
</workbook>
</file>

<file path=xl/sharedStrings.xml><?xml version="1.0" encoding="utf-8"?>
<sst xmlns="http://schemas.openxmlformats.org/spreadsheetml/2006/main" count="997" uniqueCount="455">
  <si>
    <t>HKBK/TL/022/2025-26</t>
  </si>
  <si>
    <t xml:space="preserve">                                                     HKBK College of Engineering</t>
  </si>
  <si>
    <t xml:space="preserve">                                            Department of Computer Science Engineering</t>
  </si>
  <si>
    <t xml:space="preserve">                                                                    STATEMENT OF ATTENDANCE - IA2              </t>
  </si>
  <si>
    <t>Till : 26/05/2026</t>
  </si>
  <si>
    <t xml:space="preserve">Sem : 4th </t>
  </si>
  <si>
    <t xml:space="preserve">Section : B                     </t>
  </si>
  <si>
    <t>Sl No</t>
  </si>
  <si>
    <t>USN</t>
  </si>
  <si>
    <t>No of classes taken</t>
  </si>
  <si>
    <t>Avg</t>
  </si>
  <si>
    <t>Subject Name</t>
  </si>
  <si>
    <t>ADA</t>
  </si>
  <si>
    <t>Microcontr.</t>
  </si>
  <si>
    <t>DBMS</t>
  </si>
  <si>
    <t>DMS</t>
  </si>
  <si>
    <t>UI/UX</t>
  </si>
  <si>
    <t>Biology</t>
  </si>
  <si>
    <t>UHV</t>
  </si>
  <si>
    <t>Micro. Lab</t>
  </si>
  <si>
    <t>ADA Lab</t>
  </si>
  <si>
    <t>Subject Code</t>
  </si>
  <si>
    <t>BCS401</t>
  </si>
  <si>
    <t xml:space="preserve">  BCS402</t>
  </si>
  <si>
    <t>BCS403</t>
  </si>
  <si>
    <t>BCS405A</t>
  </si>
  <si>
    <t xml:space="preserve">BCS456C      </t>
  </si>
  <si>
    <t>BBOC407</t>
  </si>
  <si>
    <t>BUHK408</t>
  </si>
  <si>
    <t>BCS402L</t>
  </si>
  <si>
    <t>BCSL404</t>
  </si>
  <si>
    <t>Name of student</t>
  </si>
  <si>
    <t>Atnd</t>
  </si>
  <si>
    <t>%</t>
  </si>
  <si>
    <t>1HK24CS056</t>
  </si>
  <si>
    <t>Chandana N</t>
  </si>
  <si>
    <t>1HK24CS057</t>
  </si>
  <si>
    <t>1HK24CS058</t>
  </si>
  <si>
    <t>Chandana R</t>
  </si>
  <si>
    <t>1HK24CS059</t>
  </si>
  <si>
    <t>Channaveer</t>
  </si>
  <si>
    <t>1HK24CS060</t>
  </si>
  <si>
    <t>Charan Kumar M</t>
  </si>
  <si>
    <t>1HK24CS061</t>
  </si>
  <si>
    <t>Chethan B T</t>
  </si>
  <si>
    <t>1HK24CS062</t>
  </si>
  <si>
    <t>Chethana J</t>
  </si>
  <si>
    <t>1HK24CS063</t>
  </si>
  <si>
    <t>Chirag M</t>
  </si>
  <si>
    <t>1HK24CS064</t>
  </si>
  <si>
    <t>D Darshan</t>
  </si>
  <si>
    <t>1HK24CS065</t>
  </si>
  <si>
    <t>Daksheesh</t>
  </si>
  <si>
    <t>1HK24CS066</t>
  </si>
  <si>
    <t>Daniya Mehran</t>
  </si>
  <si>
    <t>1HK24CS067</t>
  </si>
  <si>
    <t>Darshan D</t>
  </si>
  <si>
    <t>1HK24CS068</t>
  </si>
  <si>
    <t>Darshan Ganapati Tolanur</t>
  </si>
  <si>
    <t>1HK24CS069</t>
  </si>
  <si>
    <t>Darshan Talageri</t>
  </si>
  <si>
    <t>1HK24CS070</t>
  </si>
  <si>
    <t>Deeksha M H</t>
  </si>
  <si>
    <t>1HK24CS071</t>
  </si>
  <si>
    <t>Dhanush R</t>
  </si>
  <si>
    <t>1HK24CS075</t>
  </si>
  <si>
    <t>Enam Ul Haque</t>
  </si>
  <si>
    <t>1HK24CS076</t>
  </si>
  <si>
    <t>Farheen Naaz Didagur</t>
  </si>
  <si>
    <t>1HK24CS077</t>
  </si>
  <si>
    <t>Faris Tasaduq Makhdoomi</t>
  </si>
  <si>
    <t>1HK24CS078</t>
  </si>
  <si>
    <t>G Manjunath</t>
  </si>
  <si>
    <t>1HK24CS079</t>
  </si>
  <si>
    <t>G V Viveka</t>
  </si>
  <si>
    <t>1HK24CS080</t>
  </si>
  <si>
    <t>Gagan Giri Mallappa Hadpad</t>
  </si>
  <si>
    <t>1HK24CS081</t>
  </si>
  <si>
    <t>Ganavi H</t>
  </si>
  <si>
    <t>1HK24CS082</t>
  </si>
  <si>
    <t>Gowtham C</t>
  </si>
  <si>
    <t>1HK24CS083</t>
  </si>
  <si>
    <t>Gulzar Warsi</t>
  </si>
  <si>
    <t>1HK24CS084</t>
  </si>
  <si>
    <t>Habeebah Sultana</t>
  </si>
  <si>
    <t>1HK24CS085</t>
  </si>
  <si>
    <t>Harika Lakshmi S</t>
  </si>
  <si>
    <t>1HK24CS087</t>
  </si>
  <si>
    <t>Harsh K Gowda</t>
  </si>
  <si>
    <t>1HK24CS088</t>
  </si>
  <si>
    <t>Harsha H</t>
  </si>
  <si>
    <t>1HK24CS090</t>
  </si>
  <si>
    <t>Harshitha N</t>
  </si>
  <si>
    <t>1HK24CS091</t>
  </si>
  <si>
    <t>Harshitha V</t>
  </si>
  <si>
    <t>1HK24CS092</t>
  </si>
  <si>
    <t>Hassaan Ahmed S A</t>
  </si>
  <si>
    <t>1HK24CS093</t>
  </si>
  <si>
    <t>Hema R</t>
  </si>
  <si>
    <t>1HK24CS094</t>
  </si>
  <si>
    <t>Hithesh Chandra</t>
  </si>
  <si>
    <t>1HK24CS095</t>
  </si>
  <si>
    <t>J Kailash</t>
  </si>
  <si>
    <t>1HK24CS096</t>
  </si>
  <si>
    <t>Janhavi A</t>
  </si>
  <si>
    <t>1HK24CS097</t>
  </si>
  <si>
    <t>Jayant Kumar</t>
  </si>
  <si>
    <t>1HK24CS098</t>
  </si>
  <si>
    <t>Jeevan B</t>
  </si>
  <si>
    <t>1HK24CS099</t>
  </si>
  <si>
    <t>Jeevan Chaudhary</t>
  </si>
  <si>
    <t>1HK24CS100</t>
  </si>
  <si>
    <t>Jeevanandan R</t>
  </si>
  <si>
    <t>1HK24CS101</t>
  </si>
  <si>
    <t>Jessica J Gomes</t>
  </si>
  <si>
    <t>1HK24CS103</t>
  </si>
  <si>
    <t>Jyotsna Choudhary</t>
  </si>
  <si>
    <t>1HK24CS104</t>
  </si>
  <si>
    <t>K Hudha</t>
  </si>
  <si>
    <t>1HK24CS105</t>
  </si>
  <si>
    <t>K V Suhan</t>
  </si>
  <si>
    <t>1HK24CS106</t>
  </si>
  <si>
    <t>Kalpitha A J</t>
  </si>
  <si>
    <t>1HK24CS107</t>
  </si>
  <si>
    <t>Kamalesh Chhaju Rathod</t>
  </si>
  <si>
    <t>1HK24CS108</t>
  </si>
  <si>
    <t>Kanchana</t>
  </si>
  <si>
    <t>1HK24CS109</t>
  </si>
  <si>
    <t>Karan Kumar M</t>
  </si>
  <si>
    <t>1HK24CS110</t>
  </si>
  <si>
    <t>Karthik Kumar M</t>
  </si>
  <si>
    <t>1HK24CS111</t>
  </si>
  <si>
    <t>Keerthana C</t>
  </si>
  <si>
    <t>1HK24CS112</t>
  </si>
  <si>
    <t>Krishika S</t>
  </si>
  <si>
    <t>1HK24CS113</t>
  </si>
  <si>
    <t>Krishna Rawal</t>
  </si>
  <si>
    <t>1HK24CS114</t>
  </si>
  <si>
    <t>Kushagra Singh</t>
  </si>
  <si>
    <t>SIGNATURE OF FACULTIES</t>
  </si>
  <si>
    <t>SK</t>
  </si>
  <si>
    <t>VM</t>
  </si>
  <si>
    <t>MK</t>
  </si>
  <si>
    <t>NR</t>
  </si>
  <si>
    <t>KM</t>
  </si>
  <si>
    <t>SD</t>
  </si>
  <si>
    <t>AF</t>
  </si>
  <si>
    <t>SMT</t>
  </si>
  <si>
    <t>AM/BS</t>
  </si>
  <si>
    <t xml:space="preserve">                   Class Teacher Signature                                       HOD Signature                                            Principal Signature</t>
  </si>
  <si>
    <t>NAME</t>
  </si>
  <si>
    <t>MC</t>
  </si>
  <si>
    <t xml:space="preserve"> Coordinatership</t>
  </si>
  <si>
    <t>Remarks</t>
  </si>
  <si>
    <t>23rd Feb to 28th Feb, 9th March to 11th March, 30th March to 1st April</t>
  </si>
  <si>
    <t>Participated in Sports Event</t>
  </si>
  <si>
    <t>11th to 14th May</t>
  </si>
  <si>
    <t>11th May , 12th May</t>
  </si>
  <si>
    <t>Hackathon Participation</t>
  </si>
  <si>
    <t>6th April to 10th April</t>
  </si>
  <si>
    <t>Root Canal Treatment</t>
  </si>
  <si>
    <t>26th March 2025 (10.20 to 12.50 pm)</t>
  </si>
  <si>
    <t>Oracle Center Inaguration</t>
  </si>
  <si>
    <t>08th April 2026</t>
  </si>
  <si>
    <t>Participated in Chess</t>
  </si>
  <si>
    <t>13th April , 15th April, 16th April, 27th April , 28th April</t>
  </si>
  <si>
    <t>College level Sports Events</t>
  </si>
  <si>
    <t>10% at the beginning can be given</t>
  </si>
  <si>
    <t>Hand Fracture</t>
  </si>
  <si>
    <t>1st April 2026 (10.00 to 12.30 pm)</t>
  </si>
  <si>
    <t>Technical Quiz Participation</t>
  </si>
  <si>
    <t>31-03-2026,  01-04-2026,    02-04-2026,   06-04-2026,  07-04-2026 , 08-04-2026</t>
  </si>
  <si>
    <t>Mental Health Awareness Program</t>
  </si>
  <si>
    <t>18th May, 19th May, 20th May</t>
  </si>
  <si>
    <t>AWS Workshop</t>
  </si>
  <si>
    <t>25th March 2026  to 9th April 2026</t>
  </si>
  <si>
    <t>Travelling to Saudi Arabia</t>
  </si>
  <si>
    <t>14th May , 15th May (5%)</t>
  </si>
  <si>
    <t>Health Issues</t>
  </si>
  <si>
    <t>2nd April 2026</t>
  </si>
  <si>
    <t>Leg Injury</t>
  </si>
  <si>
    <t>31-03-2026 , 02-04-2026</t>
  </si>
  <si>
    <t>Samshodhana Event</t>
  </si>
  <si>
    <t>17th March 2026,                                        26th March 2026 (10.20 to 12.50 pm)</t>
  </si>
  <si>
    <t>Foss Cell,                                                 Oracle Center Inaguration</t>
  </si>
  <si>
    <t>6th April to 10th April (5%)</t>
  </si>
  <si>
    <t>Health issue</t>
  </si>
  <si>
    <t xml:space="preserve">15th April, 16th April </t>
  </si>
  <si>
    <t>4th May, 5th May(5%)</t>
  </si>
  <si>
    <t>Fever</t>
  </si>
  <si>
    <t>10th April 2026</t>
  </si>
  <si>
    <t>College Cricket Practice</t>
  </si>
  <si>
    <t>27th April to 6th May (10%)</t>
  </si>
  <si>
    <t>Medical Treatment</t>
  </si>
  <si>
    <t xml:space="preserve">10th April, 11th April, </t>
  </si>
  <si>
    <t>Technovate</t>
  </si>
  <si>
    <t>15th April, 16th April</t>
  </si>
  <si>
    <t>24th April</t>
  </si>
  <si>
    <t>Nexora</t>
  </si>
  <si>
    <t>27th April</t>
  </si>
  <si>
    <t>Diarrhea</t>
  </si>
  <si>
    <t>17th March 2026</t>
  </si>
  <si>
    <t>FOSS Event</t>
  </si>
  <si>
    <t xml:space="preserve"> For 1 credit Subject  ----&gt; 10%  means max 1 class</t>
  </si>
  <si>
    <t>ADDED AFTER IA1</t>
  </si>
  <si>
    <r>
      <rPr>
        <rFont val="Times New Roman"/>
        <b/>
        <color rgb="FF000000"/>
        <sz val="20.0"/>
      </rPr>
      <t>HKBK College of Engineering</t>
    </r>
    <r>
      <rPr>
        <rFont val="Times New Roman"/>
        <b/>
        <color rgb="FF000000"/>
        <sz val="16.0"/>
      </rPr>
      <t xml:space="preserve">  </t>
    </r>
  </si>
  <si>
    <t xml:space="preserve">     Department of Computer Science and Engineering</t>
  </si>
  <si>
    <t>EVEN Semester</t>
  </si>
  <si>
    <t xml:space="preserve">          MONTHLY SYLLABUS COVERAGE AND CLASS-TAKEN REPORT</t>
  </si>
  <si>
    <t xml:space="preserve">AY-2025-2026           SEM: IV              Sec: B                          Student Strength: 53               AS 0N   26-05-2026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</si>
  <si>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</t>
  </si>
  <si>
    <t>#</t>
  </si>
  <si>
    <t>Subject code</t>
  </si>
  <si>
    <t>Batches</t>
  </si>
  <si>
    <t>No. Class</t>
  </si>
  <si>
    <t>Modules covered</t>
  </si>
  <si>
    <t>% of Syllabus covered</t>
  </si>
  <si>
    <t>No. of assignment</t>
  </si>
  <si>
    <t>No. of Activity / Others</t>
  </si>
  <si>
    <t>Name of faculty</t>
  </si>
  <si>
    <t>Signature</t>
  </si>
  <si>
    <t>Planned</t>
  </si>
  <si>
    <t>Taken</t>
  </si>
  <si>
    <t>Issued</t>
  </si>
  <si>
    <t>Valued</t>
  </si>
  <si>
    <t xml:space="preserve">BCS401        </t>
  </si>
  <si>
    <t>-</t>
  </si>
  <si>
    <t>Dr Smitha Kurian</t>
  </si>
  <si>
    <t xml:space="preserve">BCS402        </t>
  </si>
  <si>
    <t>Dr Vilasini M</t>
  </si>
  <si>
    <t>B1/B2</t>
  </si>
  <si>
    <t>Minal Khandare</t>
  </si>
  <si>
    <t xml:space="preserve">Naresh M K </t>
  </si>
  <si>
    <t>BCS456C</t>
  </si>
  <si>
    <t xml:space="preserve">K. Manohar </t>
  </si>
  <si>
    <t>Dr. Sujitha</t>
  </si>
  <si>
    <t>100%%</t>
  </si>
  <si>
    <t>Anees Fathima</t>
  </si>
  <si>
    <t>B1</t>
  </si>
  <si>
    <t>Sushmitha M T</t>
  </si>
  <si>
    <t>B2</t>
  </si>
  <si>
    <t>/11</t>
  </si>
  <si>
    <t>Anju Mariam/ Bhagyashree</t>
  </si>
  <si>
    <t xml:space="preserve">Observation by Class Teacher: </t>
  </si>
  <si>
    <t>Observation by HOD:</t>
  </si>
  <si>
    <t>CLASS TEACHER</t>
  </si>
  <si>
    <t>HOD</t>
  </si>
  <si>
    <r>
      <rPr>
        <rFont val="Times New Roman"/>
        <b/>
        <color rgb="FF000000"/>
        <sz val="11.0"/>
      </rPr>
      <t xml:space="preserve">            Observation by Principal:</t>
    </r>
    <r>
      <rPr>
        <rFont val="Times New Roman"/>
        <b/>
        <color rgb="FF000000"/>
        <sz val="12.0"/>
      </rPr>
      <t xml:space="preserve"> </t>
    </r>
  </si>
  <si>
    <t>PRINCIPAL</t>
  </si>
  <si>
    <t xml:space="preserve">                                                                                                                     </t>
  </si>
  <si>
    <t xml:space="preserve">    HKBK College of Engineering                                                                                                             </t>
  </si>
  <si>
    <t xml:space="preserve">Nagawara, Bengaluru-560045                   </t>
  </si>
  <si>
    <t>Department of Computer Science and Engineering</t>
  </si>
  <si>
    <t xml:space="preserve">                                         AY-2023-24</t>
  </si>
  <si>
    <t xml:space="preserve">AY 2025-26 </t>
  </si>
  <si>
    <t xml:space="preserve">                                                      CONSOLIDATED STATEMENT OF SECOND IA MARKS                                                                  </t>
  </si>
  <si>
    <t xml:space="preserve">        Sem 4th/EVEN </t>
  </si>
  <si>
    <t>SEC: B</t>
  </si>
  <si>
    <t>Sno</t>
  </si>
  <si>
    <t>Name</t>
  </si>
  <si>
    <t xml:space="preserve">BCS403        </t>
  </si>
  <si>
    <t xml:space="preserve">BCS405A      </t>
  </si>
  <si>
    <t>BCS456A</t>
  </si>
  <si>
    <t>#of Subs &lt; 50% of IA</t>
  </si>
  <si>
    <t>Max 50</t>
  </si>
  <si>
    <t>Ab</t>
  </si>
  <si>
    <t>AB</t>
  </si>
  <si>
    <t>No of Students Present</t>
  </si>
  <si>
    <t>No of Students Absent</t>
  </si>
  <si>
    <t>No of Students secured less than Passing Mark</t>
  </si>
  <si>
    <t xml:space="preserve">  Signature of Class Teacher</t>
  </si>
  <si>
    <t xml:space="preserve"> Signature of HOD</t>
  </si>
  <si>
    <t xml:space="preserve"> Signature of Principal</t>
  </si>
  <si>
    <t xml:space="preserve">         </t>
  </si>
  <si>
    <t>HKBK College of Engineering</t>
  </si>
  <si>
    <t xml:space="preserve"> MENTOR REPORT for Students &lt;75% Attendance</t>
  </si>
  <si>
    <t>AY-2025-26                            SEM &amp; SEC - 4B</t>
  </si>
  <si>
    <t>Attendenace %</t>
  </si>
  <si>
    <t>IA1 Performance</t>
  </si>
  <si>
    <t>Mentor Name</t>
  </si>
  <si>
    <t>Mentor Comments</t>
  </si>
  <si>
    <t>Prof Sushmitha</t>
  </si>
  <si>
    <t>Prof Naresh</t>
  </si>
  <si>
    <t>With permisstion she went to the abroad</t>
  </si>
  <si>
    <t>He is irregular to the classes informed to the class teacher and parents</t>
  </si>
  <si>
    <t>He is irregular to the classes informed to the class teacher and parents without attending the classes  staying in the hostel</t>
  </si>
  <si>
    <t>He reported to the classes late</t>
  </si>
  <si>
    <t>Prof Krushika</t>
  </si>
  <si>
    <t>Class Teacher</t>
  </si>
  <si>
    <t>HOD-CSE</t>
  </si>
  <si>
    <t>HKBK/TL/022/2022-23</t>
  </si>
  <si>
    <t>Department of Computer Science Engineering</t>
  </si>
  <si>
    <t xml:space="preserve">STATEMENT OF ATTENDANCE                  </t>
  </si>
  <si>
    <t xml:space="preserve">AY-2022-23             </t>
  </si>
  <si>
    <t>Till Date:  28/06/23</t>
  </si>
  <si>
    <t>Semester: II</t>
  </si>
  <si>
    <t>Section : F</t>
  </si>
  <si>
    <t>IA 1</t>
  </si>
  <si>
    <t>&lt; 50%</t>
  </si>
  <si>
    <t/>
  </si>
  <si>
    <t>Subject</t>
  </si>
  <si>
    <t>BMATS201</t>
  </si>
  <si>
    <t xml:space="preserve">  BCHES202</t>
  </si>
  <si>
    <t>BCED203</t>
  </si>
  <si>
    <t>BESCK204B</t>
  </si>
  <si>
    <t>BPLCK205B</t>
  </si>
  <si>
    <t xml:space="preserve">BPWSK206 </t>
  </si>
  <si>
    <t>BKSKK207/BKBKK207</t>
  </si>
  <si>
    <t>BKIDTK258</t>
  </si>
  <si>
    <t>BMATS201P</t>
  </si>
  <si>
    <t>BCHES202P</t>
  </si>
  <si>
    <t>BPLCK205BP</t>
  </si>
  <si>
    <t>1HK20CS025</t>
  </si>
  <si>
    <t>AMITH S</t>
  </si>
  <si>
    <t>1HK22CS001</t>
  </si>
  <si>
    <t>AADARSH PRADHAN</t>
  </si>
  <si>
    <t>1HK22CS011</t>
  </si>
  <si>
    <t>AKSHAY K S</t>
  </si>
  <si>
    <t>SL</t>
  </si>
  <si>
    <t>DVG</t>
  </si>
  <si>
    <t>YP</t>
  </si>
  <si>
    <t>YMR</t>
  </si>
  <si>
    <t>LM</t>
  </si>
  <si>
    <t>PC</t>
  </si>
  <si>
    <t>KN/MP</t>
  </si>
  <si>
    <t>AA</t>
  </si>
  <si>
    <t>Class Teacher Signature</t>
  </si>
  <si>
    <t>HOD Signature</t>
  </si>
  <si>
    <t>Principal Signature</t>
  </si>
  <si>
    <t>50% -74%</t>
  </si>
  <si>
    <t>1HK22CS003</t>
  </si>
  <si>
    <t>ABHAY VIJAY</t>
  </si>
  <si>
    <t>1HK22CS004</t>
  </si>
  <si>
    <t>ABHINAV NARAYANAN</t>
  </si>
  <si>
    <t>1HK22CS013</t>
  </si>
  <si>
    <t>ALFIYA REHMAN</t>
  </si>
  <si>
    <t>1HK22CS014</t>
  </si>
  <si>
    <t>AMAL MUHAMMED</t>
  </si>
  <si>
    <t>1HK22CS016</t>
  </si>
  <si>
    <t>ANANYA RAMACHANDRA NAIK</t>
  </si>
  <si>
    <t>1HK22CS017</t>
  </si>
  <si>
    <t>ANKIT SHAMUWEL AKHADE</t>
  </si>
  <si>
    <t>1HK22CS023</t>
  </si>
  <si>
    <t>AWAID CHANDRA M</t>
  </si>
  <si>
    <t>1HK22CS025</t>
  </si>
  <si>
    <t>B RADHA</t>
  </si>
  <si>
    <t>1HK22CS036</t>
  </si>
  <si>
    <t>D PRASANNA KUMAR NADAGOUDA</t>
  </si>
  <si>
    <t>1HK22CS045</t>
  </si>
  <si>
    <t>HARSH TEBRIWAL</t>
  </si>
  <si>
    <t>1HK22CS062</t>
  </si>
  <si>
    <t>LAVANYA G L</t>
  </si>
  <si>
    <t>74% -84%</t>
  </si>
  <si>
    <t>1HK22CS005</t>
  </si>
  <si>
    <t>ABHISHEK MOHANTY</t>
  </si>
  <si>
    <t>1HK22CS015</t>
  </si>
  <si>
    <t>AMRA FIRDOSE SHAIKH</t>
  </si>
  <si>
    <t>1HK22CS021</t>
  </si>
  <si>
    <t>ASHWINI</t>
  </si>
  <si>
    <t>1HK22CS031</t>
  </si>
  <si>
    <t>CHAITRA B</t>
  </si>
  <si>
    <t>1HK22CS037</t>
  </si>
  <si>
    <t>DHANUSH C G</t>
  </si>
  <si>
    <t>1HK22CS039</t>
  </si>
  <si>
    <t>ESHRATHA AZIZ</t>
  </si>
  <si>
    <t>1HK22CS044</t>
  </si>
  <si>
    <t>GOKUL E</t>
  </si>
  <si>
    <t>1HK22CS046</t>
  </si>
  <si>
    <t>HARSHITHA S</t>
  </si>
  <si>
    <t>1HK22CS047</t>
  </si>
  <si>
    <t>HIMANSHISHARMA</t>
  </si>
  <si>
    <t>1HK22CS049</t>
  </si>
  <si>
    <t>IBAD KHAN SOUDAGAR</t>
  </si>
  <si>
    <t>1HK22CS050</t>
  </si>
  <si>
    <t>IFRA MAHIN</t>
  </si>
  <si>
    <t>1HK22CS054</t>
  </si>
  <si>
    <t>JAYANTH KISHORE</t>
  </si>
  <si>
    <t>1HK22CS060</t>
  </si>
  <si>
    <t>KIRAN</t>
  </si>
  <si>
    <t>1HK22CS063</t>
  </si>
  <si>
    <t>LIKITHA M B</t>
  </si>
  <si>
    <t>&gt;=85%</t>
  </si>
  <si>
    <t>5,4,4</t>
  </si>
  <si>
    <t>4,5,5</t>
  </si>
  <si>
    <t>5,5,5</t>
  </si>
  <si>
    <t>1HK22CS002</t>
  </si>
  <si>
    <t>AAMIL JAMAL</t>
  </si>
  <si>
    <t>1HK22CS006</t>
  </si>
  <si>
    <t>ADEEBA ANJUM G</t>
  </si>
  <si>
    <t>1HK22CS007</t>
  </si>
  <si>
    <t>ADEEBA HADIS</t>
  </si>
  <si>
    <t>1HK22CS008</t>
  </si>
  <si>
    <t>ADVAITH DINESAN PUDUSSERY</t>
  </si>
  <si>
    <t>1HK22CS009</t>
  </si>
  <si>
    <t>AKASH MORE</t>
  </si>
  <si>
    <t>1HK22CS010</t>
  </si>
  <si>
    <t>AKSHAY B M</t>
  </si>
  <si>
    <t>1HK22CS012</t>
  </si>
  <si>
    <t>ALEN ROY</t>
  </si>
  <si>
    <t>1HK22CS018</t>
  </si>
  <si>
    <t>ANUSHA KULKARNI</t>
  </si>
  <si>
    <t>1HK22CS019</t>
  </si>
  <si>
    <t>ANUSHREE A KADWADKAR</t>
  </si>
  <si>
    <t>1HK22CS020</t>
  </si>
  <si>
    <t>APEKSHA JAYAPPA NAIK</t>
  </si>
  <si>
    <t>1HK22CS022</t>
  </si>
  <si>
    <t>ASWITHA V</t>
  </si>
  <si>
    <t>1HK22CS024</t>
  </si>
  <si>
    <t>B MOHAMMED MATHEEN</t>
  </si>
  <si>
    <t>1HK22CS026</t>
  </si>
  <si>
    <t>B BALASUBRAMANI</t>
  </si>
  <si>
    <t>1HK22CS027</t>
  </si>
  <si>
    <t>BETINA BIJU</t>
  </si>
  <si>
    <t>1HK22CS028</t>
  </si>
  <si>
    <t>BHARATH H</t>
  </si>
  <si>
    <t>1HK22CS029</t>
  </si>
  <si>
    <t>C H DHANYA</t>
  </si>
  <si>
    <t>1HK22CS030</t>
  </si>
  <si>
    <t>CHAITRA</t>
  </si>
  <si>
    <t>1HK22CS032</t>
  </si>
  <si>
    <t>CHANDANA P V</t>
  </si>
  <si>
    <t>1HK22CS033</t>
  </si>
  <si>
    <t>CHANDRA NAIK H</t>
  </si>
  <si>
    <t>1HK22CS034</t>
  </si>
  <si>
    <t>CHANNAKESHAVA D L</t>
  </si>
  <si>
    <t>1HK22CS035</t>
  </si>
  <si>
    <t>CHETHAN KUMAR K B</t>
  </si>
  <si>
    <t>1HK22CS038</t>
  </si>
  <si>
    <t>DOKE NISHANT MACHINDRA</t>
  </si>
  <si>
    <t>1HK22CS041</t>
  </si>
  <si>
    <t>FASIHA REHAMAN</t>
  </si>
  <si>
    <t>1HK22CS042</t>
  </si>
  <si>
    <t>GAGAN S</t>
  </si>
  <si>
    <t>1HK22CS043</t>
  </si>
  <si>
    <t>GANESH</t>
  </si>
  <si>
    <t>1HK22CS048</t>
  </si>
  <si>
    <t xml:space="preserve">I GEO SELCIYA </t>
  </si>
  <si>
    <t>1HK22CS051</t>
  </si>
  <si>
    <t>IHSAN RAFEEQUE SAINUDHEEN</t>
  </si>
  <si>
    <t>1HK22CS052</t>
  </si>
  <si>
    <t>JANANI A</t>
  </si>
  <si>
    <t>1HK22CS053</t>
  </si>
  <si>
    <t>JAUHAR MOHAMMED PARAPPU</t>
  </si>
  <si>
    <t>1HK22CS055</t>
  </si>
  <si>
    <t>JITHIN P JOJI</t>
  </si>
  <si>
    <t>1HK22CS056</t>
  </si>
  <si>
    <t>JUNAID PASHA</t>
  </si>
  <si>
    <t>1HK22CS057</t>
  </si>
  <si>
    <t>K AYESHA</t>
  </si>
  <si>
    <t>1HK22CS058</t>
  </si>
  <si>
    <t>K S SANTOSH</t>
  </si>
  <si>
    <t>1HK22CS059</t>
  </si>
  <si>
    <t>KAVYA M</t>
  </si>
  <si>
    <t>1HK22CS061</t>
  </si>
  <si>
    <t>KUSHAL M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</si>
</sst>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0">
    <font>
      <sz val="10.0"/>
      <color rgb="FF000000"/>
      <name val="Arial"/>
      <scheme val="minor"/>
    </font>
    <font>
      <sz val="9.0"/>
      <color rgb="FF000000"/>
      <name val="Times New Roman"/>
    </font>
    <font>
      <sz val="10.0"/>
      <color rgb="FF000000"/>
      <name val="Times New Roman"/>
    </font>
    <font>
      <sz val="10.0"/>
      <color rgb="FF000000"/>
      <name val="Arial"/>
    </font>
    <font>
      <b/>
      <sz val="9.0"/>
      <color rgb="FF000000"/>
      <name val="Times New Roman"/>
    </font>
    <font>
      <b/>
      <sz val="16.0"/>
      <color rgb="FF00000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Calibri"/>
    </font>
    <font>
      <sz val="12.0"/>
      <color rgb="FF000000"/>
      <name val="Arial"/>
    </font>
    <font>
      <sz val="12.0"/>
      <color rgb="FF000000"/>
      <name val="Times New Roman"/>
    </font>
    <font>
      <b/>
      <sz val="9.0"/>
      <color rgb="FF000000"/>
      <name val="Calibri"/>
    </font>
    <font>
      <sz val="9.0"/>
      <color rgb="FF000000"/>
      <name val="Calibri"/>
    </font>
    <font>
      <b/>
      <sz val="10.0"/>
      <color rgb="FF000000"/>
      <name val="Times New Roman"/>
    </font>
    <font/>
    <font>
      <sz val="10.0"/>
      <color theme="1"/>
      <name val="Arial"/>
    </font>
    <font>
      <b/>
      <u/>
      <sz val="10.0"/>
      <color rgb="FF000000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9.0"/>
      <color rgb="FF000000"/>
      <name val="Arial"/>
    </font>
    <font>
      <sz val="8.0"/>
      <color rgb="FF000000"/>
      <name val="Arial"/>
    </font>
    <font>
      <b/>
      <sz val="13.0"/>
      <color rgb="FF000000"/>
      <name val="Times New Roman"/>
    </font>
    <font>
      <sz val="13.0"/>
      <color rgb="FF000000"/>
      <name val="Times New Roman"/>
    </font>
    <font>
      <sz val="13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b/>
      <sz val="20.0"/>
      <color rgb="FF000000"/>
      <name val="Times New Roman"/>
    </font>
    <font>
      <sz val="16.0"/>
      <color rgb="FF000000"/>
      <name val="Times New Roman"/>
    </font>
    <font>
      <b/>
      <sz val="18.0"/>
      <color rgb="FF000000"/>
      <name val="Times New Roman"/>
    </font>
    <font>
      <sz val="11.0"/>
      <color rgb="FF000000"/>
      <name val="Calibri"/>
    </font>
    <font>
      <sz val="11.0"/>
      <color rgb="FF000000"/>
      <name val="&quot;Times New Roman&quot;"/>
    </font>
    <font>
      <b/>
      <sz val="17.0"/>
      <color rgb="FF000000"/>
      <name val="Times New Roman"/>
    </font>
    <font>
      <b/>
      <sz val="15.0"/>
      <color rgb="FF000000"/>
      <name val="Times New Roman"/>
    </font>
    <font>
      <b/>
      <u/>
      <sz val="9.0"/>
      <color rgb="FF000000"/>
      <name val="Times New Roman"/>
    </font>
    <font>
      <b/>
      <sz val="9.0"/>
      <color rgb="FF000000"/>
      <name val="&quot;lohit kannada&quot;"/>
    </font>
    <font>
      <b/>
      <sz val="9.0"/>
      <color rgb="FF000000"/>
      <name val="Arial"/>
    </font>
    <font>
      <u/>
      <sz val="11.0"/>
      <color rgb="FF000000"/>
      <name val="Times New Roman"/>
    </font>
    <font>
      <sz val="9.0"/>
      <color rgb="FF000000"/>
      <name val="&quot;lohit kannada&quot;"/>
    </font>
    <font>
      <b/>
      <u/>
      <sz val="9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</fills>
  <borders count="9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top style="thin">
        <color rgb="FF000000"/>
      </top>
    </border>
    <border>
      <left/>
      <right/>
      <bottom/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</border>
    <border>
      <right style="double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double">
        <color rgb="FF000000"/>
      </right>
      <top/>
      <bottom/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/>
      <right/>
      <top/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/>
      <right style="double">
        <color rgb="FF000000"/>
      </right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/>
    </border>
    <border>
      <left style="thin">
        <color rgb="FF000000"/>
      </lef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39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vertical="bottom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0" fillId="0" fontId="4" numFmtId="1" xfId="0" applyAlignment="1" applyFont="1" applyNumberFormat="1">
      <alignment horizontal="left" vertical="top"/>
    </xf>
    <xf borderId="0" fillId="0" fontId="5" numFmtId="0" xfId="0" applyAlignment="1" applyFont="1">
      <alignment horizontal="left" shrinkToFit="0" vertical="bottom" wrapText="1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center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bottom"/>
    </xf>
    <xf borderId="4" fillId="2" fontId="8" numFmtId="3" xfId="0" applyAlignment="1" applyBorder="1" applyFill="1" applyFont="1" applyNumberForma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4" numFmtId="0" xfId="0" applyAlignment="1" applyFont="1">
      <alignment horizontal="center" vertical="top"/>
    </xf>
    <xf borderId="5" fillId="3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left" vertical="center"/>
    </xf>
    <xf borderId="7" fillId="3" fontId="13" numFmtId="0" xfId="0" applyAlignment="1" applyBorder="1" applyFont="1">
      <alignment horizontal="center" readingOrder="0" vertical="bottom"/>
    </xf>
    <xf borderId="8" fillId="0" fontId="14" numFmtId="0" xfId="0" applyAlignment="1" applyBorder="1" applyFont="1">
      <alignment vertical="center"/>
    </xf>
    <xf borderId="9" fillId="3" fontId="13" numFmtId="0" xfId="0" applyAlignment="1" applyBorder="1" applyFont="1">
      <alignment horizontal="center" readingOrder="0" vertical="bottom"/>
    </xf>
    <xf borderId="9" fillId="3" fontId="15" numFmtId="0" xfId="0" applyAlignment="1" applyBorder="1" applyFont="1">
      <alignment horizontal="center" readingOrder="0" vertical="center"/>
    </xf>
    <xf borderId="10" fillId="3" fontId="15" numFmtId="0" xfId="0" applyAlignment="1" applyBorder="1" applyFont="1">
      <alignment horizontal="center" readingOrder="0" vertical="center"/>
    </xf>
    <xf borderId="11" fillId="0" fontId="14" numFmtId="0" xfId="0" applyAlignment="1" applyBorder="1" applyFont="1">
      <alignment vertical="center"/>
    </xf>
    <xf borderId="5" fillId="3" fontId="16" numFmtId="0" xfId="0" applyAlignment="1" applyBorder="1" applyFont="1">
      <alignment horizontal="center" vertical="center"/>
    </xf>
    <xf borderId="12" fillId="0" fontId="14" numFmtId="0" xfId="0" applyAlignment="1" applyBorder="1" applyFont="1">
      <alignment vertical="center"/>
    </xf>
    <xf borderId="7" fillId="3" fontId="13" numFmtId="0" xfId="0" applyAlignment="1" applyBorder="1" applyFont="1">
      <alignment horizontal="center" shrinkToFit="0" vertical="center" wrapText="1"/>
    </xf>
    <xf borderId="7" fillId="3" fontId="13" numFmtId="0" xfId="0" applyAlignment="1" applyBorder="1" applyFont="1">
      <alignment horizontal="center" readingOrder="0" shrinkToFit="0" vertical="center" wrapText="1"/>
    </xf>
    <xf borderId="9" fillId="3" fontId="13" numFmtId="0" xfId="0" applyAlignment="1" applyBorder="1" applyFont="1">
      <alignment horizontal="center" shrinkToFit="0" vertical="center" wrapText="1"/>
    </xf>
    <xf borderId="9" fillId="3" fontId="13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horizontal="left" vertical="center"/>
    </xf>
    <xf borderId="13" fillId="3" fontId="13" numFmtId="0" xfId="0" applyAlignment="1" applyBorder="1" applyFont="1">
      <alignment horizontal="center" vertical="center"/>
    </xf>
    <xf borderId="5" fillId="3" fontId="13" numFmtId="0" xfId="0" applyAlignment="1" applyBorder="1" applyFont="1">
      <alignment horizontal="center" vertical="center"/>
    </xf>
    <xf borderId="14" fillId="0" fontId="14" numFmtId="0" xfId="0" applyAlignment="1" applyBorder="1" applyFont="1">
      <alignment vertical="center"/>
    </xf>
    <xf borderId="15" fillId="0" fontId="14" numFmtId="0" xfId="0" applyAlignment="1" applyBorder="1" applyFont="1">
      <alignment vertical="center"/>
    </xf>
    <xf borderId="16" fillId="0" fontId="14" numFmtId="0" xfId="0" applyAlignment="1" applyBorder="1" applyFont="1">
      <alignment vertical="center"/>
    </xf>
    <xf borderId="6" fillId="2" fontId="17" numFmtId="0" xfId="0" applyAlignment="1" applyBorder="1" applyFont="1">
      <alignment horizontal="center" shrinkToFit="0" vertical="top" wrapText="1"/>
    </xf>
    <xf borderId="6" fillId="2" fontId="17" numFmtId="0" xfId="0" applyAlignment="1" applyBorder="1" applyFont="1">
      <alignment horizontal="center" vertical="center"/>
    </xf>
    <xf borderId="17" fillId="2" fontId="17" numFmtId="0" xfId="0" applyAlignment="1" applyBorder="1" applyFont="1">
      <alignment vertical="center"/>
    </xf>
    <xf borderId="6" fillId="0" fontId="17" numFmtId="0" xfId="0" applyAlignment="1" applyBorder="1" applyFont="1">
      <alignment horizontal="center" readingOrder="0" vertical="center"/>
    </xf>
    <xf borderId="6" fillId="0" fontId="17" numFmtId="1" xfId="0" applyAlignment="1" applyBorder="1" applyFont="1" applyNumberFormat="1">
      <alignment horizontal="center" readingOrder="0" vertical="center"/>
    </xf>
    <xf borderId="6" fillId="2" fontId="17" numFmtId="1" xfId="0" applyAlignment="1" applyBorder="1" applyFont="1" applyNumberFormat="1">
      <alignment horizontal="center" vertical="center"/>
    </xf>
    <xf borderId="6" fillId="2" fontId="17" numFmtId="1" xfId="0" applyAlignment="1" applyBorder="1" applyFont="1" applyNumberFormat="1">
      <alignment horizontal="center" readingOrder="0" shrinkToFit="0" vertical="center" wrapText="1"/>
    </xf>
    <xf borderId="6" fillId="0" fontId="17" numFmtId="1" xfId="0" applyAlignment="1" applyBorder="1" applyFont="1" applyNumberFormat="1">
      <alignment horizontal="center" readingOrder="0" shrinkToFit="0" vertical="center" wrapText="0"/>
    </xf>
    <xf borderId="6" fillId="0" fontId="17" numFmtId="0" xfId="0" applyAlignment="1" applyBorder="1" applyFont="1">
      <alignment horizontal="center" readingOrder="0" shrinkToFit="0" vertical="center" wrapText="0"/>
    </xf>
    <xf borderId="6" fillId="2" fontId="17" numFmtId="0" xfId="0" applyAlignment="1" applyBorder="1" applyFont="1">
      <alignment horizontal="center" readingOrder="0" shrinkToFit="0" vertical="center" wrapText="1"/>
    </xf>
    <xf borderId="6" fillId="2" fontId="17" numFmtId="3" xfId="0" applyAlignment="1" applyBorder="1" applyFont="1" applyNumberFormat="1">
      <alignment horizontal="center" shrinkToFit="0" vertical="center" wrapText="1"/>
    </xf>
    <xf borderId="6" fillId="0" fontId="17" numFmtId="3" xfId="0" applyAlignment="1" applyBorder="1" applyFont="1" applyNumberFormat="1">
      <alignment horizontal="center" readingOrder="0" shrinkToFit="0" vertical="center" wrapText="0"/>
    </xf>
    <xf borderId="6" fillId="2" fontId="17" numFmtId="3" xfId="0" applyAlignment="1" applyBorder="1" applyFont="1" applyNumberFormat="1">
      <alignment horizontal="center" readingOrder="0" shrinkToFit="0" vertical="center" wrapText="1"/>
    </xf>
    <xf borderId="6" fillId="2" fontId="17" numFmtId="1" xfId="0" applyAlignment="1" applyBorder="1" applyFont="1" applyNumberFormat="1">
      <alignment horizontal="center" shrinkToFit="0" vertical="center" wrapText="1"/>
    </xf>
    <xf borderId="17" fillId="2" fontId="17" numFmtId="0" xfId="0" applyAlignment="1" applyBorder="1" applyFont="1">
      <alignment horizontal="left" shrinkToFit="0" vertical="center" wrapText="1"/>
    </xf>
    <xf borderId="18" fillId="2" fontId="17" numFmtId="0" xfId="0" applyAlignment="1" applyBorder="1" applyFont="1">
      <alignment horizontal="center" vertical="center"/>
    </xf>
    <xf borderId="19" fillId="2" fontId="17" numFmtId="0" xfId="0" applyAlignment="1" applyBorder="1" applyFont="1">
      <alignment vertical="center"/>
    </xf>
    <xf borderId="6" fillId="2" fontId="17" numFmtId="0" xfId="0" applyAlignment="1" applyBorder="1" applyFont="1">
      <alignment horizontal="center" vertical="top"/>
    </xf>
    <xf borderId="18" fillId="2" fontId="17" numFmtId="0" xfId="0" applyAlignment="1" applyBorder="1" applyFont="1">
      <alignment horizontal="center" vertical="top"/>
    </xf>
    <xf borderId="5" fillId="2" fontId="17" numFmtId="0" xfId="0" applyAlignment="1" applyBorder="1" applyFont="1">
      <alignment horizontal="center" vertical="top"/>
    </xf>
    <xf borderId="20" fillId="2" fontId="17" numFmtId="0" xfId="0" applyAlignment="1" applyBorder="1" applyFont="1">
      <alignment vertical="center"/>
    </xf>
    <xf borderId="9" fillId="0" fontId="4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vertical="center"/>
    </xf>
    <xf borderId="9" fillId="0" fontId="18" numFmtId="0" xfId="0" applyAlignment="1" applyBorder="1" applyFont="1">
      <alignment horizontal="center" shrinkToFit="0" vertical="center" wrapText="1"/>
    </xf>
    <xf borderId="9" fillId="2" fontId="18" numFmtId="3" xfId="0" applyAlignment="1" applyBorder="1" applyFont="1" applyNumberFormat="1">
      <alignment horizontal="center" readingOrder="0" shrinkToFit="0" vertical="center" wrapText="1"/>
    </xf>
    <xf borderId="9" fillId="0" fontId="19" numFmtId="0" xfId="0" applyAlignment="1" applyBorder="1" applyFont="1">
      <alignment horizontal="center" vertical="center"/>
    </xf>
    <xf borderId="6" fillId="2" fontId="18" numFmtId="3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21" fillId="0" fontId="1" numFmtId="1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22" fillId="2" fontId="21" numFmtId="0" xfId="0" applyAlignment="1" applyBorder="1" applyFont="1">
      <alignment horizontal="center" shrinkToFit="0" vertical="center" wrapText="1"/>
    </xf>
    <xf borderId="22" fillId="4" fontId="1" numFmtId="3" xfId="0" applyAlignment="1" applyBorder="1" applyFill="1" applyFont="1" applyNumberFormat="1">
      <alignment horizontal="left" vertical="bottom"/>
    </xf>
    <xf borderId="0" fillId="0" fontId="18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5" fillId="3" fontId="22" numFmtId="0" xfId="0" applyAlignment="1" applyBorder="1" applyFont="1">
      <alignment horizontal="center" vertical="bottom"/>
    </xf>
    <xf borderId="5" fillId="3" fontId="22" numFmtId="0" xfId="0" applyAlignment="1" applyBorder="1" applyFont="1">
      <alignment vertical="bottom"/>
    </xf>
    <xf borderId="23" fillId="2" fontId="23" numFmtId="0" xfId="0" applyAlignment="1" applyBorder="1" applyFont="1">
      <alignment horizontal="center" vertical="center"/>
    </xf>
    <xf borderId="24" fillId="2" fontId="23" numFmtId="0" xfId="0" applyAlignment="1" applyBorder="1" applyFont="1">
      <alignment vertical="center"/>
    </xf>
    <xf borderId="25" fillId="0" fontId="23" numFmtId="0" xfId="0" applyAlignment="1" applyBorder="1" applyFont="1">
      <alignment vertical="center"/>
    </xf>
    <xf borderId="25" fillId="0" fontId="23" numFmtId="0" xfId="0" applyAlignment="1" applyBorder="1" applyFont="1">
      <alignment shrinkToFit="0" vertical="center" wrapText="1"/>
    </xf>
    <xf borderId="26" fillId="0" fontId="23" numFmtId="0" xfId="0" applyAlignment="1" applyBorder="1" applyFont="1">
      <alignment vertical="center"/>
    </xf>
    <xf borderId="27" fillId="0" fontId="14" numFmtId="0" xfId="0" applyAlignment="1" applyBorder="1" applyFont="1">
      <alignment vertical="center"/>
    </xf>
    <xf borderId="28" fillId="0" fontId="14" numFmtId="0" xfId="0" applyAlignment="1" applyBorder="1" applyFont="1">
      <alignment vertical="center"/>
    </xf>
    <xf borderId="29" fillId="0" fontId="23" numFmtId="0" xfId="0" applyAlignment="1" applyBorder="1" applyFont="1">
      <alignment vertical="center"/>
    </xf>
    <xf borderId="29" fillId="5" fontId="23" numFmtId="0" xfId="0" applyAlignment="1" applyBorder="1" applyFill="1" applyFont="1">
      <alignment readingOrder="0" vertical="center"/>
    </xf>
    <xf borderId="30" fillId="5" fontId="23" numFmtId="0" xfId="0" applyAlignment="1" applyBorder="1" applyFont="1">
      <alignment vertical="center"/>
    </xf>
    <xf borderId="31" fillId="2" fontId="23" numFmtId="0" xfId="0" applyAlignment="1" applyBorder="1" applyFont="1">
      <alignment horizontal="center" vertical="center"/>
    </xf>
    <xf borderId="31" fillId="2" fontId="23" numFmtId="0" xfId="0" applyAlignment="1" applyBorder="1" applyFont="1">
      <alignment vertical="center"/>
    </xf>
    <xf borderId="31" fillId="0" fontId="23" numFmtId="0" xfId="0" applyAlignment="1" applyBorder="1" applyFont="1">
      <alignment vertical="center"/>
    </xf>
    <xf borderId="31" fillId="5" fontId="24" numFmtId="0" xfId="0" applyAlignment="1" applyBorder="1" applyFont="1">
      <alignment shrinkToFit="0" vertical="center" wrapText="1"/>
    </xf>
    <xf borderId="31" fillId="5" fontId="23" numFmtId="0" xfId="0" applyAlignment="1" applyBorder="1" applyFont="1">
      <alignment readingOrder="0" vertical="center"/>
    </xf>
    <xf borderId="31" fillId="0" fontId="25" numFmtId="0" xfId="0" applyAlignment="1" applyBorder="1" applyFont="1">
      <alignment vertical="center"/>
    </xf>
    <xf borderId="31" fillId="0" fontId="24" numFmtId="0" xfId="0" applyAlignment="1" applyBorder="1" applyFont="1">
      <alignment shrinkToFit="0" vertical="center" wrapText="1"/>
    </xf>
    <xf borderId="31" fillId="0" fontId="23" numFmtId="14" xfId="0" applyAlignment="1" applyBorder="1" applyFont="1" applyNumberFormat="1">
      <alignment horizontal="left" vertical="center"/>
    </xf>
    <xf borderId="23" fillId="2" fontId="23" numFmtId="0" xfId="0" applyAlignment="1" applyBorder="1" applyFont="1">
      <alignment horizontal="center" readingOrder="0" vertical="center"/>
    </xf>
    <xf borderId="24" fillId="2" fontId="23" numFmtId="0" xfId="0" applyAlignment="1" applyBorder="1" applyFont="1">
      <alignment readingOrder="0" vertical="center"/>
    </xf>
    <xf borderId="25" fillId="5" fontId="23" numFmtId="0" xfId="0" applyAlignment="1" applyBorder="1" applyFont="1">
      <alignment readingOrder="0" shrinkToFit="0" vertical="center" wrapText="1"/>
    </xf>
    <xf borderId="26" fillId="5" fontId="23" numFmtId="0" xfId="0" applyAlignment="1" applyBorder="1" applyFont="1">
      <alignment readingOrder="0" vertical="center"/>
    </xf>
    <xf borderId="32" fillId="0" fontId="14" numFmtId="0" xfId="0" applyAlignment="1" applyBorder="1" applyFont="1">
      <alignment vertical="center"/>
    </xf>
    <xf borderId="6" fillId="5" fontId="23" numFmtId="0" xfId="0" applyAlignment="1" applyBorder="1" applyFont="1">
      <alignment readingOrder="0" vertical="center"/>
    </xf>
    <xf borderId="6" fillId="0" fontId="23" numFmtId="0" xfId="0" applyAlignment="1" applyBorder="1" applyFont="1">
      <alignment vertical="center"/>
    </xf>
    <xf borderId="33" fillId="5" fontId="23" numFmtId="0" xfId="0" applyAlignment="1" applyBorder="1" applyFont="1">
      <alignment readingOrder="0" vertical="center"/>
    </xf>
    <xf borderId="29" fillId="5" fontId="24" numFmtId="0" xfId="0" applyAlignment="1" applyBorder="1" applyFont="1">
      <alignment shrinkToFit="0" vertical="center" wrapText="1"/>
    </xf>
    <xf borderId="34" fillId="5" fontId="24" numFmtId="0" xfId="0" applyAlignment="1" applyBorder="1" applyFont="1">
      <alignment shrinkToFit="0" vertical="center" wrapText="1"/>
    </xf>
    <xf borderId="24" fillId="0" fontId="23" numFmtId="0" xfId="0" applyAlignment="1" applyBorder="1" applyFont="1">
      <alignment vertical="center"/>
    </xf>
    <xf borderId="35" fillId="0" fontId="23" numFmtId="0" xfId="0" applyAlignment="1" applyBorder="1" applyFont="1">
      <alignment horizontal="center" vertical="center"/>
    </xf>
    <xf borderId="24" fillId="2" fontId="23" numFmtId="0" xfId="0" applyAlignment="1" applyBorder="1" applyFont="1">
      <alignment horizontal="center" shrinkToFit="0" vertical="center" wrapText="1"/>
    </xf>
    <xf borderId="36" fillId="0" fontId="23" numFmtId="0" xfId="0" applyAlignment="1" applyBorder="1" applyFont="1">
      <alignment horizontal="center" vertical="center"/>
    </xf>
    <xf borderId="25" fillId="0" fontId="24" numFmtId="0" xfId="0" applyAlignment="1" applyBorder="1" applyFont="1">
      <alignment shrinkToFit="0" vertical="center" wrapText="1"/>
    </xf>
    <xf borderId="37" fillId="0" fontId="24" numFmtId="0" xfId="0" applyAlignment="1" applyBorder="1" applyFont="1">
      <alignment vertical="center"/>
    </xf>
    <xf borderId="38" fillId="0" fontId="14" numFmtId="0" xfId="0" applyAlignment="1" applyBorder="1" applyFont="1">
      <alignment vertical="center"/>
    </xf>
    <xf borderId="6" fillId="0" fontId="24" numFmtId="0" xfId="0" applyAlignment="1" applyBorder="1" applyFont="1">
      <alignment shrinkToFit="0" vertical="center" wrapText="1"/>
    </xf>
    <xf borderId="39" fillId="0" fontId="24" numFmtId="0" xfId="0" applyAlignment="1" applyBorder="1" applyFont="1">
      <alignment shrinkToFit="0" vertical="center" wrapText="1"/>
    </xf>
    <xf borderId="40" fillId="0" fontId="14" numFmtId="0" xfId="0" applyAlignment="1" applyBorder="1" applyFont="1">
      <alignment vertical="center"/>
    </xf>
    <xf borderId="6" fillId="5" fontId="24" numFmtId="0" xfId="0" applyAlignment="1" applyBorder="1" applyFont="1">
      <alignment shrinkToFit="0" vertical="center" wrapText="1"/>
    </xf>
    <xf borderId="41" fillId="5" fontId="24" numFmtId="0" xfId="0" applyAlignment="1" applyBorder="1" applyFont="1">
      <alignment shrinkToFit="0" vertical="center" wrapText="1"/>
    </xf>
    <xf borderId="35" fillId="0" fontId="23" numFmtId="0" xfId="0" applyAlignment="1" applyBorder="1" applyFont="1">
      <alignment vertical="center"/>
    </xf>
    <xf borderId="29" fillId="5" fontId="24" numFmtId="0" xfId="0" applyAlignment="1" applyBorder="1" applyFont="1">
      <alignment readingOrder="0" shrinkToFit="0" vertical="center" wrapText="1"/>
    </xf>
    <xf borderId="34" fillId="5" fontId="24" numFmtId="0" xfId="0" applyAlignment="1" applyBorder="1" applyFont="1">
      <alignment readingOrder="0" shrinkToFit="0" vertical="center" wrapText="1"/>
    </xf>
    <xf borderId="24" fillId="2" fontId="23" numFmtId="0" xfId="0" applyAlignment="1" applyBorder="1" applyFont="1">
      <alignment horizontal="center" vertical="center"/>
    </xf>
    <xf borderId="24" fillId="0" fontId="23" numFmtId="0" xfId="0" applyAlignment="1" applyBorder="1" applyFont="1">
      <alignment horizontal="center" vertical="center"/>
    </xf>
    <xf borderId="42" fillId="0" fontId="24" numFmtId="0" xfId="0" applyAlignment="1" applyBorder="1" applyFont="1">
      <alignment shrinkToFit="0" vertical="center" wrapText="1"/>
    </xf>
    <xf borderId="43" fillId="0" fontId="24" numFmtId="0" xfId="0" applyAlignment="1" applyBorder="1" applyFont="1">
      <alignment shrinkToFit="0" vertical="center" wrapText="1"/>
    </xf>
    <xf borderId="44" fillId="0" fontId="23" numFmtId="0" xfId="0" applyAlignment="1" applyBorder="1" applyFont="1">
      <alignment vertical="center"/>
    </xf>
    <xf borderId="0" fillId="2" fontId="23" numFmtId="0" xfId="0" applyAlignment="1" applyFont="1">
      <alignment readingOrder="0" vertical="center"/>
    </xf>
    <xf borderId="45" fillId="5" fontId="23" numFmtId="0" xfId="0" applyAlignment="1" applyBorder="1" applyFont="1">
      <alignment readingOrder="0" vertical="center"/>
    </xf>
    <xf borderId="29" fillId="0" fontId="3" numFmtId="0" xfId="0" applyAlignment="1" applyBorder="1" applyFont="1">
      <alignment vertical="center"/>
    </xf>
    <xf borderId="46" fillId="2" fontId="23" numFmtId="0" xfId="0" applyAlignment="1" applyBorder="1" applyFont="1">
      <alignment horizontal="center" vertical="center"/>
    </xf>
    <xf borderId="47" fillId="2" fontId="23" numFmtId="0" xfId="0" applyAlignment="1" applyBorder="1" applyFont="1">
      <alignment vertical="center"/>
    </xf>
    <xf borderId="47" fillId="0" fontId="23" numFmtId="0" xfId="0" applyAlignment="1" applyBorder="1" applyFont="1">
      <alignment vertical="center"/>
    </xf>
    <xf borderId="48" fillId="0" fontId="24" numFmtId="0" xfId="0" applyAlignment="1" applyBorder="1" applyFont="1">
      <alignment shrinkToFit="0" vertical="center" wrapText="1"/>
    </xf>
    <xf borderId="49" fillId="0" fontId="24" numFmtId="0" xfId="0" applyAlignment="1" applyBorder="1" applyFont="1">
      <alignment shrinkToFit="0" vertical="center" wrapText="1"/>
    </xf>
    <xf borderId="31" fillId="0" fontId="23" numFmtId="0" xfId="0" applyAlignment="1" applyBorder="1" applyFont="1">
      <alignment horizontal="left" vertical="center"/>
    </xf>
    <xf borderId="31" fillId="0" fontId="23" numFmtId="14" xfId="0" applyAlignment="1" applyBorder="1" applyFont="1" applyNumberFormat="1">
      <alignment vertical="center"/>
    </xf>
    <xf borderId="23" fillId="2" fontId="23" numFmtId="0" xfId="0" applyAlignment="1" applyBorder="1" applyFont="1">
      <alignment horizontal="center" vertical="top"/>
    </xf>
    <xf borderId="50" fillId="0" fontId="24" numFmtId="0" xfId="0" applyAlignment="1" applyBorder="1" applyFont="1">
      <alignment shrinkToFit="0" vertical="center" wrapText="1"/>
    </xf>
    <xf borderId="51" fillId="0" fontId="24" numFmtId="0" xfId="0" applyAlignment="1" applyBorder="1" applyFont="1">
      <alignment shrinkToFit="0" vertical="center" wrapText="1"/>
    </xf>
    <xf borderId="50" fillId="0" fontId="24" numFmtId="0" xfId="0" applyAlignment="1" applyBorder="1" applyFont="1">
      <alignment vertical="center"/>
    </xf>
    <xf borderId="42" fillId="0" fontId="14" numFmtId="0" xfId="0" applyAlignment="1" applyBorder="1" applyFont="1">
      <alignment vertical="center"/>
    </xf>
    <xf borderId="52" fillId="0" fontId="23" numFmtId="0" xfId="0" applyAlignment="1" applyBorder="1" applyFont="1">
      <alignment vertical="center"/>
    </xf>
    <xf borderId="25" fillId="2" fontId="24" numFmtId="0" xfId="0" applyAlignment="1" applyBorder="1" applyFont="1">
      <alignment shrinkToFit="0" vertical="center" wrapText="1"/>
    </xf>
    <xf borderId="26" fillId="0" fontId="24" numFmtId="0" xfId="0" applyAlignment="1" applyBorder="1" applyFont="1">
      <alignment shrinkToFit="0" vertical="center" wrapText="1"/>
    </xf>
    <xf borderId="6" fillId="5" fontId="24" numFmtId="0" xfId="0" applyAlignment="1" applyBorder="1" applyFont="1">
      <alignment readingOrder="0" shrinkToFit="0" vertical="center" wrapText="1"/>
    </xf>
    <xf borderId="9" fillId="0" fontId="23" numFmtId="0" xfId="0" applyAlignment="1" applyBorder="1" applyFont="1">
      <alignment vertical="center"/>
    </xf>
    <xf borderId="33" fillId="5" fontId="24" numFmtId="0" xfId="0" applyAlignment="1" applyBorder="1" applyFont="1">
      <alignment readingOrder="0" shrinkToFit="0" vertical="center" wrapText="1"/>
    </xf>
    <xf borderId="53" fillId="5" fontId="24" numFmtId="0" xfId="0" applyAlignment="1" applyBorder="1" applyFont="1">
      <alignment shrinkToFit="0" vertical="center" wrapText="1"/>
    </xf>
    <xf borderId="25" fillId="5" fontId="24" numFmtId="0" xfId="0" applyAlignment="1" applyBorder="1" applyFont="1">
      <alignment shrinkToFit="0" vertical="center" wrapText="1"/>
    </xf>
    <xf borderId="54" fillId="5" fontId="24" numFmtId="0" xfId="0" applyAlignment="1" applyBorder="1" applyFont="1">
      <alignment shrinkToFit="0" vertical="center" wrapText="1"/>
    </xf>
    <xf borderId="31" fillId="2" fontId="23" numFmtId="0" xfId="0" applyAlignment="1" applyBorder="1" applyFont="1">
      <alignment horizontal="center" vertical="top"/>
    </xf>
    <xf borderId="26" fillId="0" fontId="24" numFmtId="0" xfId="0" applyAlignment="1" applyBorder="1" applyFont="1">
      <alignment vertical="center"/>
    </xf>
    <xf borderId="35" fillId="5" fontId="23" numFmtId="0" xfId="0" applyAlignment="1" applyBorder="1" applyFont="1">
      <alignment horizontal="center" readingOrder="0" vertical="center"/>
    </xf>
    <xf borderId="29" fillId="0" fontId="24" numFmtId="0" xfId="0" applyAlignment="1" applyBorder="1" applyFont="1">
      <alignment shrinkToFit="0" vertical="center" wrapText="1"/>
    </xf>
    <xf borderId="30" fillId="0" fontId="24" numFmtId="0" xfId="0" applyAlignment="1" applyBorder="1" applyFont="1">
      <alignment readingOrder="0" vertical="center"/>
    </xf>
    <xf borderId="55" fillId="0" fontId="14" numFmtId="0" xfId="0" applyAlignment="1" applyBorder="1" applyFont="1">
      <alignment vertical="center"/>
    </xf>
    <xf borderId="25" fillId="5" fontId="23" numFmtId="0" xfId="0" applyAlignment="1" applyBorder="1" applyFont="1">
      <alignment vertical="center"/>
    </xf>
    <xf borderId="26" fillId="5" fontId="23" numFmtId="0" xfId="0" applyAlignment="1" applyBorder="1" applyFont="1">
      <alignment vertical="center"/>
    </xf>
    <xf borderId="6" fillId="5" fontId="23" numFmtId="0" xfId="0" applyAlignment="1" applyBorder="1" applyFont="1">
      <alignment vertical="center"/>
    </xf>
    <xf borderId="29" fillId="5" fontId="23" numFmtId="0" xfId="0" applyAlignment="1" applyBorder="1" applyFont="1">
      <alignment vertical="center"/>
    </xf>
    <xf borderId="56" fillId="2" fontId="23" numFmtId="0" xfId="0" applyAlignment="1" applyBorder="1" applyFont="1">
      <alignment horizontal="center" vertical="top"/>
    </xf>
    <xf borderId="56" fillId="2" fontId="23" numFmtId="0" xfId="0" applyAlignment="1" applyBorder="1" applyFont="1">
      <alignment horizontal="center" vertical="center"/>
    </xf>
    <xf borderId="31" fillId="5" fontId="23" numFmtId="0" xfId="0" applyAlignment="1" applyBorder="1" applyFont="1">
      <alignment vertical="center"/>
    </xf>
    <xf borderId="57" fillId="0" fontId="14" numFmtId="0" xfId="0" applyAlignment="1" applyBorder="1" applyFont="1">
      <alignment vertical="center"/>
    </xf>
    <xf borderId="24" fillId="2" fontId="23" numFmtId="0" xfId="0" applyAlignment="1" applyBorder="1" applyFont="1">
      <alignment horizontal="center" vertical="top"/>
    </xf>
    <xf borderId="58" fillId="0" fontId="23" numFmtId="0" xfId="0" applyAlignment="1" applyBorder="1" applyFont="1">
      <alignment horizontal="left" vertical="center"/>
    </xf>
    <xf borderId="8" fillId="0" fontId="24" numFmtId="0" xfId="0" applyAlignment="1" applyBorder="1" applyFont="1">
      <alignment shrinkToFit="0" vertical="center" wrapText="1"/>
    </xf>
    <xf borderId="33" fillId="0" fontId="24" numFmtId="0" xfId="0" applyAlignment="1" applyBorder="1" applyFont="1">
      <alignment vertical="center"/>
    </xf>
    <xf borderId="59" fillId="0" fontId="24" numFmtId="0" xfId="0" applyAlignment="1" applyBorder="1" applyFont="1">
      <alignment shrinkToFit="0" vertical="center" wrapText="1"/>
    </xf>
    <xf borderId="60" fillId="0" fontId="24" numFmtId="0" xfId="0" applyAlignment="1" applyBorder="1" applyFont="1">
      <alignment shrinkToFit="0" vertical="center" wrapText="1"/>
    </xf>
    <xf borderId="0" fillId="6" fontId="25" numFmtId="0" xfId="0" applyAlignment="1" applyFill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18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14" numFmtId="0" xfId="0" applyAlignment="1" applyBorder="1" applyFont="1">
      <alignment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61" fillId="3" fontId="18" numFmtId="0" xfId="0" applyAlignment="1" applyBorder="1" applyFont="1">
      <alignment horizontal="center" shrinkToFit="0" vertical="center" wrapText="1"/>
    </xf>
    <xf borderId="62" fillId="3" fontId="18" numFmtId="0" xfId="0" applyAlignment="1" applyBorder="1" applyFont="1">
      <alignment horizontal="center" shrinkToFit="0" vertical="center" wrapText="1"/>
    </xf>
    <xf borderId="63" fillId="3" fontId="18" numFmtId="0" xfId="0" applyAlignment="1" applyBorder="1" applyFont="1">
      <alignment horizontal="center" shrinkToFit="0" vertical="center" wrapText="1"/>
    </xf>
    <xf borderId="64" fillId="0" fontId="14" numFmtId="0" xfId="0" applyAlignment="1" applyBorder="1" applyFont="1">
      <alignment vertical="center"/>
    </xf>
    <xf borderId="65" fillId="3" fontId="18" numFmtId="0" xfId="0" applyAlignment="1" applyBorder="1" applyFont="1">
      <alignment horizontal="center" shrinkToFit="0" vertical="center" wrapText="1"/>
    </xf>
    <xf borderId="66" fillId="0" fontId="14" numFmtId="0" xfId="0" applyAlignment="1" applyBorder="1" applyFont="1">
      <alignment vertical="center"/>
    </xf>
    <xf borderId="6" fillId="3" fontId="18" numFmtId="0" xfId="0" applyAlignment="1" applyBorder="1" applyFont="1">
      <alignment horizontal="center" shrinkToFit="0" vertical="center" wrapText="1"/>
    </xf>
    <xf borderId="67" fillId="0" fontId="14" numFmtId="0" xfId="0" applyAlignment="1" applyBorder="1" applyFont="1">
      <alignment vertical="center"/>
    </xf>
    <xf borderId="68" fillId="0" fontId="17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9" xfId="0" applyAlignment="1" applyBorder="1" applyFont="1" applyNumberFormat="1">
      <alignment horizontal="center" readingOrder="0" shrinkToFit="0" vertical="center" wrapText="1"/>
    </xf>
    <xf borderId="6" fillId="0" fontId="17" numFmtId="0" xfId="0" applyAlignment="1" applyBorder="1" applyFont="1">
      <alignment horizontal="left" shrinkToFit="0" vertical="center" wrapText="1"/>
    </xf>
    <xf borderId="69" fillId="0" fontId="17" numFmtId="0" xfId="0" applyAlignment="1" applyBorder="1" applyFont="1">
      <alignment horizontal="center" shrinkToFit="0" vertical="center" wrapText="1"/>
    </xf>
    <xf borderId="69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horizontal="left" readingOrder="0" shrinkToFit="0" vertical="center" wrapText="1"/>
    </xf>
    <xf borderId="69" fillId="0" fontId="17" numFmtId="0" xfId="0" applyAlignment="1" applyBorder="1" applyFont="1">
      <alignment horizontal="center" readingOrder="0" shrinkToFit="0" vertical="center" wrapText="1"/>
    </xf>
    <xf borderId="70" fillId="0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shrinkToFit="0" vertical="center" wrapText="1"/>
    </xf>
    <xf borderId="5" fillId="0" fontId="17" numFmtId="0" xfId="0" applyAlignment="1" applyBorder="1" applyFont="1">
      <alignment horizontal="center" readingOrder="0" vertical="center"/>
    </xf>
    <xf borderId="5" fillId="0" fontId="17" numFmtId="9" xfId="0" applyAlignment="1" applyBorder="1" applyFont="1" applyNumberFormat="1">
      <alignment horizontal="center" readingOrder="0" shrinkToFit="0" vertical="center" wrapText="1"/>
    </xf>
    <xf borderId="5" fillId="0" fontId="17" numFmtId="0" xfId="0" applyAlignment="1" applyBorder="1" applyFont="1">
      <alignment horizontal="left" readingOrder="0" shrinkToFit="0" vertical="center" wrapText="1"/>
    </xf>
    <xf borderId="71" fillId="0" fontId="17" numFmtId="0" xfId="0" applyAlignment="1" applyBorder="1" applyFont="1">
      <alignment horizontal="center" shrinkToFit="0" vertical="center" wrapText="1"/>
    </xf>
    <xf borderId="72" fillId="0" fontId="17" numFmtId="0" xfId="0" applyAlignment="1" applyBorder="1" applyFont="1">
      <alignment shrinkToFit="0" vertical="center" wrapText="1"/>
    </xf>
    <xf borderId="72" fillId="0" fontId="17" numFmtId="0" xfId="0" applyAlignment="1" applyBorder="1" applyFont="1">
      <alignment horizontal="center" vertical="center"/>
    </xf>
    <xf borderId="72" fillId="0" fontId="17" numFmtId="0" xfId="0" applyAlignment="1" applyBorder="1" applyFont="1">
      <alignment horizontal="center" readingOrder="0" vertical="center"/>
    </xf>
    <xf borderId="72" fillId="0" fontId="17" numFmtId="9" xfId="0" applyAlignment="1" applyBorder="1" applyFont="1" applyNumberFormat="1">
      <alignment horizontal="center" readingOrder="0" shrinkToFit="0" vertical="center" wrapText="1"/>
    </xf>
    <xf borderId="72" fillId="0" fontId="17" numFmtId="0" xfId="0" applyAlignment="1" applyBorder="1" applyFont="1">
      <alignment horizontal="left" shrinkToFit="0" vertical="center" wrapText="1"/>
    </xf>
    <xf borderId="73" fillId="0" fontId="17" numFmtId="0" xfId="0" applyAlignment="1" applyBorder="1" applyFont="1">
      <alignment horizontal="center" shrinkToFit="0" vertical="center" wrapText="1"/>
    </xf>
    <xf borderId="74" fillId="0" fontId="18" numFmtId="0" xfId="0" applyAlignment="1" applyBorder="1" applyFont="1">
      <alignment horizontal="left" shrinkToFit="0" vertical="center" wrapText="1"/>
    </xf>
    <xf borderId="75" fillId="0" fontId="14" numFmtId="0" xfId="0" applyAlignment="1" applyBorder="1" applyFont="1">
      <alignment vertical="center"/>
    </xf>
    <xf borderId="76" fillId="0" fontId="14" numFmtId="0" xfId="0" applyAlignment="1" applyBorder="1" applyFont="1">
      <alignment vertical="center"/>
    </xf>
    <xf borderId="74" fillId="0" fontId="18" numFmtId="0" xfId="0" applyAlignment="1" applyBorder="1" applyFont="1">
      <alignment shrinkToFit="0" vertical="center" wrapText="1"/>
    </xf>
    <xf borderId="77" fillId="0" fontId="7" numFmtId="0" xfId="0" applyAlignment="1" applyBorder="1" applyFont="1">
      <alignment horizontal="right" shrinkToFit="0" vertical="center" wrapText="1"/>
    </xf>
    <xf borderId="78" fillId="0" fontId="14" numFmtId="0" xfId="0" applyAlignment="1" applyBorder="1" applyFont="1">
      <alignment vertical="center"/>
    </xf>
    <xf borderId="79" fillId="0" fontId="14" numFmtId="0" xfId="0" applyAlignment="1" applyBorder="1" applyFont="1">
      <alignment vertical="center"/>
    </xf>
    <xf borderId="77" fillId="0" fontId="18" numFmtId="0" xfId="0" applyAlignment="1" applyBorder="1" applyFont="1">
      <alignment horizontal="right" shrinkToFit="0" vertical="center" wrapText="1"/>
    </xf>
    <xf borderId="3" fillId="0" fontId="3" numFmtId="0" xfId="0" applyAlignment="1" applyBorder="1" applyFont="1">
      <alignment vertical="center"/>
    </xf>
    <xf borderId="0" fillId="0" fontId="29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5" fillId="7" fontId="18" numFmtId="0" xfId="0" applyAlignment="1" applyBorder="1" applyFill="1" applyFont="1">
      <alignment horizontal="center" shrinkToFit="0" vertical="center" wrapText="1"/>
    </xf>
    <xf borderId="6" fillId="7" fontId="18" numFmtId="0" xfId="0" applyAlignment="1" applyBorder="1" applyFont="1">
      <alignment horizontal="center" shrinkToFit="0" vertical="center" wrapText="1"/>
    </xf>
    <xf borderId="6" fillId="7" fontId="18" numFmtId="0" xfId="0" applyAlignment="1" applyBorder="1" applyFont="1">
      <alignment horizontal="center" readingOrder="0" shrinkToFit="0" vertical="center" wrapText="1"/>
    </xf>
    <xf borderId="6" fillId="2" fontId="10" numFmtId="0" xfId="0" applyAlignment="1" applyBorder="1" applyFont="1">
      <alignment horizontal="center" vertical="center"/>
    </xf>
    <xf borderId="6" fillId="2" fontId="10" numFmtId="0" xfId="0" applyAlignment="1" applyBorder="1" applyFont="1">
      <alignment vertical="center"/>
    </xf>
    <xf borderId="6" fillId="0" fontId="30" numFmtId="0" xfId="0" applyAlignment="1" applyBorder="1" applyFont="1">
      <alignment horizontal="center" readingOrder="0" shrinkToFit="0" vertical="bottom" wrapText="0"/>
    </xf>
    <xf borderId="6" fillId="2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6" fillId="0" fontId="31" numFmtId="0" xfId="0" applyAlignment="1" applyBorder="1" applyFont="1">
      <alignment horizontal="center" readingOrder="0" shrinkToFit="0" vertical="bottom" wrapText="0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6" fillId="2" fontId="10" numFmtId="0" xfId="0" applyAlignment="1" applyBorder="1" applyFont="1">
      <alignment shrinkToFit="0" vertical="center" wrapText="1"/>
    </xf>
    <xf borderId="77" fillId="0" fontId="7" numFmtId="0" xfId="0" applyAlignment="1" applyBorder="1" applyFont="1">
      <alignment shrinkToFit="0" vertical="center" wrapText="1"/>
    </xf>
    <xf borderId="79" fillId="0" fontId="18" numFmtId="0" xfId="0" applyAlignment="1" applyBorder="1" applyFont="1">
      <alignment horizontal="center" shrinkToFit="0" vertical="center" wrapText="1"/>
    </xf>
    <xf borderId="79" fillId="0" fontId="18" numFmtId="0" xfId="0" applyAlignment="1" applyBorder="1" applyFont="1">
      <alignment horizontal="center" readingOrder="0" shrinkToFit="0" vertical="center" wrapText="1"/>
    </xf>
    <xf borderId="80" fillId="0" fontId="2" numFmtId="0" xfId="0" applyAlignment="1" applyBorder="1" applyFont="1">
      <alignment vertical="center"/>
    </xf>
    <xf borderId="1" fillId="0" fontId="7" numFmtId="0" xfId="0" applyAlignment="1" applyBorder="1" applyFont="1">
      <alignment shrinkToFit="0" vertical="center" wrapText="1"/>
    </xf>
    <xf borderId="3" fillId="0" fontId="14" numFmtId="0" xfId="0" applyAlignment="1" applyBorder="1" applyFont="1">
      <alignment vertical="center"/>
    </xf>
    <xf borderId="1" fillId="0" fontId="18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3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7" numFmtId="0" xfId="0" applyAlignment="1" applyFont="1">
      <alignment horizontal="center" vertical="bottom"/>
    </xf>
    <xf borderId="0" fillId="0" fontId="32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81" fillId="0" fontId="3" numFmtId="0" xfId="0" applyAlignment="1" applyBorder="1" applyFont="1">
      <alignment vertical="bottom"/>
    </xf>
    <xf borderId="81" fillId="0" fontId="14" numFmtId="0" xfId="0" applyAlignment="1" applyBorder="1" applyFont="1">
      <alignment vertical="center"/>
    </xf>
    <xf borderId="6" fillId="7" fontId="33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6" fillId="0" fontId="10" numFmtId="3" xfId="0" applyAlignment="1" applyBorder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left" shrinkToFit="0" vertical="center" wrapText="1"/>
    </xf>
    <xf borderId="6" fillId="0" fontId="10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left" vertical="top"/>
    </xf>
    <xf borderId="0" fillId="0" fontId="6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4" fillId="2" fontId="12" numFmtId="3" xfId="0" applyAlignment="1" applyBorder="1" applyFont="1" applyNumberFormat="1">
      <alignment vertical="bottom"/>
    </xf>
    <xf borderId="0" fillId="0" fontId="4" numFmtId="164" xfId="0" applyAlignment="1" applyFont="1" applyNumberFormat="1">
      <alignment horizontal="center" vertical="top"/>
    </xf>
    <xf borderId="0" fillId="0" fontId="4" numFmtId="1" xfId="0" applyAlignment="1" applyFont="1" applyNumberFormat="1">
      <alignment horizontal="center" vertical="top"/>
    </xf>
    <xf borderId="0" fillId="0" fontId="4" numFmtId="0" xfId="0" applyAlignment="1" applyFont="1">
      <alignment horizontal="left" vertical="bottom"/>
    </xf>
    <xf quotePrefix="1" borderId="0" fillId="0" fontId="4" numFmtId="0" xfId="0" applyAlignment="1" applyFont="1">
      <alignment horizontal="center" vertical="top"/>
    </xf>
    <xf borderId="5" fillId="0" fontId="4" numFmtId="0" xfId="0" applyAlignment="1" applyBorder="1" applyFont="1">
      <alignment horizontal="left" vertical="bottom"/>
    </xf>
    <xf borderId="5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left" vertical="bottom"/>
    </xf>
    <xf borderId="9" fillId="0" fontId="11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center" shrinkToFit="0" vertical="center" wrapText="1"/>
    </xf>
    <xf borderId="5" fillId="0" fontId="34" numFmtId="0" xfId="0" applyAlignment="1" applyBorder="1" applyFont="1">
      <alignment horizontal="center" vertical="bottom"/>
    </xf>
    <xf borderId="9" fillId="0" fontId="11" numFmtId="0" xfId="0" applyAlignment="1" applyBorder="1" applyFont="1">
      <alignment vertical="bottom"/>
    </xf>
    <xf borderId="5" fillId="2" fontId="4" numFmtId="0" xfId="0" applyAlignment="1" applyBorder="1" applyFont="1">
      <alignment horizontal="center" vertical="bottom"/>
    </xf>
    <xf borderId="5" fillId="2" fontId="4" numFmtId="164" xfId="0" applyAlignment="1" applyBorder="1" applyFont="1" applyNumberFormat="1">
      <alignment horizontal="center" vertical="bottom"/>
    </xf>
    <xf borderId="5" fillId="2" fontId="4" numFmtId="1" xfId="0" applyAlignment="1" applyBorder="1" applyFont="1" applyNumberFormat="1">
      <alignment horizontal="center" vertical="bottom"/>
    </xf>
    <xf borderId="6" fillId="2" fontId="30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2" fontId="12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bottom"/>
    </xf>
    <xf borderId="6" fillId="0" fontId="4" numFmtId="1" xfId="0" applyAlignment="1" applyBorder="1" applyFont="1" applyNumberFormat="1">
      <alignment horizontal="center" vertical="bottom"/>
    </xf>
    <xf borderId="6" fillId="2" fontId="4" numFmtId="0" xfId="0" applyAlignment="1" applyBorder="1" applyFont="1">
      <alignment horizontal="center" vertical="bottom"/>
    </xf>
    <xf borderId="6" fillId="2" fontId="35" numFmtId="3" xfId="0" applyAlignment="1" applyBorder="1" applyFont="1" applyNumberFormat="1">
      <alignment horizontal="center" vertical="center"/>
    </xf>
    <xf borderId="6" fillId="2" fontId="35" numFmtId="0" xfId="0" applyAlignment="1" applyBorder="1" applyFont="1">
      <alignment horizontal="center" vertical="bottom"/>
    </xf>
    <xf borderId="6" fillId="2" fontId="4" numFmtId="1" xfId="0" applyAlignment="1" applyBorder="1" applyFont="1" applyNumberFormat="1">
      <alignment horizontal="center" vertical="bottom"/>
    </xf>
    <xf borderId="6" fillId="2" fontId="4" numFmtId="0" xfId="0" applyAlignment="1" applyBorder="1" applyFont="1">
      <alignment horizontal="center" vertical="center"/>
    </xf>
    <xf borderId="6" fillId="4" fontId="4" numFmtId="3" xfId="0" applyAlignment="1" applyBorder="1" applyFont="1" applyNumberFormat="1">
      <alignment horizontal="center" vertical="center"/>
    </xf>
    <xf borderId="9" fillId="0" fontId="11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bottom"/>
    </xf>
    <xf borderId="9" fillId="2" fontId="36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shrinkToFit="0" vertical="bottom" wrapText="1"/>
    </xf>
    <xf borderId="0" fillId="0" fontId="4" numFmtId="164" xfId="0" applyAlignment="1" applyFont="1" applyNumberFormat="1">
      <alignment horizontal="center" vertical="bottom"/>
    </xf>
    <xf borderId="4" fillId="4" fontId="1" numFmtId="3" xfId="0" applyAlignment="1" applyBorder="1" applyFont="1" applyNumberFormat="1">
      <alignment horizontal="left" vertical="bottom"/>
    </xf>
    <xf borderId="0" fillId="0" fontId="4" numFmtId="0" xfId="0" applyAlignment="1" applyFont="1">
      <alignment horizontal="left" vertical="top"/>
    </xf>
    <xf borderId="0" fillId="0" fontId="1" numFmtId="3" xfId="0" applyAlignment="1" applyFont="1" applyNumberFormat="1">
      <alignment horizontal="left" vertical="bottom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left" vertical="top"/>
    </xf>
    <xf borderId="0" fillId="0" fontId="4" numFmtId="0" xfId="0" applyAlignment="1" applyFont="1">
      <alignment horizontal="center" shrinkToFit="0" vertical="bottom" wrapText="1"/>
    </xf>
    <xf borderId="9" fillId="0" fontId="30" numFmtId="0" xfId="0" applyAlignment="1" applyBorder="1" applyFont="1">
      <alignment horizontal="center" vertical="bottom"/>
    </xf>
    <xf borderId="9" fillId="0" fontId="30" numFmtId="0" xfId="0" applyAlignment="1" applyBorder="1" applyFont="1">
      <alignment horizontal="center" shrinkToFit="0" vertical="center" wrapText="1"/>
    </xf>
    <xf borderId="5" fillId="0" fontId="37" numFmtId="0" xfId="0" applyAlignment="1" applyBorder="1" applyFont="1">
      <alignment horizontal="center" vertical="bottom"/>
    </xf>
    <xf borderId="9" fillId="0" fontId="30" numFmtId="0" xfId="0" applyAlignment="1" applyBorder="1" applyFont="1">
      <alignment vertical="bottom"/>
    </xf>
    <xf borderId="5" fillId="0" fontId="17" numFmtId="0" xfId="0" applyAlignment="1" applyBorder="1" applyFont="1">
      <alignment horizontal="center" vertical="bottom"/>
    </xf>
    <xf borderId="5" fillId="2" fontId="17" numFmtId="0" xfId="0" applyAlignment="1" applyBorder="1" applyFont="1">
      <alignment horizontal="center" vertical="bottom"/>
    </xf>
    <xf borderId="5" fillId="2" fontId="17" numFmtId="164" xfId="0" applyAlignment="1" applyBorder="1" applyFont="1" applyNumberFormat="1">
      <alignment horizontal="center" vertical="bottom"/>
    </xf>
    <xf borderId="5" fillId="2" fontId="17" numFmtId="1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center" vertical="bottom"/>
    </xf>
    <xf borderId="6" fillId="0" fontId="1" numFmtId="1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horizontal="center" vertical="bottom"/>
    </xf>
    <xf borderId="6" fillId="2" fontId="38" numFmtId="3" xfId="0" applyAlignment="1" applyBorder="1" applyFont="1" applyNumberFormat="1">
      <alignment horizontal="center" vertical="center"/>
    </xf>
    <xf borderId="6" fillId="2" fontId="38" numFmtId="0" xfId="0" applyAlignment="1" applyBorder="1" applyFont="1">
      <alignment horizontal="center" vertical="bottom"/>
    </xf>
    <xf borderId="6" fillId="2" fontId="1" numFmtId="1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horizontal="center" vertical="center"/>
    </xf>
    <xf borderId="6" fillId="4" fontId="1" numFmtId="3" xfId="0" applyAlignment="1" applyBorder="1" applyFont="1" applyNumberFormat="1">
      <alignment horizontal="center" vertical="center"/>
    </xf>
    <xf borderId="6" fillId="2" fontId="1" numFmtId="0" xfId="0" applyAlignment="1" applyBorder="1" applyFont="1">
      <alignment horizontal="left" shrinkToFit="0" vertical="center" wrapText="1"/>
    </xf>
    <xf borderId="6" fillId="2" fontId="38" numFmtId="0" xfId="0" applyAlignment="1" applyBorder="1" applyFont="1">
      <alignment horizontal="center" vertical="center"/>
    </xf>
    <xf borderId="40" fillId="0" fontId="11" numFmtId="0" xfId="0" applyAlignment="1" applyBorder="1" applyFont="1">
      <alignment horizontal="center" vertical="center"/>
    </xf>
    <xf borderId="82" fillId="0" fontId="14" numFmtId="0" xfId="0" applyAlignment="1" applyBorder="1" applyFont="1">
      <alignment vertical="center"/>
    </xf>
    <xf borderId="81" fillId="0" fontId="4" numFmtId="0" xfId="0" applyAlignment="1" applyBorder="1" applyFont="1">
      <alignment horizontal="center" vertical="bottom"/>
    </xf>
    <xf borderId="40" fillId="0" fontId="4" numFmtId="0" xfId="0" applyAlignment="1" applyBorder="1" applyFont="1">
      <alignment horizontal="center" vertical="bottom"/>
    </xf>
    <xf borderId="83" fillId="2" fontId="36" numFmtId="0" xfId="0" applyAlignment="1" applyBorder="1" applyFont="1">
      <alignment horizontal="center" vertical="bottom"/>
    </xf>
    <xf borderId="84" fillId="0" fontId="14" numFmtId="0" xfId="0" applyAlignment="1" applyBorder="1" applyFont="1">
      <alignment vertical="center"/>
    </xf>
    <xf borderId="40" fillId="0" fontId="4" numFmtId="0" xfId="0" applyAlignment="1" applyBorder="1" applyFont="1">
      <alignment horizontal="center" shrinkToFit="0" vertical="bottom" wrapText="1"/>
    </xf>
    <xf borderId="85" fillId="4" fontId="4" numFmtId="3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bottom"/>
    </xf>
    <xf borderId="5" fillId="2" fontId="1" numFmtId="164" xfId="0" applyAlignment="1" applyBorder="1" applyFont="1" applyNumberFormat="1">
      <alignment horizontal="center" vertical="bottom"/>
    </xf>
    <xf borderId="5" fillId="2" fontId="1" numFmtId="1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vertical="center"/>
    </xf>
    <xf borderId="6" fillId="2" fontId="1" numFmtId="3" xfId="0" applyAlignment="1" applyBorder="1" applyFont="1" applyNumberFormat="1">
      <alignment horizontal="center" vertical="center"/>
    </xf>
    <xf borderId="86" fillId="2" fontId="30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87" fillId="2" fontId="12" numFmtId="0" xfId="0" applyAlignment="1" applyBorder="1" applyFont="1">
      <alignment horizontal="left" vertical="center"/>
    </xf>
    <xf borderId="85" fillId="2" fontId="1" numFmtId="0" xfId="0" applyAlignment="1" applyBorder="1" applyFont="1">
      <alignment horizontal="center" vertical="center"/>
    </xf>
    <xf borderId="85" fillId="2" fontId="1" numFmtId="0" xfId="0" applyAlignment="1" applyBorder="1" applyFont="1">
      <alignment horizontal="center" vertical="bottom"/>
    </xf>
    <xf borderId="85" fillId="2" fontId="1" numFmtId="1" xfId="0" applyAlignment="1" applyBorder="1" applyFont="1" applyNumberFormat="1">
      <alignment horizontal="center" vertical="bottom"/>
    </xf>
    <xf borderId="85" fillId="2" fontId="1" numFmtId="0" xfId="0" applyAlignment="1" applyBorder="1" applyFont="1">
      <alignment horizontal="center" shrinkToFit="0" vertical="center" wrapText="1"/>
    </xf>
    <xf borderId="85" fillId="2" fontId="38" numFmtId="3" xfId="0" applyAlignment="1" applyBorder="1" applyFont="1" applyNumberFormat="1">
      <alignment horizontal="center" vertical="center"/>
    </xf>
    <xf borderId="85" fillId="2" fontId="38" numFmtId="0" xfId="0" applyAlignment="1" applyBorder="1" applyFont="1">
      <alignment horizontal="center" vertical="bottom"/>
    </xf>
    <xf borderId="85" fillId="2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4" numFmtId="1" xfId="0" applyAlignment="1" applyFont="1" applyNumberFormat="1">
      <alignment horizontal="left" vertical="center"/>
    </xf>
    <xf borderId="0" fillId="0" fontId="6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4" fillId="2" fontId="12" numFmtId="3" xfId="0" applyAlignment="1" applyBorder="1" applyFont="1" applyNumberFormat="1">
      <alignment vertical="center"/>
    </xf>
    <xf borderId="0" fillId="0" fontId="20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5" fillId="0" fontId="39" numFmtId="0" xfId="0" applyAlignment="1" applyBorder="1" applyFont="1">
      <alignment horizontal="center" vertical="center"/>
    </xf>
    <xf borderId="9" fillId="0" fontId="11" numFmtId="0" xfId="0" applyAlignment="1" applyBorder="1" applyFont="1">
      <alignment vertical="center"/>
    </xf>
    <xf borderId="5" fillId="2" fontId="4" numFmtId="0" xfId="0" applyAlignment="1" applyBorder="1" applyFont="1">
      <alignment horizontal="center" vertical="center"/>
    </xf>
    <xf borderId="5" fillId="2" fontId="4" numFmtId="164" xfId="0" applyAlignment="1" applyBorder="1" applyFont="1" applyNumberFormat="1">
      <alignment horizontal="center" vertical="center"/>
    </xf>
    <xf borderId="5" fillId="2" fontId="4" numFmtId="1" xfId="0" applyAlignment="1" applyBorder="1" applyFont="1" applyNumberFormat="1">
      <alignment horizontal="center" vertical="center"/>
    </xf>
    <xf borderId="88" fillId="2" fontId="12" numFmtId="0" xfId="0" applyAlignment="1" applyBorder="1" applyFont="1">
      <alignment horizontal="center" vertical="center"/>
    </xf>
    <xf borderId="79" fillId="0" fontId="1" numFmtId="0" xfId="0" applyAlignment="1" applyBorder="1" applyFont="1">
      <alignment horizontal="center" vertical="center"/>
    </xf>
    <xf borderId="89" fillId="2" fontId="1" numFmtId="0" xfId="0" applyAlignment="1" applyBorder="1" applyFont="1">
      <alignment horizontal="left" vertical="center"/>
    </xf>
    <xf borderId="6" fillId="0" fontId="1" numFmtId="1" xfId="0" applyAlignment="1" applyBorder="1" applyFont="1" applyNumberFormat="1">
      <alignment horizontal="center" vertical="center"/>
    </xf>
    <xf borderId="6" fillId="2" fontId="1" numFmtId="1" xfId="0" applyAlignment="1" applyBorder="1" applyFont="1" applyNumberFormat="1">
      <alignment horizontal="center" vertical="center"/>
    </xf>
    <xf borderId="89" fillId="2" fontId="1" numFmtId="0" xfId="0" applyAlignment="1" applyBorder="1" applyFont="1">
      <alignment horizontal="left" shrinkToFit="0" vertical="center" wrapText="1"/>
    </xf>
    <xf borderId="90" fillId="0" fontId="1" numFmtId="0" xfId="0" applyAlignment="1" applyBorder="1" applyFont="1">
      <alignment horizontal="center" vertical="center"/>
    </xf>
    <xf borderId="91" fillId="2" fontId="12" numFmtId="0" xfId="0" applyAlignment="1" applyBorder="1" applyFont="1">
      <alignment horizontal="center" vertical="center"/>
    </xf>
    <xf borderId="92" fillId="0" fontId="1" numFmtId="0" xfId="0" applyAlignment="1" applyBorder="1" applyFont="1">
      <alignment horizontal="center" vertical="center"/>
    </xf>
    <xf borderId="93" fillId="2" fontId="1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94" fillId="2" fontId="1" numFmtId="0" xfId="0" applyAlignment="1" applyBorder="1" applyFont="1">
      <alignment horizontal="left" shrinkToFit="0" vertical="center" wrapText="1"/>
    </xf>
    <xf borderId="95" fillId="2" fontId="1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left" vertical="center"/>
    </xf>
    <xf borderId="81" fillId="0" fontId="4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vertical="center"/>
    </xf>
    <xf borderId="83" fillId="2" fontId="36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4" fillId="4" fontId="1" numFmtId="3" xfId="0" applyAlignment="1" applyBorder="1" applyFont="1" applyNumberFormat="1">
      <alignment horizontal="left" vertical="center"/>
    </xf>
    <xf borderId="0" fillId="0" fontId="1" numFmtId="3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</xdr:row>
      <xdr:rowOff>123825</xdr:rowOff>
    </xdr:from>
    <xdr:ext cx="695325" cy="5334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3</xdr:row>
      <xdr:rowOff>57150</xdr:rowOff>
    </xdr:from>
    <xdr:ext cx="676275" cy="5715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0</xdr:row>
      <xdr:rowOff>104775</xdr:rowOff>
    </xdr:from>
    <xdr:ext cx="514350" cy="676275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219075</xdr:rowOff>
    </xdr:from>
    <xdr:ext cx="666750" cy="542925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800100" cy="6477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790575" cy="6477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819150" cy="6477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800100" cy="6477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3.75"/>
    <col customWidth="1" min="3" max="3" width="22.88"/>
    <col customWidth="1" min="4" max="4" width="5.88"/>
    <col customWidth="1" min="5" max="5" width="5.38"/>
    <col customWidth="1" min="6" max="6" width="4.75"/>
    <col customWidth="1" min="7" max="7" width="5.0"/>
    <col customWidth="1" min="8" max="8" width="3.88"/>
    <col customWidth="1" min="9" max="9" width="5.63"/>
    <col customWidth="1" min="10" max="10" width="4.13"/>
    <col customWidth="1" min="11" max="11" width="5.88"/>
    <col customWidth="1" min="12" max="12" width="4.75"/>
    <col customWidth="1" min="13" max="13" width="5.63"/>
    <col customWidth="1" min="14" max="14" width="3.88"/>
    <col customWidth="1" min="15" max="16" width="5.25"/>
    <col customWidth="1" min="17" max="17" width="4.75"/>
    <col customWidth="1" min="18" max="18" width="5.25"/>
    <col customWidth="1" min="19" max="19" width="5.13"/>
    <col customWidth="1" min="20" max="20" width="3.88"/>
    <col customWidth="1" min="21" max="21" width="5.13"/>
    <col customWidth="1" min="22" max="22" width="4.88"/>
    <col customWidth="1" min="23" max="23" width="5.38"/>
    <col hidden="1" min="24" max="26" width="12.63"/>
    <col customWidth="1" min="27" max="29" width="12.0"/>
  </cols>
  <sheetData>
    <row r="1" ht="15.0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 t="s">
        <v>0</v>
      </c>
      <c r="N1" s="4"/>
      <c r="O1" s="5"/>
      <c r="P1" s="5"/>
      <c r="Q1" s="5"/>
      <c r="R1" s="5"/>
      <c r="S1" s="5"/>
      <c r="T1" s="5"/>
      <c r="U1" s="6"/>
      <c r="V1" s="7"/>
    </row>
    <row r="2" ht="22.5" customHeight="1">
      <c r="A2" s="8" t="s">
        <v>1</v>
      </c>
    </row>
    <row r="3" ht="17.25" customHeight="1">
      <c r="A3" s="9" t="s">
        <v>2</v>
      </c>
      <c r="B3" s="10"/>
      <c r="C3" s="10"/>
      <c r="D3" s="10"/>
      <c r="E3" s="10"/>
      <c r="F3" s="10"/>
      <c r="G3" s="10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19.5" customHeight="1">
      <c r="A4" s="12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4</v>
      </c>
      <c r="N4" s="10"/>
      <c r="O4" s="10"/>
      <c r="P4" s="10"/>
      <c r="Q4" s="10"/>
      <c r="R4" s="10"/>
      <c r="S4" s="10"/>
      <c r="T4" s="10"/>
      <c r="U4" s="10"/>
      <c r="V4" s="10"/>
      <c r="AA4" s="13"/>
      <c r="AB4" s="13"/>
      <c r="AC4" s="13"/>
    </row>
    <row r="5" ht="20.25" customHeight="1">
      <c r="A5" s="14"/>
      <c r="B5" s="14"/>
      <c r="C5" s="15" t="s">
        <v>5</v>
      </c>
      <c r="D5" s="16"/>
      <c r="E5" s="14"/>
      <c r="F5" s="14"/>
      <c r="G5" s="14"/>
      <c r="H5" s="14"/>
      <c r="I5" s="14"/>
      <c r="J5" s="14"/>
      <c r="K5" s="17"/>
      <c r="L5" s="12" t="s">
        <v>6</v>
      </c>
      <c r="M5" s="18"/>
      <c r="N5" s="18"/>
      <c r="O5" s="19"/>
      <c r="P5" s="19"/>
      <c r="Q5" s="19"/>
      <c r="R5" s="19"/>
      <c r="S5" s="19"/>
      <c r="T5" s="20"/>
      <c r="U5" s="20"/>
      <c r="V5" s="21"/>
      <c r="AA5" s="13"/>
      <c r="AB5" s="13"/>
      <c r="AC5" s="13"/>
    </row>
    <row r="6" ht="14.25" customHeight="1">
      <c r="A6" s="22" t="s">
        <v>7</v>
      </c>
      <c r="B6" s="23" t="s">
        <v>8</v>
      </c>
      <c r="C6" s="24" t="s">
        <v>9</v>
      </c>
      <c r="D6" s="25">
        <v>36.0</v>
      </c>
      <c r="E6" s="26"/>
      <c r="F6" s="27">
        <v>32.0</v>
      </c>
      <c r="G6" s="26"/>
      <c r="H6" s="27">
        <v>51.0</v>
      </c>
      <c r="I6" s="26"/>
      <c r="J6" s="27">
        <v>47.0</v>
      </c>
      <c r="K6" s="26"/>
      <c r="L6" s="27">
        <v>11.0</v>
      </c>
      <c r="M6" s="26"/>
      <c r="N6" s="27">
        <v>21.0</v>
      </c>
      <c r="O6" s="26"/>
      <c r="P6" s="28">
        <v>8.0</v>
      </c>
      <c r="Q6" s="26"/>
      <c r="R6" s="29">
        <v>10.0</v>
      </c>
      <c r="S6" s="30"/>
      <c r="T6" s="27">
        <v>11.0</v>
      </c>
      <c r="U6" s="26"/>
      <c r="V6" s="31" t="s">
        <v>10</v>
      </c>
    </row>
    <row r="7" ht="15.75" customHeight="1">
      <c r="A7" s="32"/>
      <c r="B7" s="32"/>
      <c r="C7" s="24" t="s">
        <v>11</v>
      </c>
      <c r="D7" s="33" t="s">
        <v>12</v>
      </c>
      <c r="E7" s="26"/>
      <c r="F7" s="33" t="s">
        <v>13</v>
      </c>
      <c r="G7" s="26"/>
      <c r="H7" s="33" t="s">
        <v>14</v>
      </c>
      <c r="I7" s="26"/>
      <c r="J7" s="33" t="s">
        <v>15</v>
      </c>
      <c r="K7" s="26"/>
      <c r="L7" s="33" t="s">
        <v>16</v>
      </c>
      <c r="M7" s="26"/>
      <c r="N7" s="33" t="s">
        <v>17</v>
      </c>
      <c r="O7" s="26"/>
      <c r="P7" s="34" t="s">
        <v>18</v>
      </c>
      <c r="Q7" s="26"/>
      <c r="R7" s="33" t="s">
        <v>19</v>
      </c>
      <c r="S7" s="26"/>
      <c r="T7" s="33" t="s">
        <v>20</v>
      </c>
      <c r="U7" s="26"/>
      <c r="V7" s="32"/>
    </row>
    <row r="8" ht="15.75" customHeight="1">
      <c r="A8" s="32"/>
      <c r="B8" s="32"/>
      <c r="C8" s="24" t="s">
        <v>21</v>
      </c>
      <c r="D8" s="33" t="s">
        <v>22</v>
      </c>
      <c r="E8" s="26"/>
      <c r="F8" s="35" t="s">
        <v>23</v>
      </c>
      <c r="G8" s="26"/>
      <c r="H8" s="35" t="s">
        <v>24</v>
      </c>
      <c r="I8" s="26"/>
      <c r="J8" s="35" t="s">
        <v>25</v>
      </c>
      <c r="K8" s="26"/>
      <c r="L8" s="35" t="s">
        <v>26</v>
      </c>
      <c r="M8" s="26"/>
      <c r="N8" s="35" t="s">
        <v>27</v>
      </c>
      <c r="O8" s="26"/>
      <c r="P8" s="36" t="s">
        <v>28</v>
      </c>
      <c r="Q8" s="26"/>
      <c r="R8" s="35" t="s">
        <v>29</v>
      </c>
      <c r="S8" s="26"/>
      <c r="T8" s="35" t="s">
        <v>30</v>
      </c>
      <c r="U8" s="26"/>
      <c r="V8" s="32"/>
    </row>
    <row r="9" ht="11.25" customHeight="1">
      <c r="A9" s="32"/>
      <c r="B9" s="32"/>
      <c r="C9" s="37" t="s">
        <v>31</v>
      </c>
      <c r="D9" s="38" t="s">
        <v>32</v>
      </c>
      <c r="E9" s="39" t="s">
        <v>33</v>
      </c>
      <c r="F9" s="39" t="s">
        <v>32</v>
      </c>
      <c r="G9" s="39" t="s">
        <v>33</v>
      </c>
      <c r="H9" s="39" t="s">
        <v>32</v>
      </c>
      <c r="I9" s="39" t="s">
        <v>33</v>
      </c>
      <c r="J9" s="39" t="s">
        <v>32</v>
      </c>
      <c r="K9" s="39" t="s">
        <v>33</v>
      </c>
      <c r="L9" s="39" t="s">
        <v>32</v>
      </c>
      <c r="M9" s="39" t="s">
        <v>33</v>
      </c>
      <c r="N9" s="39" t="s">
        <v>32</v>
      </c>
      <c r="O9" s="39" t="s">
        <v>33</v>
      </c>
      <c r="P9" s="39" t="s">
        <v>32</v>
      </c>
      <c r="Q9" s="39" t="s">
        <v>33</v>
      </c>
      <c r="R9" s="39" t="s">
        <v>32</v>
      </c>
      <c r="S9" s="39" t="s">
        <v>33</v>
      </c>
      <c r="T9" s="39" t="s">
        <v>32</v>
      </c>
      <c r="U9" s="39" t="s">
        <v>33</v>
      </c>
      <c r="V9" s="32"/>
    </row>
    <row r="10" ht="9.0" customHeight="1">
      <c r="A10" s="40"/>
      <c r="B10" s="40"/>
      <c r="C10" s="40"/>
      <c r="D10" s="41"/>
      <c r="E10" s="42"/>
      <c r="F10" s="40"/>
      <c r="G10" s="40"/>
      <c r="H10" s="42"/>
      <c r="I10" s="42"/>
      <c r="J10" s="42"/>
      <c r="K10" s="42"/>
      <c r="L10" s="42"/>
      <c r="M10" s="42"/>
      <c r="N10" s="42"/>
      <c r="O10" s="40"/>
      <c r="P10" s="42"/>
      <c r="Q10" s="40"/>
      <c r="R10" s="42"/>
      <c r="S10" s="40"/>
      <c r="T10" s="42"/>
      <c r="U10" s="40"/>
      <c r="V10" s="42"/>
    </row>
    <row r="11" ht="22.5" customHeight="1">
      <c r="A11" s="43">
        <v>1.0</v>
      </c>
      <c r="B11" s="44" t="s">
        <v>34</v>
      </c>
      <c r="C11" s="45" t="s">
        <v>35</v>
      </c>
      <c r="D11" s="46">
        <v>35.0</v>
      </c>
      <c r="E11" s="47">
        <f t="shared" ref="E11:E63" si="1">(D11/36)*100</f>
        <v>97.22222222</v>
      </c>
      <c r="F11" s="46">
        <v>32.0</v>
      </c>
      <c r="G11" s="48">
        <f t="shared" ref="G11:G63" si="2">F11/32*100</f>
        <v>100</v>
      </c>
      <c r="H11" s="49">
        <v>47.0</v>
      </c>
      <c r="I11" s="48">
        <f t="shared" ref="I11:I63" si="3">(H11/51)*100</f>
        <v>92.15686275</v>
      </c>
      <c r="J11" s="50">
        <v>44.0</v>
      </c>
      <c r="K11" s="50">
        <v>93.62</v>
      </c>
      <c r="L11" s="51">
        <v>11.0</v>
      </c>
      <c r="M11" s="50">
        <v>100.0</v>
      </c>
      <c r="N11" s="52">
        <v>20.0</v>
      </c>
      <c r="O11" s="53">
        <f t="shared" ref="O11:O63" si="4">(N11/21)*100</f>
        <v>95.23809524</v>
      </c>
      <c r="P11" s="54">
        <v>8.0</v>
      </c>
      <c r="Q11" s="53">
        <f t="shared" ref="Q11:Q63" si="5">(P11/8)*100</f>
        <v>100</v>
      </c>
      <c r="R11" s="55">
        <v>10.0</v>
      </c>
      <c r="S11" s="53">
        <f t="shared" ref="S11:S37" si="6">ROUND((R11/10)*100,0)</f>
        <v>100</v>
      </c>
      <c r="T11" s="49">
        <v>10.0</v>
      </c>
      <c r="U11" s="56">
        <f t="shared" ref="U11:U63" si="7">(T11/11)*100</f>
        <v>90.90909091</v>
      </c>
      <c r="V11" s="53">
        <f t="shared" ref="V11:V63" si="8">AVERAGE(E11,G11,I11,K11,M11,O11,Q11,S11,U11)</f>
        <v>96.5718079</v>
      </c>
    </row>
    <row r="12" ht="20.25" customHeight="1">
      <c r="A12" s="43">
        <v>2.0</v>
      </c>
      <c r="B12" s="44" t="s">
        <v>36</v>
      </c>
      <c r="C12" s="45" t="s">
        <v>35</v>
      </c>
      <c r="D12" s="46">
        <v>35.0</v>
      </c>
      <c r="E12" s="47">
        <f t="shared" si="1"/>
        <v>97.22222222</v>
      </c>
      <c r="F12" s="46">
        <v>31.0</v>
      </c>
      <c r="G12" s="48">
        <f t="shared" si="2"/>
        <v>96.875</v>
      </c>
      <c r="H12" s="49">
        <v>49.0</v>
      </c>
      <c r="I12" s="48">
        <f t="shared" si="3"/>
        <v>96.07843137</v>
      </c>
      <c r="J12" s="50">
        <v>43.0</v>
      </c>
      <c r="K12" s="50">
        <v>91.49</v>
      </c>
      <c r="L12" s="51">
        <v>11.0</v>
      </c>
      <c r="M12" s="50">
        <v>100.0</v>
      </c>
      <c r="N12" s="52">
        <v>19.0</v>
      </c>
      <c r="O12" s="53">
        <f t="shared" si="4"/>
        <v>90.47619048</v>
      </c>
      <c r="P12" s="54">
        <v>8.0</v>
      </c>
      <c r="Q12" s="53">
        <f t="shared" si="5"/>
        <v>100</v>
      </c>
      <c r="R12" s="55">
        <v>10.0</v>
      </c>
      <c r="S12" s="53">
        <f t="shared" si="6"/>
        <v>100</v>
      </c>
      <c r="T12" s="49">
        <v>11.0</v>
      </c>
      <c r="U12" s="56">
        <f t="shared" si="7"/>
        <v>100</v>
      </c>
      <c r="V12" s="53">
        <f t="shared" si="8"/>
        <v>96.90464934</v>
      </c>
    </row>
    <row r="13" ht="18.0" customHeight="1">
      <c r="A13" s="43">
        <v>3.0</v>
      </c>
      <c r="B13" s="44" t="s">
        <v>37</v>
      </c>
      <c r="C13" s="45" t="s">
        <v>38</v>
      </c>
      <c r="D13" s="46">
        <v>32.0</v>
      </c>
      <c r="E13" s="47">
        <f t="shared" si="1"/>
        <v>88.88888889</v>
      </c>
      <c r="F13" s="46">
        <v>31.0</v>
      </c>
      <c r="G13" s="48">
        <f t="shared" si="2"/>
        <v>96.875</v>
      </c>
      <c r="H13" s="49">
        <v>51.0</v>
      </c>
      <c r="I13" s="48">
        <f t="shared" si="3"/>
        <v>100</v>
      </c>
      <c r="J13" s="50">
        <v>41.0</v>
      </c>
      <c r="K13" s="50">
        <v>87.23</v>
      </c>
      <c r="L13" s="51">
        <v>10.0</v>
      </c>
      <c r="M13" s="50">
        <v>90.9</v>
      </c>
      <c r="N13" s="52">
        <v>19.0</v>
      </c>
      <c r="O13" s="53">
        <f t="shared" si="4"/>
        <v>90.47619048</v>
      </c>
      <c r="P13" s="54">
        <v>8.0</v>
      </c>
      <c r="Q13" s="53">
        <f t="shared" si="5"/>
        <v>100</v>
      </c>
      <c r="R13" s="55">
        <v>10.0</v>
      </c>
      <c r="S13" s="53">
        <f t="shared" si="6"/>
        <v>100</v>
      </c>
      <c r="T13" s="49">
        <v>10.0</v>
      </c>
      <c r="U13" s="56">
        <f t="shared" si="7"/>
        <v>90.90909091</v>
      </c>
      <c r="V13" s="53">
        <f t="shared" si="8"/>
        <v>93.91990781</v>
      </c>
    </row>
    <row r="14" ht="18.0" customHeight="1">
      <c r="A14" s="43">
        <v>4.0</v>
      </c>
      <c r="B14" s="44" t="s">
        <v>39</v>
      </c>
      <c r="C14" s="45" t="s">
        <v>40</v>
      </c>
      <c r="D14" s="46">
        <v>28.0</v>
      </c>
      <c r="E14" s="47">
        <f t="shared" si="1"/>
        <v>77.77777778</v>
      </c>
      <c r="F14" s="46">
        <v>23.0</v>
      </c>
      <c r="G14" s="48">
        <f t="shared" si="2"/>
        <v>71.875</v>
      </c>
      <c r="H14" s="49">
        <v>49.0</v>
      </c>
      <c r="I14" s="48">
        <f t="shared" si="3"/>
        <v>96.07843137</v>
      </c>
      <c r="J14" s="50">
        <v>41.0</v>
      </c>
      <c r="K14" s="50">
        <v>87.23</v>
      </c>
      <c r="L14" s="51">
        <v>7.0</v>
      </c>
      <c r="M14" s="50">
        <v>63.6</v>
      </c>
      <c r="N14" s="52">
        <v>15.0</v>
      </c>
      <c r="O14" s="53">
        <f t="shared" si="4"/>
        <v>71.42857143</v>
      </c>
      <c r="P14" s="54">
        <v>4.0</v>
      </c>
      <c r="Q14" s="53">
        <f t="shared" si="5"/>
        <v>50</v>
      </c>
      <c r="R14" s="55">
        <v>9.0</v>
      </c>
      <c r="S14" s="53">
        <f t="shared" si="6"/>
        <v>90</v>
      </c>
      <c r="T14" s="49">
        <v>7.0</v>
      </c>
      <c r="U14" s="56">
        <f t="shared" si="7"/>
        <v>63.63636364</v>
      </c>
      <c r="V14" s="53">
        <f t="shared" si="8"/>
        <v>74.62512714</v>
      </c>
    </row>
    <row r="15" ht="18.0" customHeight="1">
      <c r="A15" s="43">
        <v>5.0</v>
      </c>
      <c r="B15" s="44" t="s">
        <v>41</v>
      </c>
      <c r="C15" s="45" t="s">
        <v>42</v>
      </c>
      <c r="D15" s="46">
        <v>23.0</v>
      </c>
      <c r="E15" s="47">
        <f t="shared" si="1"/>
        <v>63.88888889</v>
      </c>
      <c r="F15" s="46">
        <v>22.0</v>
      </c>
      <c r="G15" s="48">
        <f t="shared" si="2"/>
        <v>68.75</v>
      </c>
      <c r="H15" s="49">
        <v>40.0</v>
      </c>
      <c r="I15" s="48">
        <f t="shared" si="3"/>
        <v>78.43137255</v>
      </c>
      <c r="J15" s="50">
        <v>44.0</v>
      </c>
      <c r="K15" s="50">
        <v>93.62</v>
      </c>
      <c r="L15" s="51">
        <v>9.0</v>
      </c>
      <c r="M15" s="50">
        <v>81.8</v>
      </c>
      <c r="N15" s="52">
        <v>14.0</v>
      </c>
      <c r="O15" s="53">
        <f t="shared" si="4"/>
        <v>66.66666667</v>
      </c>
      <c r="P15" s="54">
        <v>5.0</v>
      </c>
      <c r="Q15" s="53">
        <f t="shared" si="5"/>
        <v>62.5</v>
      </c>
      <c r="R15" s="55">
        <v>9.0</v>
      </c>
      <c r="S15" s="53">
        <f t="shared" si="6"/>
        <v>90</v>
      </c>
      <c r="T15" s="49">
        <v>9.0</v>
      </c>
      <c r="U15" s="56">
        <f t="shared" si="7"/>
        <v>81.81818182</v>
      </c>
      <c r="V15" s="53">
        <f t="shared" si="8"/>
        <v>76.38612332</v>
      </c>
    </row>
    <row r="16" ht="18.0" customHeight="1">
      <c r="A16" s="43">
        <v>6.0</v>
      </c>
      <c r="B16" s="44" t="s">
        <v>43</v>
      </c>
      <c r="C16" s="45" t="s">
        <v>44</v>
      </c>
      <c r="D16" s="46">
        <v>24.0</v>
      </c>
      <c r="E16" s="47">
        <f t="shared" si="1"/>
        <v>66.66666667</v>
      </c>
      <c r="F16" s="46">
        <v>27.0</v>
      </c>
      <c r="G16" s="48">
        <f t="shared" si="2"/>
        <v>84.375</v>
      </c>
      <c r="H16" s="49">
        <v>41.0</v>
      </c>
      <c r="I16" s="48">
        <f t="shared" si="3"/>
        <v>80.39215686</v>
      </c>
      <c r="J16" s="50">
        <v>43.0</v>
      </c>
      <c r="K16" s="50">
        <v>91.49</v>
      </c>
      <c r="L16" s="51">
        <v>9.0</v>
      </c>
      <c r="M16" s="50">
        <v>81.8</v>
      </c>
      <c r="N16" s="52">
        <v>16.0</v>
      </c>
      <c r="O16" s="53">
        <f t="shared" si="4"/>
        <v>76.19047619</v>
      </c>
      <c r="P16" s="54">
        <v>3.0</v>
      </c>
      <c r="Q16" s="53">
        <f t="shared" si="5"/>
        <v>37.5</v>
      </c>
      <c r="R16" s="55">
        <v>9.0</v>
      </c>
      <c r="S16" s="53">
        <f t="shared" si="6"/>
        <v>90</v>
      </c>
      <c r="T16" s="49">
        <v>9.0</v>
      </c>
      <c r="U16" s="56">
        <f t="shared" si="7"/>
        <v>81.81818182</v>
      </c>
      <c r="V16" s="53">
        <f t="shared" si="8"/>
        <v>76.69249795</v>
      </c>
    </row>
    <row r="17" ht="18.0" customHeight="1">
      <c r="A17" s="43">
        <v>7.0</v>
      </c>
      <c r="B17" s="44" t="s">
        <v>45</v>
      </c>
      <c r="C17" s="45" t="s">
        <v>46</v>
      </c>
      <c r="D17" s="46">
        <v>27.0</v>
      </c>
      <c r="E17" s="47">
        <f t="shared" si="1"/>
        <v>75</v>
      </c>
      <c r="F17" s="46">
        <v>27.0</v>
      </c>
      <c r="G17" s="48">
        <f t="shared" si="2"/>
        <v>84.375</v>
      </c>
      <c r="H17" s="49">
        <v>45.0</v>
      </c>
      <c r="I17" s="48">
        <f t="shared" si="3"/>
        <v>88.23529412</v>
      </c>
      <c r="J17" s="50">
        <v>39.0</v>
      </c>
      <c r="K17" s="50">
        <v>82.98</v>
      </c>
      <c r="L17" s="51">
        <v>10.0</v>
      </c>
      <c r="M17" s="50">
        <v>90.9</v>
      </c>
      <c r="N17" s="52">
        <v>20.0</v>
      </c>
      <c r="O17" s="53">
        <f t="shared" si="4"/>
        <v>95.23809524</v>
      </c>
      <c r="P17" s="54">
        <v>3.0</v>
      </c>
      <c r="Q17" s="53">
        <f t="shared" si="5"/>
        <v>37.5</v>
      </c>
      <c r="R17" s="55">
        <v>7.0</v>
      </c>
      <c r="S17" s="53">
        <f t="shared" si="6"/>
        <v>70</v>
      </c>
      <c r="T17" s="49">
        <v>10.0</v>
      </c>
      <c r="U17" s="56">
        <f t="shared" si="7"/>
        <v>90.90909091</v>
      </c>
      <c r="V17" s="53">
        <f t="shared" si="8"/>
        <v>79.45972003</v>
      </c>
    </row>
    <row r="18" ht="18.0" customHeight="1">
      <c r="A18" s="43">
        <v>8.0</v>
      </c>
      <c r="B18" s="44" t="s">
        <v>47</v>
      </c>
      <c r="C18" s="45" t="s">
        <v>48</v>
      </c>
      <c r="D18" s="46">
        <v>18.0</v>
      </c>
      <c r="E18" s="47">
        <f t="shared" si="1"/>
        <v>50</v>
      </c>
      <c r="F18" s="46">
        <v>25.0</v>
      </c>
      <c r="G18" s="48">
        <f t="shared" si="2"/>
        <v>78.125</v>
      </c>
      <c r="H18" s="49">
        <v>34.0</v>
      </c>
      <c r="I18" s="48">
        <f t="shared" si="3"/>
        <v>66.66666667</v>
      </c>
      <c r="J18" s="50">
        <v>35.0</v>
      </c>
      <c r="K18" s="50">
        <v>74.47</v>
      </c>
      <c r="L18" s="51">
        <v>9.0</v>
      </c>
      <c r="M18" s="50">
        <v>81.8</v>
      </c>
      <c r="N18" s="52">
        <v>16.0</v>
      </c>
      <c r="O18" s="53">
        <f t="shared" si="4"/>
        <v>76.19047619</v>
      </c>
      <c r="P18" s="54">
        <v>5.0</v>
      </c>
      <c r="Q18" s="53">
        <f t="shared" si="5"/>
        <v>62.5</v>
      </c>
      <c r="R18" s="55">
        <v>8.0</v>
      </c>
      <c r="S18" s="53">
        <f t="shared" si="6"/>
        <v>80</v>
      </c>
      <c r="T18" s="49">
        <v>8.0</v>
      </c>
      <c r="U18" s="56">
        <f t="shared" si="7"/>
        <v>72.72727273</v>
      </c>
      <c r="V18" s="53">
        <f t="shared" si="8"/>
        <v>71.38660173</v>
      </c>
    </row>
    <row r="19" ht="18.0" customHeight="1">
      <c r="A19" s="43">
        <v>9.0</v>
      </c>
      <c r="B19" s="44" t="s">
        <v>49</v>
      </c>
      <c r="C19" s="45" t="s">
        <v>50</v>
      </c>
      <c r="D19" s="46">
        <v>25.0</v>
      </c>
      <c r="E19" s="47">
        <f t="shared" si="1"/>
        <v>69.44444444</v>
      </c>
      <c r="F19" s="46">
        <v>30.0</v>
      </c>
      <c r="G19" s="48">
        <f t="shared" si="2"/>
        <v>93.75</v>
      </c>
      <c r="H19" s="49">
        <v>40.0</v>
      </c>
      <c r="I19" s="48">
        <f t="shared" si="3"/>
        <v>78.43137255</v>
      </c>
      <c r="J19" s="50">
        <v>34.0</v>
      </c>
      <c r="K19" s="50">
        <v>72.34</v>
      </c>
      <c r="L19" s="51">
        <v>10.0</v>
      </c>
      <c r="M19" s="50">
        <v>90.9</v>
      </c>
      <c r="N19" s="52">
        <v>13.0</v>
      </c>
      <c r="O19" s="53">
        <f t="shared" si="4"/>
        <v>61.9047619</v>
      </c>
      <c r="P19" s="54">
        <v>6.0</v>
      </c>
      <c r="Q19" s="53">
        <f t="shared" si="5"/>
        <v>75</v>
      </c>
      <c r="R19" s="55">
        <v>10.0</v>
      </c>
      <c r="S19" s="53">
        <f t="shared" si="6"/>
        <v>100</v>
      </c>
      <c r="T19" s="49">
        <v>8.0</v>
      </c>
      <c r="U19" s="56">
        <f t="shared" si="7"/>
        <v>72.72727273</v>
      </c>
      <c r="V19" s="53">
        <f t="shared" si="8"/>
        <v>79.38865018</v>
      </c>
    </row>
    <row r="20" ht="18.0" customHeight="1">
      <c r="A20" s="43">
        <v>10.0</v>
      </c>
      <c r="B20" s="44" t="s">
        <v>51</v>
      </c>
      <c r="C20" s="45" t="s">
        <v>52</v>
      </c>
      <c r="D20" s="46">
        <v>16.0</v>
      </c>
      <c r="E20" s="47">
        <f t="shared" si="1"/>
        <v>44.44444444</v>
      </c>
      <c r="F20" s="46">
        <v>21.0</v>
      </c>
      <c r="G20" s="48">
        <f t="shared" si="2"/>
        <v>65.625</v>
      </c>
      <c r="H20" s="49">
        <v>39.0</v>
      </c>
      <c r="I20" s="48">
        <f t="shared" si="3"/>
        <v>76.47058824</v>
      </c>
      <c r="J20" s="50">
        <v>47.0</v>
      </c>
      <c r="K20" s="50">
        <v>100.0</v>
      </c>
      <c r="L20" s="51">
        <v>11.0</v>
      </c>
      <c r="M20" s="50">
        <v>100.0</v>
      </c>
      <c r="N20" s="52">
        <v>11.0</v>
      </c>
      <c r="O20" s="53">
        <f t="shared" si="4"/>
        <v>52.38095238</v>
      </c>
      <c r="P20" s="54">
        <v>6.0</v>
      </c>
      <c r="Q20" s="53">
        <f t="shared" si="5"/>
        <v>75</v>
      </c>
      <c r="R20" s="55">
        <v>8.0</v>
      </c>
      <c r="S20" s="53">
        <f t="shared" si="6"/>
        <v>80</v>
      </c>
      <c r="T20" s="49">
        <v>7.0</v>
      </c>
      <c r="U20" s="56">
        <f t="shared" si="7"/>
        <v>63.63636364</v>
      </c>
      <c r="V20" s="53">
        <f t="shared" si="8"/>
        <v>73.06192763</v>
      </c>
    </row>
    <row r="21" ht="18.0" customHeight="1">
      <c r="A21" s="43">
        <v>11.0</v>
      </c>
      <c r="B21" s="44" t="s">
        <v>53</v>
      </c>
      <c r="C21" s="45" t="s">
        <v>54</v>
      </c>
      <c r="D21" s="46">
        <v>14.0</v>
      </c>
      <c r="E21" s="47">
        <f t="shared" si="1"/>
        <v>38.88888889</v>
      </c>
      <c r="F21" s="46">
        <v>14.0</v>
      </c>
      <c r="G21" s="48">
        <f t="shared" si="2"/>
        <v>43.75</v>
      </c>
      <c r="H21" s="49">
        <v>22.0</v>
      </c>
      <c r="I21" s="48">
        <f t="shared" si="3"/>
        <v>43.1372549</v>
      </c>
      <c r="J21" s="50">
        <v>15.0</v>
      </c>
      <c r="K21" s="50">
        <v>31.91</v>
      </c>
      <c r="L21" s="51">
        <v>6.0</v>
      </c>
      <c r="M21" s="50">
        <v>54.5</v>
      </c>
      <c r="N21" s="52">
        <v>7.0</v>
      </c>
      <c r="O21" s="53">
        <f t="shared" si="4"/>
        <v>33.33333333</v>
      </c>
      <c r="P21" s="54">
        <v>4.0</v>
      </c>
      <c r="Q21" s="53">
        <f t="shared" si="5"/>
        <v>50</v>
      </c>
      <c r="R21" s="55">
        <v>6.0</v>
      </c>
      <c r="S21" s="53">
        <f t="shared" si="6"/>
        <v>60</v>
      </c>
      <c r="T21" s="49">
        <v>7.0</v>
      </c>
      <c r="U21" s="56">
        <f t="shared" si="7"/>
        <v>63.63636364</v>
      </c>
      <c r="V21" s="53">
        <f t="shared" si="8"/>
        <v>46.5728712</v>
      </c>
    </row>
    <row r="22" ht="18.0" customHeight="1">
      <c r="A22" s="43">
        <v>12.0</v>
      </c>
      <c r="B22" s="44" t="s">
        <v>55</v>
      </c>
      <c r="C22" s="45" t="s">
        <v>56</v>
      </c>
      <c r="D22" s="46">
        <v>22.0</v>
      </c>
      <c r="E22" s="47">
        <f t="shared" si="1"/>
        <v>61.11111111</v>
      </c>
      <c r="F22" s="46">
        <v>27.0</v>
      </c>
      <c r="G22" s="48">
        <f t="shared" si="2"/>
        <v>84.375</v>
      </c>
      <c r="H22" s="49">
        <v>29.0</v>
      </c>
      <c r="I22" s="48">
        <f t="shared" si="3"/>
        <v>56.8627451</v>
      </c>
      <c r="J22" s="50">
        <v>44.0</v>
      </c>
      <c r="K22" s="50">
        <v>93.62</v>
      </c>
      <c r="L22" s="51">
        <v>8.0</v>
      </c>
      <c r="M22" s="50">
        <v>72.7</v>
      </c>
      <c r="N22" s="52">
        <v>11.0</v>
      </c>
      <c r="O22" s="53">
        <f t="shared" si="4"/>
        <v>52.38095238</v>
      </c>
      <c r="P22" s="54">
        <v>6.0</v>
      </c>
      <c r="Q22" s="53">
        <f t="shared" si="5"/>
        <v>75</v>
      </c>
      <c r="R22" s="55">
        <v>6.0</v>
      </c>
      <c r="S22" s="53">
        <f t="shared" si="6"/>
        <v>60</v>
      </c>
      <c r="T22" s="49">
        <v>5.0</v>
      </c>
      <c r="U22" s="56">
        <f t="shared" si="7"/>
        <v>45.45454545</v>
      </c>
      <c r="V22" s="53">
        <f t="shared" si="8"/>
        <v>66.83381712</v>
      </c>
    </row>
    <row r="23" ht="18.0" customHeight="1">
      <c r="A23" s="43">
        <v>13.0</v>
      </c>
      <c r="B23" s="44" t="s">
        <v>57</v>
      </c>
      <c r="C23" s="45" t="s">
        <v>58</v>
      </c>
      <c r="D23" s="46">
        <v>26.0</v>
      </c>
      <c r="E23" s="47">
        <f t="shared" si="1"/>
        <v>72.22222222</v>
      </c>
      <c r="F23" s="46">
        <v>26.0</v>
      </c>
      <c r="G23" s="48">
        <f t="shared" si="2"/>
        <v>81.25</v>
      </c>
      <c r="H23" s="49">
        <v>42.0</v>
      </c>
      <c r="I23" s="48">
        <f t="shared" si="3"/>
        <v>82.35294118</v>
      </c>
      <c r="J23" s="50">
        <v>46.0</v>
      </c>
      <c r="K23" s="50">
        <v>97.87</v>
      </c>
      <c r="L23" s="51">
        <v>8.0</v>
      </c>
      <c r="M23" s="50">
        <v>72.7</v>
      </c>
      <c r="N23" s="52">
        <v>19.0</v>
      </c>
      <c r="O23" s="53">
        <f t="shared" si="4"/>
        <v>90.47619048</v>
      </c>
      <c r="P23" s="54">
        <v>6.0</v>
      </c>
      <c r="Q23" s="53">
        <f t="shared" si="5"/>
        <v>75</v>
      </c>
      <c r="R23" s="55">
        <v>8.0</v>
      </c>
      <c r="S23" s="53">
        <f t="shared" si="6"/>
        <v>80</v>
      </c>
      <c r="T23" s="49">
        <v>8.0</v>
      </c>
      <c r="U23" s="56">
        <f t="shared" si="7"/>
        <v>72.72727273</v>
      </c>
      <c r="V23" s="53">
        <f t="shared" si="8"/>
        <v>80.51095851</v>
      </c>
    </row>
    <row r="24" ht="18.0" customHeight="1">
      <c r="A24" s="43">
        <v>14.0</v>
      </c>
      <c r="B24" s="44" t="s">
        <v>59</v>
      </c>
      <c r="C24" s="45" t="s">
        <v>60</v>
      </c>
      <c r="D24" s="46">
        <v>27.0</v>
      </c>
      <c r="E24" s="47">
        <f t="shared" si="1"/>
        <v>75</v>
      </c>
      <c r="F24" s="46">
        <v>25.0</v>
      </c>
      <c r="G24" s="48">
        <f t="shared" si="2"/>
        <v>78.125</v>
      </c>
      <c r="H24" s="49">
        <v>47.0</v>
      </c>
      <c r="I24" s="48">
        <f t="shared" si="3"/>
        <v>92.15686275</v>
      </c>
      <c r="J24" s="50">
        <v>38.0</v>
      </c>
      <c r="K24" s="50">
        <v>80.85</v>
      </c>
      <c r="L24" s="51">
        <v>10.0</v>
      </c>
      <c r="M24" s="50">
        <v>90.9</v>
      </c>
      <c r="N24" s="52">
        <v>16.0</v>
      </c>
      <c r="O24" s="53">
        <f t="shared" si="4"/>
        <v>76.19047619</v>
      </c>
      <c r="P24" s="54">
        <v>5.0</v>
      </c>
      <c r="Q24" s="53">
        <f t="shared" si="5"/>
        <v>62.5</v>
      </c>
      <c r="R24" s="55">
        <v>8.0</v>
      </c>
      <c r="S24" s="53">
        <f t="shared" si="6"/>
        <v>80</v>
      </c>
      <c r="T24" s="49">
        <v>8.0</v>
      </c>
      <c r="U24" s="56">
        <f t="shared" si="7"/>
        <v>72.72727273</v>
      </c>
      <c r="V24" s="53">
        <f t="shared" si="8"/>
        <v>78.71662352</v>
      </c>
    </row>
    <row r="25" ht="18.0" customHeight="1">
      <c r="A25" s="43">
        <v>15.0</v>
      </c>
      <c r="B25" s="44" t="s">
        <v>61</v>
      </c>
      <c r="C25" s="45" t="s">
        <v>62</v>
      </c>
      <c r="D25" s="46">
        <v>28.0</v>
      </c>
      <c r="E25" s="47">
        <f t="shared" si="1"/>
        <v>77.77777778</v>
      </c>
      <c r="F25" s="46">
        <v>28.0</v>
      </c>
      <c r="G25" s="48">
        <f t="shared" si="2"/>
        <v>87.5</v>
      </c>
      <c r="H25" s="49">
        <v>48.0</v>
      </c>
      <c r="I25" s="48">
        <f t="shared" si="3"/>
        <v>94.11764706</v>
      </c>
      <c r="J25" s="50">
        <v>41.0</v>
      </c>
      <c r="K25" s="50">
        <v>87.23</v>
      </c>
      <c r="L25" s="51">
        <v>10.0</v>
      </c>
      <c r="M25" s="50">
        <v>90.9</v>
      </c>
      <c r="N25" s="52">
        <v>19.0</v>
      </c>
      <c r="O25" s="53">
        <f t="shared" si="4"/>
        <v>90.47619048</v>
      </c>
      <c r="P25" s="54">
        <v>8.0</v>
      </c>
      <c r="Q25" s="53">
        <f t="shared" si="5"/>
        <v>100</v>
      </c>
      <c r="R25" s="55">
        <v>9.0</v>
      </c>
      <c r="S25" s="53">
        <f t="shared" si="6"/>
        <v>90</v>
      </c>
      <c r="T25" s="49">
        <v>10.0</v>
      </c>
      <c r="U25" s="56">
        <f t="shared" si="7"/>
        <v>90.90909091</v>
      </c>
      <c r="V25" s="53">
        <f t="shared" si="8"/>
        <v>89.87896736</v>
      </c>
    </row>
    <row r="26" ht="18.0" customHeight="1">
      <c r="A26" s="43">
        <v>16.0</v>
      </c>
      <c r="B26" s="44" t="s">
        <v>63</v>
      </c>
      <c r="C26" s="45" t="s">
        <v>64</v>
      </c>
      <c r="D26" s="46">
        <v>29.0</v>
      </c>
      <c r="E26" s="47">
        <f t="shared" si="1"/>
        <v>80.55555556</v>
      </c>
      <c r="F26" s="46">
        <v>28.0</v>
      </c>
      <c r="G26" s="48">
        <f t="shared" si="2"/>
        <v>87.5</v>
      </c>
      <c r="H26" s="49">
        <v>44.0</v>
      </c>
      <c r="I26" s="48">
        <f t="shared" si="3"/>
        <v>86.2745098</v>
      </c>
      <c r="J26" s="50">
        <v>43.0</v>
      </c>
      <c r="K26" s="50">
        <v>91.49</v>
      </c>
      <c r="L26" s="51">
        <v>10.0</v>
      </c>
      <c r="M26" s="50">
        <v>90.9</v>
      </c>
      <c r="N26" s="52">
        <v>17.0</v>
      </c>
      <c r="O26" s="53">
        <f t="shared" si="4"/>
        <v>80.95238095</v>
      </c>
      <c r="P26" s="54">
        <v>6.0</v>
      </c>
      <c r="Q26" s="53">
        <f t="shared" si="5"/>
        <v>75</v>
      </c>
      <c r="R26" s="55">
        <v>9.0</v>
      </c>
      <c r="S26" s="53">
        <f t="shared" si="6"/>
        <v>90</v>
      </c>
      <c r="T26" s="49">
        <v>10.0</v>
      </c>
      <c r="U26" s="56">
        <f t="shared" si="7"/>
        <v>90.90909091</v>
      </c>
      <c r="V26" s="53">
        <f t="shared" si="8"/>
        <v>85.95350414</v>
      </c>
    </row>
    <row r="27" ht="18.0" customHeight="1">
      <c r="A27" s="43">
        <v>17.0</v>
      </c>
      <c r="B27" s="44" t="s">
        <v>65</v>
      </c>
      <c r="C27" s="45" t="s">
        <v>66</v>
      </c>
      <c r="D27" s="46">
        <v>23.0</v>
      </c>
      <c r="E27" s="47">
        <f t="shared" si="1"/>
        <v>63.88888889</v>
      </c>
      <c r="F27" s="46">
        <v>20.0</v>
      </c>
      <c r="G27" s="48">
        <f t="shared" si="2"/>
        <v>62.5</v>
      </c>
      <c r="H27" s="49">
        <v>30.0</v>
      </c>
      <c r="I27" s="48">
        <f t="shared" si="3"/>
        <v>58.82352941</v>
      </c>
      <c r="J27" s="50">
        <v>39.0</v>
      </c>
      <c r="K27" s="50">
        <v>82.98</v>
      </c>
      <c r="L27" s="51">
        <v>5.0</v>
      </c>
      <c r="M27" s="50">
        <v>45.4</v>
      </c>
      <c r="N27" s="52">
        <v>16.0</v>
      </c>
      <c r="O27" s="53">
        <f t="shared" si="4"/>
        <v>76.19047619</v>
      </c>
      <c r="P27" s="54">
        <v>4.0</v>
      </c>
      <c r="Q27" s="53">
        <f t="shared" si="5"/>
        <v>50</v>
      </c>
      <c r="R27" s="55">
        <v>4.0</v>
      </c>
      <c r="S27" s="53">
        <f t="shared" si="6"/>
        <v>40</v>
      </c>
      <c r="T27" s="49">
        <v>7.0</v>
      </c>
      <c r="U27" s="56">
        <f t="shared" si="7"/>
        <v>63.63636364</v>
      </c>
      <c r="V27" s="53">
        <f t="shared" si="8"/>
        <v>60.37991757</v>
      </c>
    </row>
    <row r="28" ht="18.0" customHeight="1">
      <c r="A28" s="43">
        <v>18.0</v>
      </c>
      <c r="B28" s="44" t="s">
        <v>67</v>
      </c>
      <c r="C28" s="45" t="s">
        <v>68</v>
      </c>
      <c r="D28" s="46">
        <v>25.0</v>
      </c>
      <c r="E28" s="47">
        <f t="shared" si="1"/>
        <v>69.44444444</v>
      </c>
      <c r="F28" s="46">
        <v>24.0</v>
      </c>
      <c r="G28" s="48">
        <f t="shared" si="2"/>
        <v>75</v>
      </c>
      <c r="H28" s="49">
        <v>32.0</v>
      </c>
      <c r="I28" s="48">
        <f t="shared" si="3"/>
        <v>62.74509804</v>
      </c>
      <c r="J28" s="50">
        <v>38.0</v>
      </c>
      <c r="K28" s="50">
        <v>80.85</v>
      </c>
      <c r="L28" s="51">
        <v>7.0</v>
      </c>
      <c r="M28" s="50">
        <v>63.6</v>
      </c>
      <c r="N28" s="52">
        <v>11.0</v>
      </c>
      <c r="O28" s="53">
        <f t="shared" si="4"/>
        <v>52.38095238</v>
      </c>
      <c r="P28" s="54">
        <v>6.0</v>
      </c>
      <c r="Q28" s="53">
        <f t="shared" si="5"/>
        <v>75</v>
      </c>
      <c r="R28" s="55">
        <v>7.0</v>
      </c>
      <c r="S28" s="53">
        <f t="shared" si="6"/>
        <v>70</v>
      </c>
      <c r="T28" s="49">
        <v>9.0</v>
      </c>
      <c r="U28" s="56">
        <f t="shared" si="7"/>
        <v>81.81818182</v>
      </c>
      <c r="V28" s="53">
        <f t="shared" si="8"/>
        <v>70.0931863</v>
      </c>
    </row>
    <row r="29" ht="18.0" customHeight="1">
      <c r="A29" s="43">
        <v>19.0</v>
      </c>
      <c r="B29" s="44" t="s">
        <v>69</v>
      </c>
      <c r="C29" s="45" t="s">
        <v>70</v>
      </c>
      <c r="D29" s="46">
        <v>25.0</v>
      </c>
      <c r="E29" s="47">
        <f t="shared" si="1"/>
        <v>69.44444444</v>
      </c>
      <c r="F29" s="46">
        <v>27.0</v>
      </c>
      <c r="G29" s="48">
        <f t="shared" si="2"/>
        <v>84.375</v>
      </c>
      <c r="H29" s="49">
        <v>41.0</v>
      </c>
      <c r="I29" s="48">
        <f t="shared" si="3"/>
        <v>80.39215686</v>
      </c>
      <c r="J29" s="50">
        <v>37.0</v>
      </c>
      <c r="K29" s="50">
        <v>78.72</v>
      </c>
      <c r="L29" s="51">
        <v>10.0</v>
      </c>
      <c r="M29" s="50">
        <v>90.9</v>
      </c>
      <c r="N29" s="52">
        <v>15.0</v>
      </c>
      <c r="O29" s="53">
        <f t="shared" si="4"/>
        <v>71.42857143</v>
      </c>
      <c r="P29" s="54">
        <v>3.0</v>
      </c>
      <c r="Q29" s="53">
        <f t="shared" si="5"/>
        <v>37.5</v>
      </c>
      <c r="R29" s="55">
        <v>8.0</v>
      </c>
      <c r="S29" s="53">
        <f t="shared" si="6"/>
        <v>80</v>
      </c>
      <c r="T29" s="49">
        <v>9.0</v>
      </c>
      <c r="U29" s="56">
        <f t="shared" si="7"/>
        <v>81.81818182</v>
      </c>
      <c r="V29" s="53">
        <f t="shared" si="8"/>
        <v>74.95315051</v>
      </c>
    </row>
    <row r="30" ht="18.0" customHeight="1">
      <c r="A30" s="43">
        <v>20.0</v>
      </c>
      <c r="B30" s="44" t="s">
        <v>71</v>
      </c>
      <c r="C30" s="45" t="s">
        <v>72</v>
      </c>
      <c r="D30" s="46">
        <v>25.0</v>
      </c>
      <c r="E30" s="47">
        <f t="shared" si="1"/>
        <v>69.44444444</v>
      </c>
      <c r="F30" s="46">
        <v>24.0</v>
      </c>
      <c r="G30" s="48">
        <f t="shared" si="2"/>
        <v>75</v>
      </c>
      <c r="H30" s="49">
        <v>45.0</v>
      </c>
      <c r="I30" s="48">
        <f t="shared" si="3"/>
        <v>88.23529412</v>
      </c>
      <c r="J30" s="50">
        <v>45.0</v>
      </c>
      <c r="K30" s="50">
        <v>95.74</v>
      </c>
      <c r="L30" s="51">
        <v>9.0</v>
      </c>
      <c r="M30" s="50">
        <v>81.8</v>
      </c>
      <c r="N30" s="52">
        <v>17.0</v>
      </c>
      <c r="O30" s="53">
        <f t="shared" si="4"/>
        <v>80.95238095</v>
      </c>
      <c r="P30" s="54">
        <v>8.0</v>
      </c>
      <c r="Q30" s="53">
        <f t="shared" si="5"/>
        <v>100</v>
      </c>
      <c r="R30" s="55">
        <v>8.0</v>
      </c>
      <c r="S30" s="53">
        <f t="shared" si="6"/>
        <v>80</v>
      </c>
      <c r="T30" s="49">
        <v>9.0</v>
      </c>
      <c r="U30" s="56">
        <f t="shared" si="7"/>
        <v>81.81818182</v>
      </c>
      <c r="V30" s="53">
        <f t="shared" si="8"/>
        <v>83.66558904</v>
      </c>
    </row>
    <row r="31" ht="18.0" customHeight="1">
      <c r="A31" s="43">
        <v>21.0</v>
      </c>
      <c r="B31" s="44" t="s">
        <v>73</v>
      </c>
      <c r="C31" s="45" t="s">
        <v>74</v>
      </c>
      <c r="D31" s="46">
        <v>33.0</v>
      </c>
      <c r="E31" s="47">
        <f t="shared" si="1"/>
        <v>91.66666667</v>
      </c>
      <c r="F31" s="46">
        <v>32.0</v>
      </c>
      <c r="G31" s="48">
        <f t="shared" si="2"/>
        <v>100</v>
      </c>
      <c r="H31" s="49">
        <v>50.0</v>
      </c>
      <c r="I31" s="48">
        <f t="shared" si="3"/>
        <v>98.03921569</v>
      </c>
      <c r="J31" s="50">
        <v>42.0</v>
      </c>
      <c r="K31" s="50">
        <v>89.36</v>
      </c>
      <c r="L31" s="51">
        <v>10.0</v>
      </c>
      <c r="M31" s="50">
        <v>90.9</v>
      </c>
      <c r="N31" s="52">
        <v>21.0</v>
      </c>
      <c r="O31" s="53">
        <f t="shared" si="4"/>
        <v>100</v>
      </c>
      <c r="P31" s="54">
        <v>8.0</v>
      </c>
      <c r="Q31" s="53">
        <f t="shared" si="5"/>
        <v>100</v>
      </c>
      <c r="R31" s="55">
        <v>10.0</v>
      </c>
      <c r="S31" s="53">
        <f t="shared" si="6"/>
        <v>100</v>
      </c>
      <c r="T31" s="49">
        <v>9.0</v>
      </c>
      <c r="U31" s="56">
        <f t="shared" si="7"/>
        <v>81.81818182</v>
      </c>
      <c r="V31" s="53">
        <f t="shared" si="8"/>
        <v>94.6426738</v>
      </c>
    </row>
    <row r="32" ht="20.25" customHeight="1">
      <c r="A32" s="43">
        <v>22.0</v>
      </c>
      <c r="B32" s="44" t="s">
        <v>75</v>
      </c>
      <c r="C32" s="57" t="s">
        <v>76</v>
      </c>
      <c r="D32" s="46">
        <v>30.0</v>
      </c>
      <c r="E32" s="47">
        <f t="shared" si="1"/>
        <v>83.33333333</v>
      </c>
      <c r="F32" s="46">
        <v>30.0</v>
      </c>
      <c r="G32" s="48">
        <f t="shared" si="2"/>
        <v>93.75</v>
      </c>
      <c r="H32" s="49">
        <v>46.0</v>
      </c>
      <c r="I32" s="48">
        <f t="shared" si="3"/>
        <v>90.19607843</v>
      </c>
      <c r="J32" s="50">
        <v>46.0</v>
      </c>
      <c r="K32" s="50">
        <v>97.87</v>
      </c>
      <c r="L32" s="51">
        <v>9.0</v>
      </c>
      <c r="M32" s="50">
        <v>81.8</v>
      </c>
      <c r="N32" s="52">
        <v>19.0</v>
      </c>
      <c r="O32" s="53">
        <f t="shared" si="4"/>
        <v>90.47619048</v>
      </c>
      <c r="P32" s="54">
        <v>5.0</v>
      </c>
      <c r="Q32" s="53">
        <f t="shared" si="5"/>
        <v>62.5</v>
      </c>
      <c r="R32" s="55">
        <v>9.0</v>
      </c>
      <c r="S32" s="53">
        <f t="shared" si="6"/>
        <v>90</v>
      </c>
      <c r="T32" s="49">
        <v>10.0</v>
      </c>
      <c r="U32" s="56">
        <f t="shared" si="7"/>
        <v>90.90909091</v>
      </c>
      <c r="V32" s="53">
        <f t="shared" si="8"/>
        <v>86.75941035</v>
      </c>
    </row>
    <row r="33" ht="18.0" customHeight="1">
      <c r="A33" s="43">
        <v>23.0</v>
      </c>
      <c r="B33" s="58" t="s">
        <v>77</v>
      </c>
      <c r="C33" s="59" t="s">
        <v>78</v>
      </c>
      <c r="D33" s="46">
        <v>24.0</v>
      </c>
      <c r="E33" s="47">
        <f t="shared" si="1"/>
        <v>66.66666667</v>
      </c>
      <c r="F33" s="46">
        <v>28.0</v>
      </c>
      <c r="G33" s="48">
        <f t="shared" si="2"/>
        <v>87.5</v>
      </c>
      <c r="H33" s="49">
        <v>45.0</v>
      </c>
      <c r="I33" s="48">
        <f t="shared" si="3"/>
        <v>88.23529412</v>
      </c>
      <c r="J33" s="50">
        <v>38.0</v>
      </c>
      <c r="K33" s="50">
        <v>80.85</v>
      </c>
      <c r="L33" s="51">
        <v>11.0</v>
      </c>
      <c r="M33" s="50">
        <v>100.0</v>
      </c>
      <c r="N33" s="52">
        <v>19.0</v>
      </c>
      <c r="O33" s="53">
        <f t="shared" si="4"/>
        <v>90.47619048</v>
      </c>
      <c r="P33" s="54">
        <v>8.0</v>
      </c>
      <c r="Q33" s="53">
        <f t="shared" si="5"/>
        <v>100</v>
      </c>
      <c r="R33" s="55">
        <v>7.0</v>
      </c>
      <c r="S33" s="53">
        <f t="shared" si="6"/>
        <v>70</v>
      </c>
      <c r="T33" s="49">
        <v>10.0</v>
      </c>
      <c r="U33" s="56">
        <f t="shared" si="7"/>
        <v>90.90909091</v>
      </c>
      <c r="V33" s="53">
        <f t="shared" si="8"/>
        <v>86.07080469</v>
      </c>
    </row>
    <row r="34" ht="18.0" customHeight="1">
      <c r="A34" s="43">
        <v>24.0</v>
      </c>
      <c r="B34" s="44" t="s">
        <v>79</v>
      </c>
      <c r="C34" s="45" t="s">
        <v>80</v>
      </c>
      <c r="D34" s="46">
        <v>34.0</v>
      </c>
      <c r="E34" s="47">
        <f t="shared" si="1"/>
        <v>94.44444444</v>
      </c>
      <c r="F34" s="46">
        <v>31.0</v>
      </c>
      <c r="G34" s="48">
        <f t="shared" si="2"/>
        <v>96.875</v>
      </c>
      <c r="H34" s="49">
        <v>48.0</v>
      </c>
      <c r="I34" s="48">
        <f t="shared" si="3"/>
        <v>94.11764706</v>
      </c>
      <c r="J34" s="50">
        <v>45.0</v>
      </c>
      <c r="K34" s="50">
        <v>95.74</v>
      </c>
      <c r="L34" s="51">
        <v>11.0</v>
      </c>
      <c r="M34" s="50">
        <v>100.0</v>
      </c>
      <c r="N34" s="52">
        <v>21.0</v>
      </c>
      <c r="O34" s="53">
        <f t="shared" si="4"/>
        <v>100</v>
      </c>
      <c r="P34" s="54">
        <v>8.0</v>
      </c>
      <c r="Q34" s="53">
        <f t="shared" si="5"/>
        <v>100</v>
      </c>
      <c r="R34" s="55">
        <v>10.0</v>
      </c>
      <c r="S34" s="53">
        <f t="shared" si="6"/>
        <v>100</v>
      </c>
      <c r="T34" s="49">
        <v>11.0</v>
      </c>
      <c r="U34" s="56">
        <f t="shared" si="7"/>
        <v>100</v>
      </c>
      <c r="V34" s="53">
        <f t="shared" si="8"/>
        <v>97.90856572</v>
      </c>
    </row>
    <row r="35" ht="18.0" customHeight="1">
      <c r="A35" s="43">
        <v>25.0</v>
      </c>
      <c r="B35" s="58" t="s">
        <v>81</v>
      </c>
      <c r="C35" s="59" t="s">
        <v>82</v>
      </c>
      <c r="D35" s="46">
        <v>32.0</v>
      </c>
      <c r="E35" s="47">
        <f t="shared" si="1"/>
        <v>88.88888889</v>
      </c>
      <c r="F35" s="46">
        <v>30.0</v>
      </c>
      <c r="G35" s="48">
        <f t="shared" si="2"/>
        <v>93.75</v>
      </c>
      <c r="H35" s="49">
        <v>49.0</v>
      </c>
      <c r="I35" s="48">
        <f t="shared" si="3"/>
        <v>96.07843137</v>
      </c>
      <c r="J35" s="50">
        <v>41.0</v>
      </c>
      <c r="K35" s="50">
        <v>87.23</v>
      </c>
      <c r="L35" s="51">
        <v>11.0</v>
      </c>
      <c r="M35" s="50">
        <v>100.0</v>
      </c>
      <c r="N35" s="52">
        <v>21.0</v>
      </c>
      <c r="O35" s="53">
        <f t="shared" si="4"/>
        <v>100</v>
      </c>
      <c r="P35" s="54">
        <v>8.0</v>
      </c>
      <c r="Q35" s="53">
        <f t="shared" si="5"/>
        <v>100</v>
      </c>
      <c r="R35" s="55">
        <v>7.0</v>
      </c>
      <c r="S35" s="53">
        <f t="shared" si="6"/>
        <v>70</v>
      </c>
      <c r="T35" s="49">
        <v>11.0</v>
      </c>
      <c r="U35" s="56">
        <f t="shared" si="7"/>
        <v>100</v>
      </c>
      <c r="V35" s="53">
        <f t="shared" si="8"/>
        <v>92.88303558</v>
      </c>
    </row>
    <row r="36" ht="14.25" customHeight="1">
      <c r="A36" s="43">
        <v>26.0</v>
      </c>
      <c r="B36" s="44" t="s">
        <v>83</v>
      </c>
      <c r="C36" s="45" t="s">
        <v>84</v>
      </c>
      <c r="D36" s="46">
        <v>25.0</v>
      </c>
      <c r="E36" s="47">
        <f t="shared" si="1"/>
        <v>69.44444444</v>
      </c>
      <c r="F36" s="46">
        <v>28.0</v>
      </c>
      <c r="G36" s="48">
        <f t="shared" si="2"/>
        <v>87.5</v>
      </c>
      <c r="H36" s="49">
        <v>41.0</v>
      </c>
      <c r="I36" s="48">
        <f t="shared" si="3"/>
        <v>80.39215686</v>
      </c>
      <c r="J36" s="50">
        <v>45.0</v>
      </c>
      <c r="K36" s="50">
        <v>95.74</v>
      </c>
      <c r="L36" s="51">
        <v>6.0</v>
      </c>
      <c r="M36" s="50">
        <v>54.5</v>
      </c>
      <c r="N36" s="52">
        <v>16.0</v>
      </c>
      <c r="O36" s="53">
        <f t="shared" si="4"/>
        <v>76.19047619</v>
      </c>
      <c r="P36" s="54">
        <v>6.0</v>
      </c>
      <c r="Q36" s="53">
        <f t="shared" si="5"/>
        <v>75</v>
      </c>
      <c r="R36" s="55">
        <v>9.0</v>
      </c>
      <c r="S36" s="53">
        <f t="shared" si="6"/>
        <v>90</v>
      </c>
      <c r="T36" s="49">
        <v>10.0</v>
      </c>
      <c r="U36" s="56">
        <f t="shared" si="7"/>
        <v>90.90909091</v>
      </c>
      <c r="V36" s="53">
        <f t="shared" si="8"/>
        <v>79.96401871</v>
      </c>
    </row>
    <row r="37" ht="18.0" customHeight="1">
      <c r="A37" s="43">
        <v>27.0</v>
      </c>
      <c r="B37" s="44" t="s">
        <v>85</v>
      </c>
      <c r="C37" s="45" t="s">
        <v>86</v>
      </c>
      <c r="D37" s="46">
        <v>30.0</v>
      </c>
      <c r="E37" s="47">
        <f t="shared" si="1"/>
        <v>83.33333333</v>
      </c>
      <c r="F37" s="46">
        <v>28.0</v>
      </c>
      <c r="G37" s="48">
        <f t="shared" si="2"/>
        <v>87.5</v>
      </c>
      <c r="H37" s="49">
        <v>42.0</v>
      </c>
      <c r="I37" s="48">
        <f t="shared" si="3"/>
        <v>82.35294118</v>
      </c>
      <c r="J37" s="50">
        <v>39.0</v>
      </c>
      <c r="K37" s="50">
        <v>82.98</v>
      </c>
      <c r="L37" s="51">
        <v>10.0</v>
      </c>
      <c r="M37" s="50">
        <v>90.9</v>
      </c>
      <c r="N37" s="52">
        <v>16.0</v>
      </c>
      <c r="O37" s="53">
        <f t="shared" si="4"/>
        <v>76.19047619</v>
      </c>
      <c r="P37" s="50">
        <v>6.0</v>
      </c>
      <c r="Q37" s="53">
        <f t="shared" si="5"/>
        <v>75</v>
      </c>
      <c r="R37" s="49">
        <v>9.0</v>
      </c>
      <c r="S37" s="53">
        <f t="shared" si="6"/>
        <v>90</v>
      </c>
      <c r="T37" s="49">
        <v>8.0</v>
      </c>
      <c r="U37" s="56">
        <f t="shared" si="7"/>
        <v>72.72727273</v>
      </c>
      <c r="V37" s="53">
        <f t="shared" si="8"/>
        <v>82.33155816</v>
      </c>
    </row>
    <row r="38" ht="18.0" customHeight="1">
      <c r="A38" s="43">
        <v>28.0</v>
      </c>
      <c r="B38" s="44" t="s">
        <v>87</v>
      </c>
      <c r="C38" s="45" t="s">
        <v>88</v>
      </c>
      <c r="D38" s="46">
        <v>30.0</v>
      </c>
      <c r="E38" s="47">
        <f t="shared" si="1"/>
        <v>83.33333333</v>
      </c>
      <c r="F38" s="46">
        <v>27.0</v>
      </c>
      <c r="G38" s="48">
        <f t="shared" si="2"/>
        <v>84.375</v>
      </c>
      <c r="H38" s="49">
        <v>48.0</v>
      </c>
      <c r="I38" s="48">
        <f t="shared" si="3"/>
        <v>94.11764706</v>
      </c>
      <c r="J38" s="50">
        <v>37.0</v>
      </c>
      <c r="K38" s="50">
        <v>78.72</v>
      </c>
      <c r="L38" s="51">
        <v>9.0</v>
      </c>
      <c r="M38" s="50">
        <v>81.8</v>
      </c>
      <c r="N38" s="52">
        <v>19.0</v>
      </c>
      <c r="O38" s="53">
        <f t="shared" si="4"/>
        <v>90.47619048</v>
      </c>
      <c r="P38" s="50">
        <v>6.0</v>
      </c>
      <c r="Q38" s="53">
        <f t="shared" si="5"/>
        <v>75</v>
      </c>
      <c r="R38" s="49">
        <v>10.0</v>
      </c>
      <c r="S38" s="53">
        <f t="shared" ref="S38:S63" si="9">ROUND((R38/12)*100,0)</f>
        <v>83</v>
      </c>
      <c r="T38" s="49">
        <v>9.0</v>
      </c>
      <c r="U38" s="56">
        <f t="shared" si="7"/>
        <v>81.81818182</v>
      </c>
      <c r="V38" s="53">
        <f t="shared" si="8"/>
        <v>83.62670585</v>
      </c>
    </row>
    <row r="39" ht="18.0" customHeight="1">
      <c r="A39" s="43">
        <v>29.0</v>
      </c>
      <c r="B39" s="44" t="s">
        <v>89</v>
      </c>
      <c r="C39" s="45" t="s">
        <v>90</v>
      </c>
      <c r="D39" s="46">
        <v>27.0</v>
      </c>
      <c r="E39" s="47">
        <f t="shared" si="1"/>
        <v>75</v>
      </c>
      <c r="F39" s="46">
        <v>30.0</v>
      </c>
      <c r="G39" s="48">
        <f t="shared" si="2"/>
        <v>93.75</v>
      </c>
      <c r="H39" s="49">
        <v>48.0</v>
      </c>
      <c r="I39" s="48">
        <f t="shared" si="3"/>
        <v>94.11764706</v>
      </c>
      <c r="J39" s="50">
        <v>46.0</v>
      </c>
      <c r="K39" s="50">
        <v>97.87</v>
      </c>
      <c r="L39" s="51">
        <v>11.0</v>
      </c>
      <c r="M39" s="50">
        <v>100.0</v>
      </c>
      <c r="N39" s="52">
        <v>19.0</v>
      </c>
      <c r="O39" s="53">
        <f t="shared" si="4"/>
        <v>90.47619048</v>
      </c>
      <c r="P39" s="50">
        <v>6.0</v>
      </c>
      <c r="Q39" s="53">
        <f t="shared" si="5"/>
        <v>75</v>
      </c>
      <c r="R39" s="49">
        <v>10.0</v>
      </c>
      <c r="S39" s="53">
        <f t="shared" si="9"/>
        <v>83</v>
      </c>
      <c r="T39" s="49">
        <v>11.0</v>
      </c>
      <c r="U39" s="56">
        <f t="shared" si="7"/>
        <v>100</v>
      </c>
      <c r="V39" s="53">
        <f t="shared" si="8"/>
        <v>89.91264862</v>
      </c>
    </row>
    <row r="40" ht="18.0" customHeight="1">
      <c r="A40" s="43">
        <v>30.0</v>
      </c>
      <c r="B40" s="44" t="s">
        <v>91</v>
      </c>
      <c r="C40" s="45" t="s">
        <v>92</v>
      </c>
      <c r="D40" s="46">
        <v>32.0</v>
      </c>
      <c r="E40" s="47">
        <f t="shared" si="1"/>
        <v>88.88888889</v>
      </c>
      <c r="F40" s="46">
        <v>32.0</v>
      </c>
      <c r="G40" s="48">
        <f t="shared" si="2"/>
        <v>100</v>
      </c>
      <c r="H40" s="49">
        <v>50.0</v>
      </c>
      <c r="I40" s="48">
        <f t="shared" si="3"/>
        <v>98.03921569</v>
      </c>
      <c r="J40" s="50">
        <v>43.0</v>
      </c>
      <c r="K40" s="50">
        <v>91.49</v>
      </c>
      <c r="L40" s="51">
        <v>11.0</v>
      </c>
      <c r="M40" s="50">
        <v>100.0</v>
      </c>
      <c r="N40" s="52">
        <v>19.0</v>
      </c>
      <c r="O40" s="53">
        <f t="shared" si="4"/>
        <v>90.47619048</v>
      </c>
      <c r="P40" s="50">
        <v>8.0</v>
      </c>
      <c r="Q40" s="53">
        <f t="shared" si="5"/>
        <v>100</v>
      </c>
      <c r="R40" s="49">
        <v>9.0</v>
      </c>
      <c r="S40" s="53">
        <f t="shared" si="9"/>
        <v>75</v>
      </c>
      <c r="T40" s="49">
        <v>11.0</v>
      </c>
      <c r="U40" s="56">
        <f t="shared" si="7"/>
        <v>100</v>
      </c>
      <c r="V40" s="53">
        <f t="shared" si="8"/>
        <v>93.76603278</v>
      </c>
    </row>
    <row r="41" ht="18.0" customHeight="1">
      <c r="A41" s="43">
        <v>31.0</v>
      </c>
      <c r="B41" s="44" t="s">
        <v>93</v>
      </c>
      <c r="C41" s="45" t="s">
        <v>94</v>
      </c>
      <c r="D41" s="46">
        <v>27.0</v>
      </c>
      <c r="E41" s="47">
        <f t="shared" si="1"/>
        <v>75</v>
      </c>
      <c r="F41" s="46">
        <v>28.0</v>
      </c>
      <c r="G41" s="48">
        <f t="shared" si="2"/>
        <v>87.5</v>
      </c>
      <c r="H41" s="49">
        <v>40.0</v>
      </c>
      <c r="I41" s="48">
        <f t="shared" si="3"/>
        <v>78.43137255</v>
      </c>
      <c r="J41" s="50">
        <v>41.0</v>
      </c>
      <c r="K41" s="50">
        <v>87.23</v>
      </c>
      <c r="L41" s="51">
        <v>10.0</v>
      </c>
      <c r="M41" s="50">
        <v>90.9</v>
      </c>
      <c r="N41" s="52">
        <v>17.0</v>
      </c>
      <c r="O41" s="53">
        <f t="shared" si="4"/>
        <v>80.95238095</v>
      </c>
      <c r="P41" s="50">
        <v>8.0</v>
      </c>
      <c r="Q41" s="53">
        <f t="shared" si="5"/>
        <v>100</v>
      </c>
      <c r="R41" s="49">
        <v>11.0</v>
      </c>
      <c r="S41" s="53">
        <f t="shared" si="9"/>
        <v>92</v>
      </c>
      <c r="T41" s="49">
        <v>10.0</v>
      </c>
      <c r="U41" s="56">
        <f t="shared" si="7"/>
        <v>90.90909091</v>
      </c>
      <c r="V41" s="53">
        <f t="shared" si="8"/>
        <v>86.99142716</v>
      </c>
    </row>
    <row r="42" ht="15.75" customHeight="1">
      <c r="A42" s="43">
        <v>32.0</v>
      </c>
      <c r="B42" s="44" t="s">
        <v>95</v>
      </c>
      <c r="C42" s="45" t="s">
        <v>96</v>
      </c>
      <c r="D42" s="46">
        <v>30.0</v>
      </c>
      <c r="E42" s="47">
        <f t="shared" si="1"/>
        <v>83.33333333</v>
      </c>
      <c r="F42" s="46">
        <v>27.0</v>
      </c>
      <c r="G42" s="48">
        <f t="shared" si="2"/>
        <v>84.375</v>
      </c>
      <c r="H42" s="49">
        <v>49.0</v>
      </c>
      <c r="I42" s="48">
        <f t="shared" si="3"/>
        <v>96.07843137</v>
      </c>
      <c r="J42" s="50">
        <v>44.0</v>
      </c>
      <c r="K42" s="50">
        <v>93.62</v>
      </c>
      <c r="L42" s="51">
        <v>10.0</v>
      </c>
      <c r="M42" s="50">
        <v>90.9</v>
      </c>
      <c r="N42" s="52">
        <v>20.0</v>
      </c>
      <c r="O42" s="53">
        <f t="shared" si="4"/>
        <v>95.23809524</v>
      </c>
      <c r="P42" s="50">
        <v>8.0</v>
      </c>
      <c r="Q42" s="53">
        <f t="shared" si="5"/>
        <v>100</v>
      </c>
      <c r="R42" s="49">
        <v>12.0</v>
      </c>
      <c r="S42" s="53">
        <f t="shared" si="9"/>
        <v>100</v>
      </c>
      <c r="T42" s="49">
        <v>10.0</v>
      </c>
      <c r="U42" s="56">
        <f t="shared" si="7"/>
        <v>90.90909091</v>
      </c>
      <c r="V42" s="53">
        <f t="shared" si="8"/>
        <v>92.71710565</v>
      </c>
    </row>
    <row r="43" ht="16.5" customHeight="1">
      <c r="A43" s="43">
        <v>33.0</v>
      </c>
      <c r="B43" s="44" t="s">
        <v>97</v>
      </c>
      <c r="C43" s="45" t="s">
        <v>98</v>
      </c>
      <c r="D43" s="46">
        <v>22.0</v>
      </c>
      <c r="E43" s="47">
        <f t="shared" si="1"/>
        <v>61.11111111</v>
      </c>
      <c r="F43" s="46">
        <v>28.0</v>
      </c>
      <c r="G43" s="48">
        <f t="shared" si="2"/>
        <v>87.5</v>
      </c>
      <c r="H43" s="49">
        <v>42.0</v>
      </c>
      <c r="I43" s="48">
        <f t="shared" si="3"/>
        <v>82.35294118</v>
      </c>
      <c r="J43" s="50">
        <v>37.0</v>
      </c>
      <c r="K43" s="50">
        <v>78.72</v>
      </c>
      <c r="L43" s="51">
        <v>11.0</v>
      </c>
      <c r="M43" s="50">
        <v>100.0</v>
      </c>
      <c r="N43" s="52">
        <v>17.0</v>
      </c>
      <c r="O43" s="53">
        <f t="shared" si="4"/>
        <v>80.95238095</v>
      </c>
      <c r="P43" s="50">
        <v>4.0</v>
      </c>
      <c r="Q43" s="53">
        <f t="shared" si="5"/>
        <v>50</v>
      </c>
      <c r="R43" s="49">
        <v>10.0</v>
      </c>
      <c r="S43" s="53">
        <f t="shared" si="9"/>
        <v>83</v>
      </c>
      <c r="T43" s="49">
        <v>9.0</v>
      </c>
      <c r="U43" s="56">
        <f t="shared" si="7"/>
        <v>81.81818182</v>
      </c>
      <c r="V43" s="53">
        <f t="shared" si="8"/>
        <v>78.38384612</v>
      </c>
    </row>
    <row r="44" ht="15.75" customHeight="1">
      <c r="A44" s="43">
        <v>34.0</v>
      </c>
      <c r="B44" s="44" t="s">
        <v>99</v>
      </c>
      <c r="C44" s="45" t="s">
        <v>100</v>
      </c>
      <c r="D44" s="46">
        <v>13.0</v>
      </c>
      <c r="E44" s="47">
        <f t="shared" si="1"/>
        <v>36.11111111</v>
      </c>
      <c r="F44" s="46">
        <v>20.0</v>
      </c>
      <c r="G44" s="48">
        <f t="shared" si="2"/>
        <v>62.5</v>
      </c>
      <c r="H44" s="49">
        <v>36.0</v>
      </c>
      <c r="I44" s="48">
        <f t="shared" si="3"/>
        <v>70.58823529</v>
      </c>
      <c r="J44" s="50">
        <v>46.0</v>
      </c>
      <c r="K44" s="50">
        <v>97.87</v>
      </c>
      <c r="L44" s="51">
        <v>10.0</v>
      </c>
      <c r="M44" s="50">
        <v>90.9</v>
      </c>
      <c r="N44" s="52">
        <v>12.0</v>
      </c>
      <c r="O44" s="53">
        <f t="shared" si="4"/>
        <v>57.14285714</v>
      </c>
      <c r="P44" s="50">
        <v>4.0</v>
      </c>
      <c r="Q44" s="53">
        <f t="shared" si="5"/>
        <v>50</v>
      </c>
      <c r="R44" s="49">
        <v>8.0</v>
      </c>
      <c r="S44" s="53">
        <f t="shared" si="9"/>
        <v>67</v>
      </c>
      <c r="T44" s="49">
        <v>6.0</v>
      </c>
      <c r="U44" s="56">
        <f t="shared" si="7"/>
        <v>54.54545455</v>
      </c>
      <c r="V44" s="53">
        <f t="shared" si="8"/>
        <v>65.18418423</v>
      </c>
    </row>
    <row r="45" ht="18.0" customHeight="1">
      <c r="A45" s="43">
        <v>35.0</v>
      </c>
      <c r="B45" s="60" t="s">
        <v>101</v>
      </c>
      <c r="C45" s="45" t="s">
        <v>102</v>
      </c>
      <c r="D45" s="46">
        <v>35.0</v>
      </c>
      <c r="E45" s="47">
        <f t="shared" si="1"/>
        <v>97.22222222</v>
      </c>
      <c r="F45" s="46">
        <v>32.0</v>
      </c>
      <c r="G45" s="48">
        <f t="shared" si="2"/>
        <v>100</v>
      </c>
      <c r="H45" s="49">
        <v>51.0</v>
      </c>
      <c r="I45" s="48">
        <f t="shared" si="3"/>
        <v>100</v>
      </c>
      <c r="J45" s="50">
        <v>46.0</v>
      </c>
      <c r="K45" s="50">
        <v>97.87</v>
      </c>
      <c r="L45" s="51">
        <v>10.0</v>
      </c>
      <c r="M45" s="50">
        <v>90.9</v>
      </c>
      <c r="N45" s="52">
        <v>21.0</v>
      </c>
      <c r="O45" s="53">
        <f t="shared" si="4"/>
        <v>100</v>
      </c>
      <c r="P45" s="50">
        <v>8.0</v>
      </c>
      <c r="Q45" s="53">
        <f t="shared" si="5"/>
        <v>100</v>
      </c>
      <c r="R45" s="49">
        <v>12.0</v>
      </c>
      <c r="S45" s="53">
        <f t="shared" si="9"/>
        <v>100</v>
      </c>
      <c r="T45" s="49">
        <v>10.0</v>
      </c>
      <c r="U45" s="56">
        <f t="shared" si="7"/>
        <v>90.90909091</v>
      </c>
      <c r="V45" s="53">
        <f t="shared" si="8"/>
        <v>97.43347924</v>
      </c>
    </row>
    <row r="46" ht="18.0" customHeight="1">
      <c r="A46" s="43">
        <v>36.0</v>
      </c>
      <c r="B46" s="60" t="s">
        <v>103</v>
      </c>
      <c r="C46" s="45" t="s">
        <v>104</v>
      </c>
      <c r="D46" s="46">
        <v>34.0</v>
      </c>
      <c r="E46" s="47">
        <f t="shared" si="1"/>
        <v>94.44444444</v>
      </c>
      <c r="F46" s="46">
        <v>28.0</v>
      </c>
      <c r="G46" s="48">
        <f t="shared" si="2"/>
        <v>87.5</v>
      </c>
      <c r="H46" s="49">
        <v>49.0</v>
      </c>
      <c r="I46" s="48">
        <f t="shared" si="3"/>
        <v>96.07843137</v>
      </c>
      <c r="J46" s="50">
        <v>38.0</v>
      </c>
      <c r="K46" s="50">
        <v>80.85</v>
      </c>
      <c r="L46" s="51">
        <v>9.0</v>
      </c>
      <c r="M46" s="50">
        <v>81.8</v>
      </c>
      <c r="N46" s="52">
        <v>20.0</v>
      </c>
      <c r="O46" s="53">
        <f t="shared" si="4"/>
        <v>95.23809524</v>
      </c>
      <c r="P46" s="50">
        <v>8.0</v>
      </c>
      <c r="Q46" s="53">
        <f t="shared" si="5"/>
        <v>100</v>
      </c>
      <c r="R46" s="49">
        <v>12.0</v>
      </c>
      <c r="S46" s="53">
        <f t="shared" si="9"/>
        <v>100</v>
      </c>
      <c r="T46" s="49">
        <v>9.0</v>
      </c>
      <c r="U46" s="56">
        <f t="shared" si="7"/>
        <v>81.81818182</v>
      </c>
      <c r="V46" s="53">
        <f t="shared" si="8"/>
        <v>90.85879476</v>
      </c>
    </row>
    <row r="47" ht="18.0" customHeight="1">
      <c r="A47" s="43">
        <v>37.0</v>
      </c>
      <c r="B47" s="60" t="s">
        <v>105</v>
      </c>
      <c r="C47" s="45" t="s">
        <v>106</v>
      </c>
      <c r="D47" s="46">
        <v>17.0</v>
      </c>
      <c r="E47" s="47">
        <f t="shared" si="1"/>
        <v>47.22222222</v>
      </c>
      <c r="F47" s="46">
        <v>22.0</v>
      </c>
      <c r="G47" s="48">
        <f t="shared" si="2"/>
        <v>68.75</v>
      </c>
      <c r="H47" s="49">
        <v>35.0</v>
      </c>
      <c r="I47" s="48">
        <f t="shared" si="3"/>
        <v>68.62745098</v>
      </c>
      <c r="J47" s="50">
        <v>22.0</v>
      </c>
      <c r="K47" s="50">
        <v>46.81</v>
      </c>
      <c r="L47" s="51">
        <v>7.0</v>
      </c>
      <c r="M47" s="50">
        <v>63.6</v>
      </c>
      <c r="N47" s="52">
        <v>17.0</v>
      </c>
      <c r="O47" s="53">
        <f t="shared" si="4"/>
        <v>80.95238095</v>
      </c>
      <c r="P47" s="50">
        <v>4.0</v>
      </c>
      <c r="Q47" s="53">
        <f t="shared" si="5"/>
        <v>50</v>
      </c>
      <c r="R47" s="49">
        <v>6.0</v>
      </c>
      <c r="S47" s="53">
        <f t="shared" si="9"/>
        <v>50</v>
      </c>
      <c r="T47" s="49">
        <v>8.0</v>
      </c>
      <c r="U47" s="56">
        <f t="shared" si="7"/>
        <v>72.72727273</v>
      </c>
      <c r="V47" s="53">
        <f t="shared" si="8"/>
        <v>60.96548076</v>
      </c>
    </row>
    <row r="48" ht="18.0" customHeight="1">
      <c r="A48" s="43">
        <v>38.0</v>
      </c>
      <c r="B48" s="60" t="s">
        <v>107</v>
      </c>
      <c r="C48" s="45" t="s">
        <v>108</v>
      </c>
      <c r="D48" s="46">
        <v>21.0</v>
      </c>
      <c r="E48" s="47">
        <f t="shared" si="1"/>
        <v>58.33333333</v>
      </c>
      <c r="F48" s="46">
        <v>26.0</v>
      </c>
      <c r="G48" s="48">
        <f t="shared" si="2"/>
        <v>81.25</v>
      </c>
      <c r="H48" s="49">
        <v>48.0</v>
      </c>
      <c r="I48" s="48">
        <f t="shared" si="3"/>
        <v>94.11764706</v>
      </c>
      <c r="J48" s="50">
        <v>46.0</v>
      </c>
      <c r="K48" s="50">
        <v>97.87</v>
      </c>
      <c r="L48" s="51">
        <v>9.0</v>
      </c>
      <c r="M48" s="50">
        <v>81.8</v>
      </c>
      <c r="N48" s="52">
        <v>17.0</v>
      </c>
      <c r="O48" s="53">
        <f t="shared" si="4"/>
        <v>80.95238095</v>
      </c>
      <c r="P48" s="50">
        <v>6.0</v>
      </c>
      <c r="Q48" s="53">
        <f t="shared" si="5"/>
        <v>75</v>
      </c>
      <c r="R48" s="49">
        <v>9.0</v>
      </c>
      <c r="S48" s="53">
        <f t="shared" si="9"/>
        <v>75</v>
      </c>
      <c r="T48" s="49">
        <v>7.0</v>
      </c>
      <c r="U48" s="56">
        <f t="shared" si="7"/>
        <v>63.63636364</v>
      </c>
      <c r="V48" s="53">
        <f t="shared" si="8"/>
        <v>78.66219166</v>
      </c>
    </row>
    <row r="49" ht="18.0" customHeight="1">
      <c r="A49" s="43">
        <v>39.0</v>
      </c>
      <c r="B49" s="60" t="s">
        <v>109</v>
      </c>
      <c r="C49" s="45" t="s">
        <v>110</v>
      </c>
      <c r="D49" s="46">
        <v>18.0</v>
      </c>
      <c r="E49" s="47">
        <f t="shared" si="1"/>
        <v>50</v>
      </c>
      <c r="F49" s="46">
        <v>17.0</v>
      </c>
      <c r="G49" s="48">
        <f t="shared" si="2"/>
        <v>53.125</v>
      </c>
      <c r="H49" s="49">
        <v>30.0</v>
      </c>
      <c r="I49" s="48">
        <f t="shared" si="3"/>
        <v>58.82352941</v>
      </c>
      <c r="J49" s="50">
        <v>45.0</v>
      </c>
      <c r="K49" s="50">
        <v>95.74</v>
      </c>
      <c r="L49" s="51">
        <v>5.0</v>
      </c>
      <c r="M49" s="50">
        <v>45.4</v>
      </c>
      <c r="N49" s="52">
        <v>13.0</v>
      </c>
      <c r="O49" s="53">
        <f t="shared" si="4"/>
        <v>61.9047619</v>
      </c>
      <c r="P49" s="50">
        <v>4.0</v>
      </c>
      <c r="Q49" s="53">
        <f t="shared" si="5"/>
        <v>50</v>
      </c>
      <c r="R49" s="49">
        <v>7.0</v>
      </c>
      <c r="S49" s="53">
        <f t="shared" si="9"/>
        <v>58</v>
      </c>
      <c r="T49" s="49">
        <v>5.0</v>
      </c>
      <c r="U49" s="56">
        <f t="shared" si="7"/>
        <v>45.45454545</v>
      </c>
      <c r="V49" s="53">
        <f t="shared" si="8"/>
        <v>57.6053152</v>
      </c>
    </row>
    <row r="50" ht="18.0" customHeight="1">
      <c r="A50" s="43">
        <v>40.0</v>
      </c>
      <c r="B50" s="60" t="s">
        <v>111</v>
      </c>
      <c r="C50" s="45" t="s">
        <v>112</v>
      </c>
      <c r="D50" s="46">
        <v>32.0</v>
      </c>
      <c r="E50" s="47">
        <f t="shared" si="1"/>
        <v>88.88888889</v>
      </c>
      <c r="F50" s="46">
        <v>27.0</v>
      </c>
      <c r="G50" s="48">
        <f t="shared" si="2"/>
        <v>84.375</v>
      </c>
      <c r="H50" s="49">
        <v>49.0</v>
      </c>
      <c r="I50" s="48">
        <f t="shared" si="3"/>
        <v>96.07843137</v>
      </c>
      <c r="J50" s="50">
        <v>41.0</v>
      </c>
      <c r="K50" s="50">
        <v>87.23</v>
      </c>
      <c r="L50" s="51">
        <v>9.0</v>
      </c>
      <c r="M50" s="50">
        <v>81.8</v>
      </c>
      <c r="N50" s="52">
        <v>18.0</v>
      </c>
      <c r="O50" s="53">
        <f t="shared" si="4"/>
        <v>85.71428571</v>
      </c>
      <c r="P50" s="50">
        <v>8.0</v>
      </c>
      <c r="Q50" s="53">
        <f t="shared" si="5"/>
        <v>100</v>
      </c>
      <c r="R50" s="49">
        <v>11.0</v>
      </c>
      <c r="S50" s="53">
        <f t="shared" si="9"/>
        <v>92</v>
      </c>
      <c r="T50" s="49">
        <v>10.0</v>
      </c>
      <c r="U50" s="56">
        <f t="shared" si="7"/>
        <v>90.90909091</v>
      </c>
      <c r="V50" s="53">
        <f t="shared" si="8"/>
        <v>89.66618854</v>
      </c>
    </row>
    <row r="51" ht="18.0" customHeight="1">
      <c r="A51" s="43">
        <v>41.0</v>
      </c>
      <c r="B51" s="60" t="s">
        <v>113</v>
      </c>
      <c r="C51" s="45" t="s">
        <v>114</v>
      </c>
      <c r="D51" s="46">
        <v>27.0</v>
      </c>
      <c r="E51" s="47">
        <f t="shared" si="1"/>
        <v>75</v>
      </c>
      <c r="F51" s="46">
        <v>23.0</v>
      </c>
      <c r="G51" s="48">
        <f t="shared" si="2"/>
        <v>71.875</v>
      </c>
      <c r="H51" s="49">
        <v>46.0</v>
      </c>
      <c r="I51" s="48">
        <f t="shared" si="3"/>
        <v>90.19607843</v>
      </c>
      <c r="J51" s="50">
        <v>41.0</v>
      </c>
      <c r="K51" s="50">
        <v>87.23</v>
      </c>
      <c r="L51" s="51">
        <v>9.0</v>
      </c>
      <c r="M51" s="50">
        <v>81.8</v>
      </c>
      <c r="N51" s="52">
        <v>18.0</v>
      </c>
      <c r="O51" s="53">
        <f t="shared" si="4"/>
        <v>85.71428571</v>
      </c>
      <c r="P51" s="50">
        <v>8.0</v>
      </c>
      <c r="Q51" s="53">
        <f t="shared" si="5"/>
        <v>100</v>
      </c>
      <c r="R51" s="49">
        <v>9.0</v>
      </c>
      <c r="S51" s="53">
        <f t="shared" si="9"/>
        <v>75</v>
      </c>
      <c r="T51" s="49">
        <v>11.0</v>
      </c>
      <c r="U51" s="56">
        <f t="shared" si="7"/>
        <v>100</v>
      </c>
      <c r="V51" s="53">
        <f t="shared" si="8"/>
        <v>85.20170713</v>
      </c>
    </row>
    <row r="52" ht="18.0" customHeight="1">
      <c r="A52" s="43">
        <v>42.0</v>
      </c>
      <c r="B52" s="60" t="s">
        <v>115</v>
      </c>
      <c r="C52" s="45" t="s">
        <v>116</v>
      </c>
      <c r="D52" s="46">
        <v>28.0</v>
      </c>
      <c r="E52" s="47">
        <f t="shared" si="1"/>
        <v>77.77777778</v>
      </c>
      <c r="F52" s="46">
        <v>26.0</v>
      </c>
      <c r="G52" s="48">
        <f t="shared" si="2"/>
        <v>81.25</v>
      </c>
      <c r="H52" s="49">
        <v>42.0</v>
      </c>
      <c r="I52" s="48">
        <f t="shared" si="3"/>
        <v>82.35294118</v>
      </c>
      <c r="J52" s="50">
        <v>25.0</v>
      </c>
      <c r="K52" s="50">
        <v>53.19</v>
      </c>
      <c r="L52" s="51">
        <v>9.0</v>
      </c>
      <c r="M52" s="50">
        <v>81.8</v>
      </c>
      <c r="N52" s="52">
        <v>18.0</v>
      </c>
      <c r="O52" s="53">
        <f t="shared" si="4"/>
        <v>85.71428571</v>
      </c>
      <c r="P52" s="50">
        <v>7.0</v>
      </c>
      <c r="Q52" s="53">
        <f t="shared" si="5"/>
        <v>87.5</v>
      </c>
      <c r="R52" s="49">
        <v>10.0</v>
      </c>
      <c r="S52" s="53">
        <f t="shared" si="9"/>
        <v>83</v>
      </c>
      <c r="T52" s="49">
        <v>8.0</v>
      </c>
      <c r="U52" s="56">
        <f t="shared" si="7"/>
        <v>72.72727273</v>
      </c>
      <c r="V52" s="53">
        <f t="shared" si="8"/>
        <v>78.36803082</v>
      </c>
    </row>
    <row r="53" ht="18.0" customHeight="1">
      <c r="A53" s="43">
        <v>43.0</v>
      </c>
      <c r="B53" s="60" t="s">
        <v>117</v>
      </c>
      <c r="C53" s="45" t="s">
        <v>118</v>
      </c>
      <c r="D53" s="46">
        <v>26.0</v>
      </c>
      <c r="E53" s="47">
        <f t="shared" si="1"/>
        <v>72.22222222</v>
      </c>
      <c r="F53" s="46">
        <v>24.0</v>
      </c>
      <c r="G53" s="48">
        <f t="shared" si="2"/>
        <v>75</v>
      </c>
      <c r="H53" s="49">
        <v>41.0</v>
      </c>
      <c r="I53" s="48">
        <f t="shared" si="3"/>
        <v>80.39215686</v>
      </c>
      <c r="J53" s="50">
        <v>47.0</v>
      </c>
      <c r="K53" s="50">
        <v>100.0</v>
      </c>
      <c r="L53" s="51">
        <v>8.0</v>
      </c>
      <c r="M53" s="50">
        <v>72.7</v>
      </c>
      <c r="N53" s="52">
        <v>18.0</v>
      </c>
      <c r="O53" s="53">
        <f t="shared" si="4"/>
        <v>85.71428571</v>
      </c>
      <c r="P53" s="50">
        <v>5.0</v>
      </c>
      <c r="Q53" s="53">
        <f t="shared" si="5"/>
        <v>62.5</v>
      </c>
      <c r="R53" s="49">
        <v>10.0</v>
      </c>
      <c r="S53" s="53">
        <f t="shared" si="9"/>
        <v>83</v>
      </c>
      <c r="T53" s="49">
        <v>6.0</v>
      </c>
      <c r="U53" s="56">
        <f t="shared" si="7"/>
        <v>54.54545455</v>
      </c>
      <c r="V53" s="53">
        <f t="shared" si="8"/>
        <v>76.2304577</v>
      </c>
    </row>
    <row r="54" ht="18.0" customHeight="1">
      <c r="A54" s="43">
        <v>44.0</v>
      </c>
      <c r="B54" s="60" t="s">
        <v>119</v>
      </c>
      <c r="C54" s="45" t="s">
        <v>120</v>
      </c>
      <c r="D54" s="46">
        <v>24.0</v>
      </c>
      <c r="E54" s="47">
        <f t="shared" si="1"/>
        <v>66.66666667</v>
      </c>
      <c r="F54" s="46">
        <v>21.0</v>
      </c>
      <c r="G54" s="48">
        <f t="shared" si="2"/>
        <v>65.625</v>
      </c>
      <c r="H54" s="49">
        <v>43.0</v>
      </c>
      <c r="I54" s="48">
        <f t="shared" si="3"/>
        <v>84.31372549</v>
      </c>
      <c r="J54" s="50">
        <v>46.0</v>
      </c>
      <c r="K54" s="50">
        <v>97.87</v>
      </c>
      <c r="L54" s="51">
        <v>8.0</v>
      </c>
      <c r="M54" s="50">
        <v>72.7</v>
      </c>
      <c r="N54" s="52">
        <v>18.0</v>
      </c>
      <c r="O54" s="53">
        <f t="shared" si="4"/>
        <v>85.71428571</v>
      </c>
      <c r="P54" s="50">
        <v>5.0</v>
      </c>
      <c r="Q54" s="53">
        <f t="shared" si="5"/>
        <v>62.5</v>
      </c>
      <c r="R54" s="49">
        <v>9.0</v>
      </c>
      <c r="S54" s="53">
        <f t="shared" si="9"/>
        <v>75</v>
      </c>
      <c r="T54" s="49">
        <v>6.0</v>
      </c>
      <c r="U54" s="56">
        <f t="shared" si="7"/>
        <v>54.54545455</v>
      </c>
      <c r="V54" s="53">
        <f t="shared" si="8"/>
        <v>73.88168138</v>
      </c>
    </row>
    <row r="55" ht="18.0" customHeight="1">
      <c r="A55" s="43">
        <v>45.0</v>
      </c>
      <c r="B55" s="60" t="s">
        <v>121</v>
      </c>
      <c r="C55" s="45" t="s">
        <v>122</v>
      </c>
      <c r="D55" s="46">
        <v>30.0</v>
      </c>
      <c r="E55" s="47">
        <f t="shared" si="1"/>
        <v>83.33333333</v>
      </c>
      <c r="F55" s="46">
        <v>30.0</v>
      </c>
      <c r="G55" s="48">
        <f t="shared" si="2"/>
        <v>93.75</v>
      </c>
      <c r="H55" s="49">
        <v>46.0</v>
      </c>
      <c r="I55" s="48">
        <f t="shared" si="3"/>
        <v>90.19607843</v>
      </c>
      <c r="J55" s="50">
        <v>42.0</v>
      </c>
      <c r="K55" s="50">
        <v>89.36</v>
      </c>
      <c r="L55" s="51">
        <v>10.0</v>
      </c>
      <c r="M55" s="50">
        <v>90.9</v>
      </c>
      <c r="N55" s="52">
        <v>19.0</v>
      </c>
      <c r="O55" s="53">
        <f t="shared" si="4"/>
        <v>90.47619048</v>
      </c>
      <c r="P55" s="50">
        <v>5.0</v>
      </c>
      <c r="Q55" s="53">
        <f t="shared" si="5"/>
        <v>62.5</v>
      </c>
      <c r="R55" s="49">
        <v>11.0</v>
      </c>
      <c r="S55" s="53">
        <f t="shared" si="9"/>
        <v>92</v>
      </c>
      <c r="T55" s="49">
        <v>9.0</v>
      </c>
      <c r="U55" s="56">
        <f t="shared" si="7"/>
        <v>81.81818182</v>
      </c>
      <c r="V55" s="53">
        <f t="shared" si="8"/>
        <v>86.03708712</v>
      </c>
    </row>
    <row r="56" ht="18.0" customHeight="1">
      <c r="A56" s="43">
        <v>46.0</v>
      </c>
      <c r="B56" s="60" t="s">
        <v>123</v>
      </c>
      <c r="C56" s="45" t="s">
        <v>124</v>
      </c>
      <c r="D56" s="46">
        <v>3.0</v>
      </c>
      <c r="E56" s="47">
        <f t="shared" si="1"/>
        <v>8.333333333</v>
      </c>
      <c r="F56" s="46">
        <v>3.0</v>
      </c>
      <c r="G56" s="48">
        <f t="shared" si="2"/>
        <v>9.375</v>
      </c>
      <c r="H56" s="49">
        <v>3.0</v>
      </c>
      <c r="I56" s="48">
        <f t="shared" si="3"/>
        <v>5.882352941</v>
      </c>
      <c r="J56" s="50">
        <v>3.0</v>
      </c>
      <c r="K56" s="50">
        <v>6.0</v>
      </c>
      <c r="L56" s="51">
        <v>1.0</v>
      </c>
      <c r="M56" s="50">
        <v>9.0</v>
      </c>
      <c r="N56" s="52">
        <v>1.0</v>
      </c>
      <c r="O56" s="53">
        <f t="shared" si="4"/>
        <v>4.761904762</v>
      </c>
      <c r="P56" s="50">
        <v>2.0</v>
      </c>
      <c r="Q56" s="53">
        <f t="shared" si="5"/>
        <v>25</v>
      </c>
      <c r="R56" s="49">
        <v>1.0</v>
      </c>
      <c r="S56" s="53">
        <f t="shared" si="9"/>
        <v>8</v>
      </c>
      <c r="T56" s="49">
        <v>1.0</v>
      </c>
      <c r="U56" s="56">
        <f t="shared" si="7"/>
        <v>9.090909091</v>
      </c>
      <c r="V56" s="53">
        <f t="shared" si="8"/>
        <v>9.493722236</v>
      </c>
    </row>
    <row r="57" ht="18.0" customHeight="1">
      <c r="A57" s="43">
        <v>47.0</v>
      </c>
      <c r="B57" s="60" t="s">
        <v>125</v>
      </c>
      <c r="C57" s="45" t="s">
        <v>126</v>
      </c>
      <c r="D57" s="46">
        <v>31.0</v>
      </c>
      <c r="E57" s="47">
        <f t="shared" si="1"/>
        <v>86.11111111</v>
      </c>
      <c r="F57" s="46">
        <v>31.0</v>
      </c>
      <c r="G57" s="48">
        <f t="shared" si="2"/>
        <v>96.875</v>
      </c>
      <c r="H57" s="49">
        <v>49.0</v>
      </c>
      <c r="I57" s="48">
        <f t="shared" si="3"/>
        <v>96.07843137</v>
      </c>
      <c r="J57" s="50">
        <v>41.0</v>
      </c>
      <c r="K57" s="50">
        <v>87.23</v>
      </c>
      <c r="L57" s="51">
        <v>11.0</v>
      </c>
      <c r="M57" s="50">
        <v>100.0</v>
      </c>
      <c r="N57" s="52">
        <v>19.0</v>
      </c>
      <c r="O57" s="53">
        <f t="shared" si="4"/>
        <v>90.47619048</v>
      </c>
      <c r="P57" s="50">
        <v>8.0</v>
      </c>
      <c r="Q57" s="53">
        <f t="shared" si="5"/>
        <v>100</v>
      </c>
      <c r="R57" s="49">
        <v>9.0</v>
      </c>
      <c r="S57" s="53">
        <f t="shared" si="9"/>
        <v>75</v>
      </c>
      <c r="T57" s="49">
        <v>10.0</v>
      </c>
      <c r="U57" s="56">
        <f t="shared" si="7"/>
        <v>90.90909091</v>
      </c>
      <c r="V57" s="53">
        <f t="shared" si="8"/>
        <v>91.40886932</v>
      </c>
    </row>
    <row r="58" ht="18.0" customHeight="1">
      <c r="A58" s="43">
        <v>48.0</v>
      </c>
      <c r="B58" s="60" t="s">
        <v>127</v>
      </c>
      <c r="C58" s="45" t="s">
        <v>128</v>
      </c>
      <c r="D58" s="46">
        <v>30.0</v>
      </c>
      <c r="E58" s="47">
        <f t="shared" si="1"/>
        <v>83.33333333</v>
      </c>
      <c r="F58" s="46">
        <v>28.0</v>
      </c>
      <c r="G58" s="48">
        <f t="shared" si="2"/>
        <v>87.5</v>
      </c>
      <c r="H58" s="49">
        <v>42.0</v>
      </c>
      <c r="I58" s="48">
        <f t="shared" si="3"/>
        <v>82.35294118</v>
      </c>
      <c r="J58" s="50">
        <v>47.0</v>
      </c>
      <c r="K58" s="50">
        <v>100.0</v>
      </c>
      <c r="L58" s="51">
        <v>11.0</v>
      </c>
      <c r="M58" s="50">
        <v>100.0</v>
      </c>
      <c r="N58" s="52">
        <v>18.0</v>
      </c>
      <c r="O58" s="53">
        <f t="shared" si="4"/>
        <v>85.71428571</v>
      </c>
      <c r="P58" s="50">
        <v>6.0</v>
      </c>
      <c r="Q58" s="53">
        <f t="shared" si="5"/>
        <v>75</v>
      </c>
      <c r="R58" s="49">
        <v>9.0</v>
      </c>
      <c r="S58" s="53">
        <f t="shared" si="9"/>
        <v>75</v>
      </c>
      <c r="T58" s="49">
        <v>6.0</v>
      </c>
      <c r="U58" s="56">
        <f t="shared" si="7"/>
        <v>54.54545455</v>
      </c>
      <c r="V58" s="53">
        <f t="shared" si="8"/>
        <v>82.60511275</v>
      </c>
    </row>
    <row r="59" ht="18.0" customHeight="1">
      <c r="A59" s="43">
        <v>49.0</v>
      </c>
      <c r="B59" s="60" t="s">
        <v>129</v>
      </c>
      <c r="C59" s="45" t="s">
        <v>130</v>
      </c>
      <c r="D59" s="46">
        <v>25.0</v>
      </c>
      <c r="E59" s="47">
        <f t="shared" si="1"/>
        <v>69.44444444</v>
      </c>
      <c r="F59" s="46">
        <v>27.0</v>
      </c>
      <c r="G59" s="48">
        <f t="shared" si="2"/>
        <v>84.375</v>
      </c>
      <c r="H59" s="49">
        <v>40.0</v>
      </c>
      <c r="I59" s="48">
        <f t="shared" si="3"/>
        <v>78.43137255</v>
      </c>
      <c r="J59" s="50">
        <v>45.0</v>
      </c>
      <c r="K59" s="50">
        <v>95.74</v>
      </c>
      <c r="L59" s="51">
        <v>8.0</v>
      </c>
      <c r="M59" s="50">
        <v>72.7</v>
      </c>
      <c r="N59" s="52">
        <v>17.0</v>
      </c>
      <c r="O59" s="53">
        <f t="shared" si="4"/>
        <v>80.95238095</v>
      </c>
      <c r="P59" s="50">
        <v>3.0</v>
      </c>
      <c r="Q59" s="53">
        <f t="shared" si="5"/>
        <v>37.5</v>
      </c>
      <c r="R59" s="49">
        <v>10.0</v>
      </c>
      <c r="S59" s="53">
        <f t="shared" si="9"/>
        <v>83</v>
      </c>
      <c r="T59" s="49">
        <v>8.0</v>
      </c>
      <c r="U59" s="56">
        <f t="shared" si="7"/>
        <v>72.72727273</v>
      </c>
      <c r="V59" s="53">
        <f t="shared" si="8"/>
        <v>74.98560785</v>
      </c>
    </row>
    <row r="60" ht="18.0" customHeight="1">
      <c r="A60" s="43">
        <v>50.0</v>
      </c>
      <c r="B60" s="60" t="s">
        <v>131</v>
      </c>
      <c r="C60" s="45" t="s">
        <v>132</v>
      </c>
      <c r="D60" s="46">
        <v>29.0</v>
      </c>
      <c r="E60" s="47">
        <f t="shared" si="1"/>
        <v>80.55555556</v>
      </c>
      <c r="F60" s="46">
        <v>28.0</v>
      </c>
      <c r="G60" s="48">
        <f t="shared" si="2"/>
        <v>87.5</v>
      </c>
      <c r="H60" s="49">
        <v>47.0</v>
      </c>
      <c r="I60" s="48">
        <f t="shared" si="3"/>
        <v>92.15686275</v>
      </c>
      <c r="J60" s="50">
        <v>40.0</v>
      </c>
      <c r="K60" s="50">
        <v>85.11</v>
      </c>
      <c r="L60" s="51">
        <v>10.0</v>
      </c>
      <c r="M60" s="50">
        <v>90.9</v>
      </c>
      <c r="N60" s="52">
        <v>18.0</v>
      </c>
      <c r="O60" s="53">
        <f t="shared" si="4"/>
        <v>85.71428571</v>
      </c>
      <c r="P60" s="50">
        <v>5.0</v>
      </c>
      <c r="Q60" s="53">
        <f t="shared" si="5"/>
        <v>62.5</v>
      </c>
      <c r="R60" s="49">
        <v>10.0</v>
      </c>
      <c r="S60" s="53">
        <f t="shared" si="9"/>
        <v>83</v>
      </c>
      <c r="T60" s="49">
        <v>10.0</v>
      </c>
      <c r="U60" s="56">
        <f t="shared" si="7"/>
        <v>90.90909091</v>
      </c>
      <c r="V60" s="53">
        <f t="shared" si="8"/>
        <v>84.26064388</v>
      </c>
    </row>
    <row r="61" ht="18.0" customHeight="1">
      <c r="A61" s="43">
        <v>51.0</v>
      </c>
      <c r="B61" s="60" t="s">
        <v>133</v>
      </c>
      <c r="C61" s="45" t="s">
        <v>134</v>
      </c>
      <c r="D61" s="46">
        <v>32.0</v>
      </c>
      <c r="E61" s="47">
        <f t="shared" si="1"/>
        <v>88.88888889</v>
      </c>
      <c r="F61" s="46">
        <v>29.0</v>
      </c>
      <c r="G61" s="48">
        <f t="shared" si="2"/>
        <v>90.625</v>
      </c>
      <c r="H61" s="49">
        <v>48.0</v>
      </c>
      <c r="I61" s="48">
        <f t="shared" si="3"/>
        <v>94.11764706</v>
      </c>
      <c r="J61" s="50">
        <v>41.0</v>
      </c>
      <c r="K61" s="50">
        <v>87.23</v>
      </c>
      <c r="L61" s="51">
        <v>10.0</v>
      </c>
      <c r="M61" s="50">
        <v>90.9</v>
      </c>
      <c r="N61" s="52">
        <v>19.0</v>
      </c>
      <c r="O61" s="53">
        <f t="shared" si="4"/>
        <v>90.47619048</v>
      </c>
      <c r="P61" s="50">
        <v>7.0</v>
      </c>
      <c r="Q61" s="53">
        <f t="shared" si="5"/>
        <v>87.5</v>
      </c>
      <c r="R61" s="49">
        <v>10.0</v>
      </c>
      <c r="S61" s="53">
        <f t="shared" si="9"/>
        <v>83</v>
      </c>
      <c r="T61" s="49">
        <v>10.0</v>
      </c>
      <c r="U61" s="56">
        <f t="shared" si="7"/>
        <v>90.90909091</v>
      </c>
      <c r="V61" s="53">
        <f t="shared" si="8"/>
        <v>89.29409081</v>
      </c>
    </row>
    <row r="62" ht="18.0" customHeight="1">
      <c r="A62" s="43">
        <v>52.0</v>
      </c>
      <c r="B62" s="61" t="s">
        <v>135</v>
      </c>
      <c r="C62" s="59" t="s">
        <v>136</v>
      </c>
      <c r="D62" s="46">
        <v>18.0</v>
      </c>
      <c r="E62" s="47">
        <f t="shared" si="1"/>
        <v>50</v>
      </c>
      <c r="F62" s="46">
        <v>19.0</v>
      </c>
      <c r="G62" s="48">
        <f t="shared" si="2"/>
        <v>59.375</v>
      </c>
      <c r="H62" s="49">
        <v>38.0</v>
      </c>
      <c r="I62" s="48">
        <f t="shared" si="3"/>
        <v>74.50980392</v>
      </c>
      <c r="J62" s="50">
        <v>45.0</v>
      </c>
      <c r="K62" s="50">
        <v>95.74</v>
      </c>
      <c r="L62" s="51">
        <v>9.0</v>
      </c>
      <c r="M62" s="50">
        <v>81.8</v>
      </c>
      <c r="N62" s="52">
        <v>18.0</v>
      </c>
      <c r="O62" s="53">
        <f t="shared" si="4"/>
        <v>85.71428571</v>
      </c>
      <c r="P62" s="50">
        <v>3.0</v>
      </c>
      <c r="Q62" s="53">
        <f t="shared" si="5"/>
        <v>37.5</v>
      </c>
      <c r="R62" s="49">
        <v>2.0</v>
      </c>
      <c r="S62" s="53">
        <f t="shared" si="9"/>
        <v>17</v>
      </c>
      <c r="T62" s="49">
        <v>1.0</v>
      </c>
      <c r="U62" s="56">
        <f t="shared" si="7"/>
        <v>9.090909091</v>
      </c>
      <c r="V62" s="53">
        <f t="shared" si="8"/>
        <v>56.74777764</v>
      </c>
    </row>
    <row r="63" ht="18.0" customHeight="1">
      <c r="A63" s="43">
        <v>53.0</v>
      </c>
      <c r="B63" s="62" t="s">
        <v>137</v>
      </c>
      <c r="C63" s="63" t="s">
        <v>138</v>
      </c>
      <c r="D63" s="46">
        <v>30.0</v>
      </c>
      <c r="E63" s="47">
        <f t="shared" si="1"/>
        <v>83.33333333</v>
      </c>
      <c r="F63" s="46">
        <v>26.0</v>
      </c>
      <c r="G63" s="48">
        <f t="shared" si="2"/>
        <v>81.25</v>
      </c>
      <c r="H63" s="49">
        <v>49.0</v>
      </c>
      <c r="I63" s="48">
        <f t="shared" si="3"/>
        <v>96.07843137</v>
      </c>
      <c r="J63" s="50">
        <v>37.0</v>
      </c>
      <c r="K63" s="50">
        <v>78.72</v>
      </c>
      <c r="L63" s="51">
        <v>10.0</v>
      </c>
      <c r="M63" s="50">
        <v>90.9</v>
      </c>
      <c r="N63" s="52">
        <v>19.0</v>
      </c>
      <c r="O63" s="53">
        <f t="shared" si="4"/>
        <v>90.47619048</v>
      </c>
      <c r="P63" s="50">
        <v>8.0</v>
      </c>
      <c r="Q63" s="53">
        <f t="shared" si="5"/>
        <v>100</v>
      </c>
      <c r="R63" s="49">
        <v>12.0</v>
      </c>
      <c r="S63" s="53">
        <f t="shared" si="9"/>
        <v>100</v>
      </c>
      <c r="T63" s="49">
        <v>11.0</v>
      </c>
      <c r="U63" s="56">
        <f t="shared" si="7"/>
        <v>100</v>
      </c>
      <c r="V63" s="53">
        <f t="shared" si="8"/>
        <v>91.19532835</v>
      </c>
    </row>
    <row r="64" ht="16.5" customHeight="1">
      <c r="A64" s="64" t="s">
        <v>139</v>
      </c>
      <c r="B64" s="65"/>
      <c r="C64" s="26"/>
      <c r="D64" s="66" t="s">
        <v>140</v>
      </c>
      <c r="E64" s="26"/>
      <c r="F64" s="66" t="s">
        <v>141</v>
      </c>
      <c r="G64" s="26"/>
      <c r="H64" s="66" t="s">
        <v>142</v>
      </c>
      <c r="I64" s="26"/>
      <c r="J64" s="66" t="s">
        <v>143</v>
      </c>
      <c r="K64" s="26"/>
      <c r="L64" s="66" t="s">
        <v>144</v>
      </c>
      <c r="M64" s="26"/>
      <c r="N64" s="66" t="s">
        <v>145</v>
      </c>
      <c r="O64" s="26"/>
      <c r="P64" s="67" t="s">
        <v>146</v>
      </c>
      <c r="Q64" s="26"/>
      <c r="R64" s="68" t="s">
        <v>147</v>
      </c>
      <c r="S64" s="26"/>
      <c r="T64" s="66" t="s">
        <v>148</v>
      </c>
      <c r="U64" s="26"/>
      <c r="V64" s="69"/>
    </row>
    <row r="65" ht="13.5" customHeight="1">
      <c r="A65" s="11"/>
      <c r="B65" s="11"/>
      <c r="C65" s="70"/>
      <c r="D65" s="71"/>
      <c r="E65" s="71"/>
      <c r="F65" s="11"/>
      <c r="G65" s="72"/>
      <c r="H65" s="73"/>
      <c r="I65" s="73"/>
      <c r="J65" s="11"/>
      <c r="K65" s="74"/>
      <c r="L65" s="11"/>
      <c r="M65" s="74"/>
      <c r="N65" s="11"/>
      <c r="O65" s="75"/>
      <c r="P65" s="75"/>
      <c r="Q65" s="75"/>
      <c r="R65" s="75"/>
      <c r="S65" s="75"/>
      <c r="T65" s="11"/>
      <c r="U65" s="11"/>
      <c r="V65" s="76"/>
    </row>
    <row r="66" ht="24.0" customHeight="1">
      <c r="A66" s="77" t="s">
        <v>149</v>
      </c>
    </row>
    <row r="67" ht="11.25" customHeight="1">
      <c r="A67" s="78"/>
      <c r="B67" s="78"/>
      <c r="C67" s="74"/>
      <c r="D67" s="1"/>
      <c r="E67" s="1"/>
      <c r="F67" s="1"/>
      <c r="G67" s="1"/>
      <c r="H67" s="1"/>
      <c r="I67" s="1"/>
      <c r="J67" s="1"/>
      <c r="K67" s="1"/>
      <c r="L67" s="74"/>
      <c r="M67" s="74"/>
      <c r="N67" s="74"/>
      <c r="O67" s="74"/>
      <c r="P67" s="74"/>
      <c r="Q67" s="74"/>
      <c r="R67" s="74"/>
      <c r="S67" s="74"/>
      <c r="T67" s="1"/>
      <c r="U67" s="1"/>
      <c r="V67" s="74"/>
    </row>
    <row r="68" ht="11.25" customHeight="1">
      <c r="A68" s="74"/>
      <c r="B68" s="74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1.2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1.2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1.2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1.2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1.2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1.2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1.2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1.2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1.2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1.2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1.2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1.2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1.2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1.2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1.2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1.2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1.2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1.2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1.2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1.2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1.2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1.2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1.2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1.2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1.2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1.2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1.2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1.2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1.2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1.2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1.2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1.2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1.2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1.2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1.2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1.2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1.2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1.2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1.2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1.2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1.2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1.2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1.2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1.2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1.2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1.2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1.2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1.2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1.2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1.2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1.2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1.2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1.2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1.2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1.2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1.2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1.2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1.2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1.2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1.2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1.2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1.2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1.2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1.2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1.2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1.2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1.2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1.2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1.2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1.2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1.2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1.2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1.2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1.2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1.2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1.2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1.2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1.2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1.2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1.2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1.2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1.2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1.2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1.2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1.2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1.2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1.2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1.2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1.2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1.2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1.2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1.2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1.2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1.2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1.2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1.2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1.2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1.2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1.2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1.2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1.2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1.2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1.2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1.2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1.2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1.2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1.2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1.2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1.2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1.2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1.2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1.2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1.2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1.2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1.2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1.2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1.2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1.2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1.2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1.2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1.2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1.2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1.2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1.2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1.2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1.2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1.2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1.2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1.2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1.2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1.2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1.2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1.2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1.2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1.2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1.2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1.2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1.2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1.2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1.2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1.2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1.2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1.2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1.2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1.2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1.2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1.2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1.2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1.2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1.2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1.2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1.2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1.2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1.2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1.2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1.2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1.2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1.2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1.2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1.2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1.2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1.2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1.2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1.2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1.2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1.2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1.2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1.2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1.2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1.2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1.2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1.2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1.2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1.2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1.2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1.2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1.2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1.2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1.2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1.2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1.2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1.2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1.2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1.2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1.2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1.2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1.2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1.2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1.2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1.2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1.2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1.2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1.2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1.2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1.2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1.2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1.2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1.2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1">
    <mergeCell ref="L6:M6"/>
    <mergeCell ref="N6:O6"/>
    <mergeCell ref="P6:Q6"/>
    <mergeCell ref="R6:S6"/>
    <mergeCell ref="D7:E7"/>
    <mergeCell ref="F7:G7"/>
    <mergeCell ref="H7:I7"/>
    <mergeCell ref="J7:K7"/>
    <mergeCell ref="L7:M7"/>
    <mergeCell ref="N7:O7"/>
    <mergeCell ref="P7:Q7"/>
    <mergeCell ref="R7:S7"/>
    <mergeCell ref="D8:E8"/>
    <mergeCell ref="F8:G8"/>
    <mergeCell ref="T6:U6"/>
    <mergeCell ref="V6:V10"/>
    <mergeCell ref="T7:U7"/>
    <mergeCell ref="T8:U8"/>
    <mergeCell ref="T9:T10"/>
    <mergeCell ref="U9:U10"/>
    <mergeCell ref="K9:K10"/>
    <mergeCell ref="L9:L10"/>
    <mergeCell ref="M9:M10"/>
    <mergeCell ref="N9:N10"/>
    <mergeCell ref="O9:O10"/>
    <mergeCell ref="P9:P10"/>
    <mergeCell ref="Q9:Q10"/>
    <mergeCell ref="R9:R10"/>
    <mergeCell ref="A2:V2"/>
    <mergeCell ref="A6:A10"/>
    <mergeCell ref="B6:B10"/>
    <mergeCell ref="D6:E6"/>
    <mergeCell ref="F6:G6"/>
    <mergeCell ref="H6:I6"/>
    <mergeCell ref="J6:K6"/>
    <mergeCell ref="S9:S10"/>
    <mergeCell ref="H8:I8"/>
    <mergeCell ref="J8:K8"/>
    <mergeCell ref="L8:M8"/>
    <mergeCell ref="N8:O8"/>
    <mergeCell ref="P8:Q8"/>
    <mergeCell ref="R8:S8"/>
    <mergeCell ref="E9:E10"/>
    <mergeCell ref="F9:F10"/>
    <mergeCell ref="G9:G10"/>
    <mergeCell ref="H9:H10"/>
    <mergeCell ref="I9:I10"/>
    <mergeCell ref="J9:J10"/>
    <mergeCell ref="L64:M64"/>
    <mergeCell ref="N64:O64"/>
    <mergeCell ref="P64:Q64"/>
    <mergeCell ref="R64:S64"/>
    <mergeCell ref="T64:U64"/>
    <mergeCell ref="A66:V66"/>
    <mergeCell ref="C9:C10"/>
    <mergeCell ref="D9:D10"/>
    <mergeCell ref="A64:C64"/>
    <mergeCell ref="D64:E64"/>
    <mergeCell ref="F64:G64"/>
    <mergeCell ref="H64:I64"/>
    <mergeCell ref="J64:K64"/>
  </mergeCells>
  <printOptions horizontalCentered="1"/>
  <pageMargins bottom="0.25" footer="0.0" header="0.0" left="0.0" right="0.25" top="0.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5.0"/>
    <col customWidth="1" min="3" max="3" width="32.38"/>
    <col customWidth="1" min="4" max="4" width="35.0"/>
    <col customWidth="1" min="5" max="5" width="32.88"/>
    <col customWidth="1" min="6" max="25" width="12.0"/>
  </cols>
  <sheetData>
    <row r="2" ht="15.0" customHeight="1">
      <c r="A2" s="79" t="s">
        <v>8</v>
      </c>
      <c r="B2" s="79" t="s">
        <v>150</v>
      </c>
      <c r="C2" s="80" t="s">
        <v>151</v>
      </c>
      <c r="D2" s="80" t="s">
        <v>152</v>
      </c>
      <c r="E2" s="80" t="s">
        <v>153</v>
      </c>
    </row>
    <row r="3">
      <c r="A3" s="81" t="s">
        <v>39</v>
      </c>
      <c r="B3" s="82" t="s">
        <v>40</v>
      </c>
      <c r="C3" s="83"/>
      <c r="D3" s="84" t="s">
        <v>154</v>
      </c>
      <c r="E3" s="85" t="s">
        <v>155</v>
      </c>
    </row>
    <row r="4">
      <c r="A4" s="86"/>
      <c r="B4" s="87"/>
      <c r="C4" s="88"/>
      <c r="D4" s="89" t="s">
        <v>156</v>
      </c>
      <c r="E4" s="90" t="s">
        <v>155</v>
      </c>
    </row>
    <row r="5">
      <c r="A5" s="91" t="s">
        <v>49</v>
      </c>
      <c r="B5" s="92" t="s">
        <v>50</v>
      </c>
      <c r="C5" s="93"/>
      <c r="D5" s="94" t="s">
        <v>157</v>
      </c>
      <c r="E5" s="94" t="s">
        <v>158</v>
      </c>
    </row>
    <row r="6">
      <c r="A6" s="91" t="s">
        <v>55</v>
      </c>
      <c r="B6" s="92" t="s">
        <v>56</v>
      </c>
      <c r="C6" s="95" t="s">
        <v>159</v>
      </c>
      <c r="D6" s="96"/>
      <c r="E6" s="95" t="s">
        <v>160</v>
      </c>
    </row>
    <row r="7">
      <c r="A7" s="91" t="s">
        <v>57</v>
      </c>
      <c r="B7" s="92" t="s">
        <v>58</v>
      </c>
      <c r="C7" s="93"/>
      <c r="D7" s="97" t="s">
        <v>161</v>
      </c>
      <c r="E7" s="97" t="s">
        <v>162</v>
      </c>
    </row>
    <row r="8">
      <c r="A8" s="91" t="s">
        <v>59</v>
      </c>
      <c r="B8" s="92" t="s">
        <v>60</v>
      </c>
      <c r="C8" s="93"/>
      <c r="D8" s="97" t="s">
        <v>161</v>
      </c>
      <c r="E8" s="97" t="s">
        <v>162</v>
      </c>
    </row>
    <row r="9">
      <c r="A9" s="91" t="s">
        <v>61</v>
      </c>
      <c r="B9" s="92" t="s">
        <v>62</v>
      </c>
      <c r="C9" s="93"/>
      <c r="D9" s="98" t="s">
        <v>163</v>
      </c>
      <c r="E9" s="93" t="s">
        <v>164</v>
      </c>
    </row>
    <row r="10" ht="32.25" customHeight="1">
      <c r="A10" s="99" t="s">
        <v>65</v>
      </c>
      <c r="B10" s="100" t="s">
        <v>66</v>
      </c>
      <c r="C10" s="83"/>
      <c r="D10" s="101" t="s">
        <v>165</v>
      </c>
      <c r="E10" s="102" t="s">
        <v>166</v>
      </c>
    </row>
    <row r="11">
      <c r="A11" s="103"/>
      <c r="B11" s="32"/>
      <c r="C11" s="104" t="s">
        <v>167</v>
      </c>
      <c r="D11" s="105"/>
      <c r="E11" s="106" t="s">
        <v>168</v>
      </c>
    </row>
    <row r="12">
      <c r="A12" s="86"/>
      <c r="B12" s="87"/>
      <c r="C12" s="88"/>
      <c r="D12" s="107" t="s">
        <v>157</v>
      </c>
      <c r="E12" s="108" t="s">
        <v>158</v>
      </c>
    </row>
    <row r="13" ht="15.75" customHeight="1">
      <c r="A13" s="81" t="s">
        <v>73</v>
      </c>
      <c r="B13" s="82" t="s">
        <v>74</v>
      </c>
      <c r="C13" s="83"/>
      <c r="D13" s="109" t="s">
        <v>169</v>
      </c>
      <c r="E13" s="85" t="s">
        <v>170</v>
      </c>
    </row>
    <row r="14" ht="30.0" customHeight="1">
      <c r="A14" s="86"/>
      <c r="B14" s="87"/>
      <c r="C14" s="110"/>
      <c r="D14" s="107" t="s">
        <v>157</v>
      </c>
      <c r="E14" s="108" t="s">
        <v>158</v>
      </c>
    </row>
    <row r="15" ht="30.0" customHeight="1">
      <c r="A15" s="81" t="s">
        <v>75</v>
      </c>
      <c r="B15" s="111" t="s">
        <v>76</v>
      </c>
      <c r="C15" s="112"/>
      <c r="D15" s="113" t="s">
        <v>171</v>
      </c>
      <c r="E15" s="114" t="s">
        <v>172</v>
      </c>
    </row>
    <row r="16" ht="15.0" customHeight="1">
      <c r="A16" s="103"/>
      <c r="B16" s="32"/>
      <c r="C16" s="115"/>
      <c r="D16" s="116" t="s">
        <v>161</v>
      </c>
      <c r="E16" s="117" t="s">
        <v>162</v>
      </c>
    </row>
    <row r="17" ht="15.0" customHeight="1">
      <c r="A17" s="103"/>
      <c r="B17" s="32"/>
      <c r="C17" s="118"/>
      <c r="D17" s="119" t="s">
        <v>157</v>
      </c>
      <c r="E17" s="120" t="s">
        <v>158</v>
      </c>
    </row>
    <row r="18" ht="15.75" customHeight="1">
      <c r="A18" s="86"/>
      <c r="B18" s="87"/>
      <c r="C18" s="121"/>
      <c r="D18" s="122" t="s">
        <v>173</v>
      </c>
      <c r="E18" s="123" t="s">
        <v>174</v>
      </c>
    </row>
    <row r="19" ht="15.0" customHeight="1">
      <c r="A19" s="81" t="s">
        <v>81</v>
      </c>
      <c r="B19" s="124" t="s">
        <v>82</v>
      </c>
      <c r="C19" s="125"/>
      <c r="D19" s="83" t="s">
        <v>169</v>
      </c>
      <c r="E19" s="85" t="s">
        <v>170</v>
      </c>
    </row>
    <row r="20" ht="15.0" customHeight="1">
      <c r="A20" s="86"/>
      <c r="B20" s="87"/>
      <c r="C20" s="87"/>
      <c r="D20" s="126" t="s">
        <v>161</v>
      </c>
      <c r="E20" s="127" t="s">
        <v>162</v>
      </c>
    </row>
    <row r="21" ht="15.75" customHeight="1">
      <c r="A21" s="81" t="s">
        <v>83</v>
      </c>
      <c r="B21" s="82" t="s">
        <v>84</v>
      </c>
      <c r="C21" s="83"/>
      <c r="D21" s="109" t="s">
        <v>175</v>
      </c>
      <c r="E21" s="128" t="s">
        <v>176</v>
      </c>
    </row>
    <row r="22" ht="15.75" customHeight="1">
      <c r="A22" s="103"/>
      <c r="B22" s="32"/>
      <c r="C22" s="129"/>
      <c r="D22" s="119" t="s">
        <v>157</v>
      </c>
      <c r="E22" s="120" t="s">
        <v>158</v>
      </c>
    </row>
    <row r="23" ht="15.75" customHeight="1">
      <c r="A23" s="86"/>
      <c r="B23" s="87"/>
      <c r="C23" s="130" t="s">
        <v>177</v>
      </c>
      <c r="D23" s="131"/>
      <c r="E23" s="90" t="s">
        <v>178</v>
      </c>
    </row>
    <row r="24" ht="15.75" customHeight="1">
      <c r="A24" s="132" t="s">
        <v>85</v>
      </c>
      <c r="B24" s="133" t="s">
        <v>86</v>
      </c>
      <c r="C24" s="134"/>
      <c r="D24" s="135" t="s">
        <v>161</v>
      </c>
      <c r="E24" s="136" t="s">
        <v>162</v>
      </c>
    </row>
    <row r="25" ht="15.75" customHeight="1">
      <c r="A25" s="81" t="s">
        <v>87</v>
      </c>
      <c r="B25" s="82" t="s">
        <v>88</v>
      </c>
      <c r="C25" s="83"/>
      <c r="D25" s="83" t="s">
        <v>169</v>
      </c>
      <c r="E25" s="85" t="s">
        <v>170</v>
      </c>
    </row>
    <row r="26" ht="15.75" customHeight="1">
      <c r="A26" s="86"/>
      <c r="B26" s="87"/>
      <c r="C26" s="88"/>
      <c r="D26" s="107" t="s">
        <v>157</v>
      </c>
      <c r="E26" s="108" t="s">
        <v>158</v>
      </c>
    </row>
    <row r="27" ht="15.75" customHeight="1">
      <c r="A27" s="91" t="s">
        <v>93</v>
      </c>
      <c r="B27" s="92" t="s">
        <v>94</v>
      </c>
      <c r="C27" s="93"/>
      <c r="D27" s="97" t="s">
        <v>161</v>
      </c>
      <c r="E27" s="97" t="s">
        <v>162</v>
      </c>
    </row>
    <row r="28" ht="15.75" customHeight="1">
      <c r="A28" s="91" t="s">
        <v>95</v>
      </c>
      <c r="B28" s="92" t="s">
        <v>96</v>
      </c>
      <c r="C28" s="137" t="s">
        <v>179</v>
      </c>
      <c r="D28" s="138"/>
      <c r="E28" s="93" t="s">
        <v>180</v>
      </c>
    </row>
    <row r="29" ht="15.75" customHeight="1">
      <c r="A29" s="139" t="s">
        <v>101</v>
      </c>
      <c r="B29" s="82" t="s">
        <v>102</v>
      </c>
      <c r="C29" s="109"/>
      <c r="D29" s="140" t="s">
        <v>161</v>
      </c>
      <c r="E29" s="141" t="s">
        <v>162</v>
      </c>
    </row>
    <row r="30" ht="15.75" customHeight="1">
      <c r="A30" s="86"/>
      <c r="B30" s="87"/>
      <c r="C30" s="87"/>
      <c r="D30" s="107" t="s">
        <v>157</v>
      </c>
      <c r="E30" s="108" t="s">
        <v>158</v>
      </c>
    </row>
    <row r="31" ht="15.75" customHeight="1">
      <c r="A31" s="139" t="s">
        <v>103</v>
      </c>
      <c r="B31" s="82" t="s">
        <v>104</v>
      </c>
      <c r="C31" s="142"/>
      <c r="D31" s="83" t="s">
        <v>181</v>
      </c>
      <c r="E31" s="85" t="s">
        <v>182</v>
      </c>
    </row>
    <row r="32" ht="15.75" customHeight="1">
      <c r="A32" s="86"/>
      <c r="B32" s="87"/>
      <c r="C32" s="143"/>
      <c r="D32" s="126" t="s">
        <v>161</v>
      </c>
      <c r="E32" s="127" t="s">
        <v>162</v>
      </c>
    </row>
    <row r="33" ht="15.75" customHeight="1">
      <c r="A33" s="139" t="s">
        <v>105</v>
      </c>
      <c r="B33" s="124" t="s">
        <v>106</v>
      </c>
      <c r="C33" s="144"/>
      <c r="D33" s="145" t="s">
        <v>183</v>
      </c>
      <c r="E33" s="146" t="s">
        <v>184</v>
      </c>
    </row>
    <row r="34" ht="15.75" customHeight="1">
      <c r="A34" s="103"/>
      <c r="B34" s="32"/>
      <c r="C34" s="147" t="s">
        <v>185</v>
      </c>
      <c r="D34" s="148"/>
      <c r="E34" s="149" t="s">
        <v>186</v>
      </c>
    </row>
    <row r="35" ht="15.75" customHeight="1">
      <c r="A35" s="86"/>
      <c r="B35" s="87"/>
      <c r="C35" s="121"/>
      <c r="D35" s="107" t="s">
        <v>187</v>
      </c>
      <c r="E35" s="150" t="s">
        <v>158</v>
      </c>
    </row>
    <row r="36" ht="15.75" customHeight="1">
      <c r="A36" s="139" t="s">
        <v>109</v>
      </c>
      <c r="B36" s="124" t="s">
        <v>110</v>
      </c>
      <c r="C36" s="83"/>
      <c r="D36" s="151" t="s">
        <v>187</v>
      </c>
      <c r="E36" s="152" t="s">
        <v>158</v>
      </c>
    </row>
    <row r="37" ht="15.75" customHeight="1">
      <c r="A37" s="86"/>
      <c r="B37" s="87"/>
      <c r="C37" s="89" t="s">
        <v>188</v>
      </c>
      <c r="D37" s="88"/>
      <c r="E37" s="90" t="s">
        <v>189</v>
      </c>
    </row>
    <row r="38" ht="15.75" customHeight="1">
      <c r="A38" s="153" t="s">
        <v>113</v>
      </c>
      <c r="B38" s="92" t="s">
        <v>114</v>
      </c>
      <c r="C38" s="93"/>
      <c r="D38" s="93" t="s">
        <v>190</v>
      </c>
      <c r="E38" s="93" t="s">
        <v>191</v>
      </c>
    </row>
    <row r="39" ht="15.75" customHeight="1">
      <c r="A39" s="139" t="s">
        <v>115</v>
      </c>
      <c r="B39" s="82" t="s">
        <v>116</v>
      </c>
      <c r="C39" s="83"/>
      <c r="D39" s="113" t="s">
        <v>171</v>
      </c>
      <c r="E39" s="154" t="s">
        <v>172</v>
      </c>
    </row>
    <row r="40" ht="15.75" customHeight="1">
      <c r="A40" s="86"/>
      <c r="B40" s="87"/>
      <c r="C40" s="155" t="s">
        <v>192</v>
      </c>
      <c r="D40" s="156"/>
      <c r="E40" s="157" t="s">
        <v>193</v>
      </c>
    </row>
    <row r="41" ht="15.75" customHeight="1">
      <c r="A41" s="139" t="s">
        <v>117</v>
      </c>
      <c r="B41" s="124" t="s">
        <v>118</v>
      </c>
      <c r="C41" s="112"/>
      <c r="D41" s="113" t="s">
        <v>171</v>
      </c>
      <c r="E41" s="154" t="s">
        <v>172</v>
      </c>
    </row>
    <row r="42" ht="15.0" customHeight="1">
      <c r="A42" s="86"/>
      <c r="B42" s="87"/>
      <c r="C42" s="158"/>
      <c r="D42" s="126" t="s">
        <v>161</v>
      </c>
      <c r="E42" s="127" t="s">
        <v>162</v>
      </c>
    </row>
    <row r="43" ht="15.75" customHeight="1">
      <c r="A43" s="139" t="s">
        <v>127</v>
      </c>
      <c r="B43" s="124" t="s">
        <v>128</v>
      </c>
      <c r="C43" s="144"/>
      <c r="D43" s="159" t="s">
        <v>194</v>
      </c>
      <c r="E43" s="160" t="s">
        <v>195</v>
      </c>
    </row>
    <row r="44" ht="15.75" customHeight="1">
      <c r="A44" s="103"/>
      <c r="B44" s="32"/>
      <c r="C44" s="148"/>
      <c r="D44" s="161" t="s">
        <v>196</v>
      </c>
      <c r="E44" s="120" t="s">
        <v>158</v>
      </c>
    </row>
    <row r="45" ht="15.75" customHeight="1">
      <c r="A45" s="86"/>
      <c r="B45" s="87"/>
      <c r="C45" s="121"/>
      <c r="D45" s="162" t="s">
        <v>197</v>
      </c>
      <c r="E45" s="90" t="s">
        <v>198</v>
      </c>
    </row>
    <row r="46" ht="15.75" customHeight="1">
      <c r="A46" s="153" t="s">
        <v>129</v>
      </c>
      <c r="B46" s="92" t="s">
        <v>130</v>
      </c>
      <c r="C46" s="93"/>
      <c r="D46" s="97" t="s">
        <v>161</v>
      </c>
      <c r="E46" s="97" t="s">
        <v>162</v>
      </c>
    </row>
    <row r="47" ht="15.75" customHeight="1">
      <c r="A47" s="153" t="s">
        <v>131</v>
      </c>
      <c r="B47" s="92" t="s">
        <v>132</v>
      </c>
      <c r="C47" s="93"/>
      <c r="D47" s="97" t="s">
        <v>161</v>
      </c>
      <c r="E47" s="97" t="s">
        <v>162</v>
      </c>
    </row>
    <row r="48" ht="15.75" customHeight="1">
      <c r="A48" s="163" t="s">
        <v>135</v>
      </c>
      <c r="B48" s="164" t="s">
        <v>136</v>
      </c>
      <c r="C48" s="93"/>
      <c r="D48" s="165" t="s">
        <v>196</v>
      </c>
      <c r="E48" s="94" t="s">
        <v>158</v>
      </c>
    </row>
    <row r="49" ht="15.75" customHeight="1">
      <c r="A49" s="166"/>
      <c r="B49" s="166"/>
      <c r="C49" s="93"/>
      <c r="D49" s="165" t="s">
        <v>199</v>
      </c>
      <c r="E49" s="94" t="s">
        <v>200</v>
      </c>
    </row>
    <row r="50" ht="24.75" customHeight="1">
      <c r="A50" s="139" t="s">
        <v>137</v>
      </c>
      <c r="B50" s="167" t="s">
        <v>138</v>
      </c>
      <c r="C50" s="125"/>
      <c r="D50" s="168" t="s">
        <v>201</v>
      </c>
      <c r="E50" s="85" t="s">
        <v>202</v>
      </c>
    </row>
    <row r="51" ht="32.25" customHeight="1">
      <c r="A51" s="103"/>
      <c r="B51" s="32"/>
      <c r="C51" s="32"/>
      <c r="D51" s="169" t="s">
        <v>171</v>
      </c>
      <c r="E51" s="170" t="s">
        <v>172</v>
      </c>
    </row>
    <row r="52" ht="15.0" customHeight="1">
      <c r="A52" s="103"/>
      <c r="B52" s="32"/>
      <c r="C52" s="32"/>
      <c r="D52" s="171" t="s">
        <v>161</v>
      </c>
      <c r="E52" s="172" t="s">
        <v>162</v>
      </c>
    </row>
    <row r="53" ht="15.75" customHeight="1">
      <c r="A53" s="86"/>
      <c r="B53" s="87"/>
      <c r="C53" s="87"/>
      <c r="D53" s="107" t="s">
        <v>157</v>
      </c>
      <c r="E53" s="108" t="s">
        <v>158</v>
      </c>
    </row>
    <row r="54" ht="15.75" customHeight="1"/>
    <row r="55" ht="15.75" customHeight="1">
      <c r="A55" s="173"/>
    </row>
    <row r="56" ht="15.75" customHeight="1">
      <c r="A56" s="173" t="s">
        <v>203</v>
      </c>
    </row>
    <row r="57" ht="15.75" customHeight="1"/>
    <row r="58" ht="15.75" customHeight="1">
      <c r="A58" s="174" t="s">
        <v>204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1">
    <mergeCell ref="B15:B18"/>
    <mergeCell ref="C15:C17"/>
    <mergeCell ref="A3:A4"/>
    <mergeCell ref="B3:B4"/>
    <mergeCell ref="A10:A12"/>
    <mergeCell ref="B10:B12"/>
    <mergeCell ref="A13:A14"/>
    <mergeCell ref="B13:B14"/>
    <mergeCell ref="A15:A18"/>
    <mergeCell ref="A19:A20"/>
    <mergeCell ref="B19:B20"/>
    <mergeCell ref="C19:C20"/>
    <mergeCell ref="A21:A23"/>
    <mergeCell ref="B21:B23"/>
    <mergeCell ref="A25:A26"/>
    <mergeCell ref="B25:B26"/>
    <mergeCell ref="A29:A30"/>
    <mergeCell ref="B29:B30"/>
    <mergeCell ref="C29:C30"/>
    <mergeCell ref="A31:A32"/>
    <mergeCell ref="B31:B32"/>
    <mergeCell ref="C31:C32"/>
    <mergeCell ref="B33:B35"/>
    <mergeCell ref="A33:A35"/>
    <mergeCell ref="A36:A37"/>
    <mergeCell ref="B36:B37"/>
    <mergeCell ref="A39:A40"/>
    <mergeCell ref="B39:B40"/>
    <mergeCell ref="B41:B42"/>
    <mergeCell ref="C41:C42"/>
    <mergeCell ref="C50:C53"/>
    <mergeCell ref="A55:E55"/>
    <mergeCell ref="A56:F56"/>
    <mergeCell ref="A58:C58"/>
    <mergeCell ref="A41:A42"/>
    <mergeCell ref="A43:A45"/>
    <mergeCell ref="B43:B45"/>
    <mergeCell ref="A48:A49"/>
    <mergeCell ref="B48:B49"/>
    <mergeCell ref="A50:A53"/>
    <mergeCell ref="B50:B5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1.38"/>
    <col customWidth="1" min="3" max="11" width="8.63"/>
    <col customWidth="1" min="12" max="12" width="16.0"/>
    <col customWidth="1" min="13" max="13" width="9.63"/>
    <col customWidth="1" min="14" max="26" width="8.63"/>
  </cols>
  <sheetData>
    <row r="1">
      <c r="A1" s="175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.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76" t="s">
        <v>0</v>
      </c>
      <c r="M3" s="17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78" t="s">
        <v>205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79" t="s">
        <v>206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80" t="s">
        <v>207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81" t="s">
        <v>208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5" t="s">
        <v>209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 t="s">
        <v>210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82" t="s">
        <v>211</v>
      </c>
      <c r="B11" s="183" t="s">
        <v>212</v>
      </c>
      <c r="C11" s="183" t="s">
        <v>213</v>
      </c>
      <c r="D11" s="184" t="s">
        <v>214</v>
      </c>
      <c r="E11" s="185"/>
      <c r="F11" s="183" t="s">
        <v>215</v>
      </c>
      <c r="G11" s="183" t="s">
        <v>216</v>
      </c>
      <c r="H11" s="184" t="s">
        <v>217</v>
      </c>
      <c r="I11" s="185"/>
      <c r="J11" s="184" t="s">
        <v>218</v>
      </c>
      <c r="K11" s="185"/>
      <c r="L11" s="183" t="s">
        <v>219</v>
      </c>
      <c r="M11" s="186" t="s">
        <v>220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7.75" customHeight="1">
      <c r="A12" s="187"/>
      <c r="B12" s="40"/>
      <c r="C12" s="40"/>
      <c r="D12" s="188" t="s">
        <v>221</v>
      </c>
      <c r="E12" s="188" t="s">
        <v>222</v>
      </c>
      <c r="F12" s="40"/>
      <c r="G12" s="40"/>
      <c r="H12" s="188" t="s">
        <v>223</v>
      </c>
      <c r="I12" s="188" t="s">
        <v>224</v>
      </c>
      <c r="J12" s="188" t="s">
        <v>223</v>
      </c>
      <c r="K12" s="188" t="s">
        <v>224</v>
      </c>
      <c r="L12" s="40"/>
      <c r="M12" s="189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190">
        <v>1.0</v>
      </c>
      <c r="B13" s="191" t="s">
        <v>225</v>
      </c>
      <c r="C13" s="192" t="s">
        <v>226</v>
      </c>
      <c r="D13" s="193">
        <v>36.0</v>
      </c>
      <c r="E13" s="193">
        <v>36.0</v>
      </c>
      <c r="F13" s="193">
        <v>5.0</v>
      </c>
      <c r="G13" s="194">
        <v>1.0</v>
      </c>
      <c r="H13" s="193">
        <v>1.0</v>
      </c>
      <c r="I13" s="193">
        <v>1.0</v>
      </c>
      <c r="J13" s="46">
        <v>1.0</v>
      </c>
      <c r="K13" s="46">
        <v>1.0</v>
      </c>
      <c r="L13" s="195" t="s">
        <v>227</v>
      </c>
      <c r="M13" s="196" t="s">
        <v>140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90">
        <v>2.0</v>
      </c>
      <c r="B14" s="191" t="s">
        <v>228</v>
      </c>
      <c r="C14" s="192" t="s">
        <v>226</v>
      </c>
      <c r="D14" s="46">
        <v>32.0</v>
      </c>
      <c r="E14" s="46">
        <v>32.0</v>
      </c>
      <c r="F14" s="46">
        <v>5.0</v>
      </c>
      <c r="G14" s="194">
        <v>1.0</v>
      </c>
      <c r="H14" s="46">
        <v>1.0</v>
      </c>
      <c r="I14" s="46" t="s">
        <v>226</v>
      </c>
      <c r="J14" s="46">
        <v>1.0</v>
      </c>
      <c r="K14" s="46">
        <v>1.0</v>
      </c>
      <c r="L14" s="195" t="s">
        <v>229</v>
      </c>
      <c r="M14" s="196" t="s">
        <v>141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7.25" customHeight="1">
      <c r="A15" s="190">
        <v>3.0</v>
      </c>
      <c r="B15" s="191" t="s">
        <v>24</v>
      </c>
      <c r="C15" s="192" t="s">
        <v>230</v>
      </c>
      <c r="D15" s="46">
        <v>51.0</v>
      </c>
      <c r="E15" s="46">
        <v>51.0</v>
      </c>
      <c r="F15" s="46">
        <v>5.0</v>
      </c>
      <c r="G15" s="194">
        <v>1.0</v>
      </c>
      <c r="H15" s="46" t="s">
        <v>226</v>
      </c>
      <c r="I15" s="46" t="s">
        <v>226</v>
      </c>
      <c r="J15" s="46">
        <v>2.0</v>
      </c>
      <c r="K15" s="46">
        <v>1.0</v>
      </c>
      <c r="L15" s="195" t="s">
        <v>231</v>
      </c>
      <c r="M15" s="196" t="s">
        <v>142</v>
      </c>
      <c r="N15" s="13"/>
      <c r="O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0.0" customHeight="1">
      <c r="A16" s="190">
        <v>4.0</v>
      </c>
      <c r="B16" s="191" t="s">
        <v>25</v>
      </c>
      <c r="C16" s="192" t="s">
        <v>226</v>
      </c>
      <c r="D16" s="46">
        <v>47.0</v>
      </c>
      <c r="E16" s="46">
        <v>47.0</v>
      </c>
      <c r="F16" s="46">
        <v>5.0</v>
      </c>
      <c r="G16" s="194">
        <v>1.0</v>
      </c>
      <c r="H16" s="46">
        <v>5.0</v>
      </c>
      <c r="I16" s="46">
        <v>5.0</v>
      </c>
      <c r="J16" s="46">
        <v>5.0</v>
      </c>
      <c r="K16" s="46">
        <v>5.0</v>
      </c>
      <c r="L16" s="195" t="s">
        <v>232</v>
      </c>
      <c r="M16" s="196" t="s">
        <v>143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190">
        <v>5.0</v>
      </c>
      <c r="B17" s="191" t="s">
        <v>233</v>
      </c>
      <c r="C17" s="192" t="s">
        <v>226</v>
      </c>
      <c r="D17" s="46">
        <v>11.0</v>
      </c>
      <c r="E17" s="46">
        <v>11.0</v>
      </c>
      <c r="F17" s="46">
        <v>5.0</v>
      </c>
      <c r="G17" s="194">
        <v>1.0</v>
      </c>
      <c r="H17" s="46">
        <v>2.0</v>
      </c>
      <c r="I17" s="46">
        <v>1.0</v>
      </c>
      <c r="J17" s="46">
        <v>1.0</v>
      </c>
      <c r="K17" s="46">
        <v>1.0</v>
      </c>
      <c r="L17" s="195" t="s">
        <v>234</v>
      </c>
      <c r="M17" s="196" t="s">
        <v>144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90">
        <v>6.0</v>
      </c>
      <c r="B18" s="191" t="s">
        <v>27</v>
      </c>
      <c r="C18" s="192" t="s">
        <v>226</v>
      </c>
      <c r="D18" s="46">
        <v>21.0</v>
      </c>
      <c r="E18" s="46">
        <v>21.0</v>
      </c>
      <c r="F18" s="46">
        <v>5.0</v>
      </c>
      <c r="G18" s="194">
        <v>1.0</v>
      </c>
      <c r="H18" s="46">
        <v>1.0</v>
      </c>
      <c r="I18" s="46">
        <v>1.0</v>
      </c>
      <c r="J18" s="46">
        <v>2.0</v>
      </c>
      <c r="K18" s="46">
        <v>2.0</v>
      </c>
      <c r="L18" s="195" t="s">
        <v>235</v>
      </c>
      <c r="M18" s="197" t="s">
        <v>145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90">
        <v>7.0</v>
      </c>
      <c r="B19" s="198" t="s">
        <v>28</v>
      </c>
      <c r="C19" s="192" t="s">
        <v>226</v>
      </c>
      <c r="D19" s="46">
        <v>8.0</v>
      </c>
      <c r="E19" s="46">
        <v>8.0</v>
      </c>
      <c r="F19" s="46">
        <v>5.0</v>
      </c>
      <c r="G19" s="193" t="s">
        <v>236</v>
      </c>
      <c r="H19" s="46" t="s">
        <v>226</v>
      </c>
      <c r="I19" s="46" t="s">
        <v>226</v>
      </c>
      <c r="J19" s="46">
        <v>1.0</v>
      </c>
      <c r="K19" s="46" t="s">
        <v>226</v>
      </c>
      <c r="L19" s="199" t="s">
        <v>237</v>
      </c>
      <c r="M19" s="200" t="s">
        <v>146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201">
        <v>8.0</v>
      </c>
      <c r="B20" s="202" t="s">
        <v>29</v>
      </c>
      <c r="C20" s="46" t="s">
        <v>238</v>
      </c>
      <c r="D20" s="46">
        <v>11.0</v>
      </c>
      <c r="E20" s="46">
        <v>10.0</v>
      </c>
      <c r="F20" s="203">
        <v>5.0</v>
      </c>
      <c r="G20" s="204">
        <v>1.0</v>
      </c>
      <c r="H20" s="203" t="s">
        <v>226</v>
      </c>
      <c r="I20" s="203" t="s">
        <v>226</v>
      </c>
      <c r="J20" s="203" t="s">
        <v>226</v>
      </c>
      <c r="K20" s="203" t="s">
        <v>226</v>
      </c>
      <c r="L20" s="205" t="s">
        <v>239</v>
      </c>
      <c r="M20" s="206" t="s">
        <v>147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187"/>
      <c r="B21" s="40"/>
      <c r="C21" s="46" t="s">
        <v>240</v>
      </c>
      <c r="D21" s="46">
        <v>11.0</v>
      </c>
      <c r="E21" s="46">
        <v>12.0</v>
      </c>
      <c r="F21" s="40"/>
      <c r="G21" s="40"/>
      <c r="H21" s="40"/>
      <c r="I21" s="40"/>
      <c r="J21" s="40"/>
      <c r="K21" s="40"/>
      <c r="L21" s="40"/>
      <c r="M21" s="189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1.5" customHeight="1">
      <c r="A22" s="190">
        <v>9.0</v>
      </c>
      <c r="B22" s="207" t="s">
        <v>30</v>
      </c>
      <c r="C22" s="208" t="s">
        <v>230</v>
      </c>
      <c r="D22" s="209" t="s">
        <v>241</v>
      </c>
      <c r="E22" s="209" t="s">
        <v>241</v>
      </c>
      <c r="F22" s="209">
        <v>12.0</v>
      </c>
      <c r="G22" s="210">
        <v>1.0</v>
      </c>
      <c r="H22" s="209" t="s">
        <v>226</v>
      </c>
      <c r="I22" s="209" t="s">
        <v>226</v>
      </c>
      <c r="J22" s="209" t="s">
        <v>226</v>
      </c>
      <c r="K22" s="209" t="s">
        <v>226</v>
      </c>
      <c r="L22" s="211" t="s">
        <v>242</v>
      </c>
      <c r="M22" s="212" t="s">
        <v>148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213" t="s">
        <v>243</v>
      </c>
      <c r="B24" s="214"/>
      <c r="C24" s="214"/>
      <c r="D24" s="214"/>
      <c r="E24" s="214"/>
      <c r="F24" s="214"/>
      <c r="G24" s="215"/>
      <c r="H24" s="216" t="s">
        <v>244</v>
      </c>
      <c r="I24" s="214"/>
      <c r="J24" s="214"/>
      <c r="K24" s="214"/>
      <c r="L24" s="214"/>
      <c r="M24" s="215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5.5" customHeight="1">
      <c r="A25" s="217" t="s">
        <v>245</v>
      </c>
      <c r="B25" s="218"/>
      <c r="C25" s="218"/>
      <c r="D25" s="218"/>
      <c r="E25" s="218"/>
      <c r="F25" s="218"/>
      <c r="G25" s="219"/>
      <c r="H25" s="217" t="s">
        <v>246</v>
      </c>
      <c r="I25" s="218"/>
      <c r="J25" s="218"/>
      <c r="K25" s="218"/>
      <c r="L25" s="218"/>
      <c r="M25" s="219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216" t="s">
        <v>247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5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0.0" customHeight="1">
      <c r="A27" s="220" t="s">
        <v>248</v>
      </c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9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81" t="s">
        <v>249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2">
    <mergeCell ref="G11:G12"/>
    <mergeCell ref="H11:I11"/>
    <mergeCell ref="J11:K11"/>
    <mergeCell ref="L11:L12"/>
    <mergeCell ref="L3:M3"/>
    <mergeCell ref="A4:M4"/>
    <mergeCell ref="A5:M5"/>
    <mergeCell ref="A7:M7"/>
    <mergeCell ref="A11:A12"/>
    <mergeCell ref="B11:B12"/>
    <mergeCell ref="C11:C12"/>
    <mergeCell ref="M11:M12"/>
    <mergeCell ref="I20:I21"/>
    <mergeCell ref="J20:J21"/>
    <mergeCell ref="K20:K21"/>
    <mergeCell ref="L20:L21"/>
    <mergeCell ref="M20:M21"/>
    <mergeCell ref="H24:M24"/>
    <mergeCell ref="H25:M25"/>
    <mergeCell ref="A24:G24"/>
    <mergeCell ref="A25:G25"/>
    <mergeCell ref="A26:M26"/>
    <mergeCell ref="A27:M27"/>
    <mergeCell ref="A29:B29"/>
    <mergeCell ref="A30:B30"/>
    <mergeCell ref="D11:E11"/>
    <mergeCell ref="F11:F12"/>
    <mergeCell ref="A20:A21"/>
    <mergeCell ref="B20:B21"/>
    <mergeCell ref="F20:F21"/>
    <mergeCell ref="G20:G21"/>
    <mergeCell ref="H20:H21"/>
  </mergeCells>
  <printOptions horizontalCentered="1"/>
  <pageMargins bottom="0.75" footer="0.0" header="0.0" left="0.7" right="0.7" top="0.75"/>
  <pageSetup paperSize="9" scale="94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3.38"/>
    <col customWidth="1" min="3" max="3" width="24.63"/>
    <col customWidth="1" min="4" max="4" width="11.25"/>
    <col customWidth="1" min="5" max="5" width="10.0"/>
    <col customWidth="1" min="6" max="6" width="12.0"/>
    <col customWidth="1" min="7" max="8" width="11.88"/>
    <col customWidth="1" min="9" max="9" width="11.0"/>
    <col customWidth="1" min="10" max="11" width="9.13"/>
    <col customWidth="1" min="12" max="27" width="12.0"/>
  </cols>
  <sheetData>
    <row r="1">
      <c r="A1" s="13"/>
      <c r="B1" s="13"/>
      <c r="C1" s="13"/>
      <c r="D1" s="13"/>
      <c r="E1" s="13"/>
      <c r="F1" s="13"/>
      <c r="G1" s="1"/>
      <c r="H1" s="1"/>
      <c r="I1" s="3" t="s">
        <v>0</v>
      </c>
      <c r="J1" s="221"/>
      <c r="K1" s="4"/>
      <c r="L1" s="5"/>
      <c r="M1" s="5"/>
      <c r="N1" s="6"/>
      <c r="O1" s="7"/>
      <c r="P1" s="13"/>
      <c r="Q1" s="13"/>
      <c r="R1" s="13"/>
      <c r="S1" s="13"/>
      <c r="T1" s="13"/>
      <c r="U1" s="13"/>
      <c r="V1" s="13"/>
      <c r="W1" s="13"/>
      <c r="X1" s="13"/>
    </row>
    <row r="2">
      <c r="A2" s="222" t="s">
        <v>250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>
      <c r="A3" s="223" t="s">
        <v>251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ht="20.25" customHeight="1">
      <c r="A4" s="223" t="s">
        <v>252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>
      <c r="A5" s="180" t="s">
        <v>253</v>
      </c>
      <c r="B5" s="175" t="s">
        <v>254</v>
      </c>
      <c r="C5" s="175" t="s">
        <v>255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>
      <c r="A6" s="180" t="s">
        <v>256</v>
      </c>
      <c r="B6" s="13"/>
      <c r="C6" s="13"/>
      <c r="D6" s="13"/>
      <c r="E6" s="13"/>
      <c r="F6" s="13"/>
      <c r="G6" s="13"/>
      <c r="H6" s="13"/>
      <c r="I6" s="180" t="s">
        <v>257</v>
      </c>
      <c r="J6" s="180"/>
      <c r="K6" s="180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3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224" t="s">
        <v>258</v>
      </c>
      <c r="B8" s="224" t="s">
        <v>8</v>
      </c>
      <c r="C8" s="224" t="s">
        <v>259</v>
      </c>
      <c r="D8" s="225" t="s">
        <v>225</v>
      </c>
      <c r="E8" s="225" t="s">
        <v>228</v>
      </c>
      <c r="F8" s="225" t="s">
        <v>260</v>
      </c>
      <c r="G8" s="225" t="s">
        <v>261</v>
      </c>
      <c r="H8" s="225" t="s">
        <v>262</v>
      </c>
      <c r="I8" s="225" t="s">
        <v>27</v>
      </c>
      <c r="J8" s="226" t="s">
        <v>28</v>
      </c>
      <c r="K8" s="224" t="s">
        <v>263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40"/>
      <c r="B9" s="40"/>
      <c r="C9" s="40"/>
      <c r="D9" s="225" t="s">
        <v>264</v>
      </c>
      <c r="E9" s="225" t="s">
        <v>264</v>
      </c>
      <c r="F9" s="225" t="s">
        <v>264</v>
      </c>
      <c r="G9" s="225" t="s">
        <v>264</v>
      </c>
      <c r="H9" s="225" t="s">
        <v>264</v>
      </c>
      <c r="I9" s="225" t="s">
        <v>264</v>
      </c>
      <c r="J9" s="225" t="s">
        <v>264</v>
      </c>
      <c r="K9" s="40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192">
        <v>1.0</v>
      </c>
      <c r="B10" s="227" t="s">
        <v>34</v>
      </c>
      <c r="C10" s="228" t="s">
        <v>35</v>
      </c>
      <c r="D10" s="229">
        <v>33.0</v>
      </c>
      <c r="E10" s="230">
        <v>43.0</v>
      </c>
      <c r="F10" s="231">
        <v>43.0</v>
      </c>
      <c r="G10" s="232">
        <v>43.0</v>
      </c>
      <c r="H10" s="233">
        <v>25.0</v>
      </c>
      <c r="I10" s="234">
        <v>34.0</v>
      </c>
      <c r="J10" s="234">
        <v>35.0</v>
      </c>
      <c r="K10" s="235">
        <f>COUNTIF(D10:J10,"&lt;22")</f>
        <v>0</v>
      </c>
      <c r="L10" s="236"/>
      <c r="M10" s="236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192">
        <v>2.0</v>
      </c>
      <c r="B11" s="227" t="s">
        <v>36</v>
      </c>
      <c r="C11" s="228" t="s">
        <v>35</v>
      </c>
      <c r="D11" s="229">
        <v>36.0</v>
      </c>
      <c r="E11" s="230">
        <v>36.0</v>
      </c>
      <c r="F11" s="231">
        <v>44.0</v>
      </c>
      <c r="G11" s="232">
        <v>43.0</v>
      </c>
      <c r="H11" s="233">
        <v>19.0</v>
      </c>
      <c r="I11" s="234">
        <v>44.0</v>
      </c>
      <c r="J11" s="234">
        <v>38.0</v>
      </c>
      <c r="K11" s="235">
        <f t="shared" ref="K11:K62" si="1">COUNTIF(D11:I11,"&lt;22")</f>
        <v>1</v>
      </c>
      <c r="L11" s="236"/>
      <c r="M11" s="236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192">
        <v>3.0</v>
      </c>
      <c r="B12" s="227" t="s">
        <v>37</v>
      </c>
      <c r="C12" s="228" t="s">
        <v>38</v>
      </c>
      <c r="D12" s="229">
        <v>41.0</v>
      </c>
      <c r="E12" s="230">
        <v>37.0</v>
      </c>
      <c r="F12" s="231">
        <v>24.0</v>
      </c>
      <c r="G12" s="232">
        <v>38.0</v>
      </c>
      <c r="H12" s="233">
        <v>34.0</v>
      </c>
      <c r="I12" s="234">
        <v>40.0</v>
      </c>
      <c r="J12" s="234">
        <v>36.0</v>
      </c>
      <c r="K12" s="235">
        <f t="shared" si="1"/>
        <v>0</v>
      </c>
      <c r="L12" s="236"/>
      <c r="M12" s="23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192">
        <v>4.0</v>
      </c>
      <c r="B13" s="227" t="s">
        <v>39</v>
      </c>
      <c r="C13" s="228" t="s">
        <v>40</v>
      </c>
      <c r="D13" s="229">
        <v>37.0</v>
      </c>
      <c r="E13" s="230">
        <v>21.0</v>
      </c>
      <c r="F13" s="231">
        <v>29.0</v>
      </c>
      <c r="G13" s="232">
        <v>16.0</v>
      </c>
      <c r="H13" s="233">
        <v>24.0</v>
      </c>
      <c r="I13" s="234">
        <v>24.0</v>
      </c>
      <c r="J13" s="234">
        <v>38.0</v>
      </c>
      <c r="K13" s="235">
        <f t="shared" si="1"/>
        <v>2</v>
      </c>
      <c r="L13" s="236"/>
      <c r="M13" s="23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192">
        <v>5.0</v>
      </c>
      <c r="B14" s="227" t="s">
        <v>41</v>
      </c>
      <c r="C14" s="228" t="s">
        <v>42</v>
      </c>
      <c r="D14" s="229">
        <v>23.0</v>
      </c>
      <c r="E14" s="230">
        <v>28.0</v>
      </c>
      <c r="F14" s="231">
        <v>20.0</v>
      </c>
      <c r="G14" s="232">
        <v>15.0</v>
      </c>
      <c r="H14" s="233">
        <v>25.0</v>
      </c>
      <c r="I14" s="234">
        <v>31.0</v>
      </c>
      <c r="J14" s="234">
        <v>33.0</v>
      </c>
      <c r="K14" s="235">
        <f t="shared" si="1"/>
        <v>2</v>
      </c>
      <c r="L14" s="236"/>
      <c r="M14" s="23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192">
        <v>6.0</v>
      </c>
      <c r="B15" s="227" t="s">
        <v>43</v>
      </c>
      <c r="C15" s="228" t="s">
        <v>44</v>
      </c>
      <c r="D15" s="229">
        <v>16.0</v>
      </c>
      <c r="E15" s="230">
        <v>27.0</v>
      </c>
      <c r="F15" s="231">
        <v>24.0</v>
      </c>
      <c r="G15" s="232">
        <v>13.0</v>
      </c>
      <c r="H15" s="233">
        <v>26.0</v>
      </c>
      <c r="I15" s="234">
        <v>17.0</v>
      </c>
      <c r="J15" s="234">
        <v>38.0</v>
      </c>
      <c r="K15" s="235">
        <f t="shared" si="1"/>
        <v>3</v>
      </c>
      <c r="L15" s="236"/>
      <c r="M15" s="23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192">
        <v>7.0</v>
      </c>
      <c r="B16" s="227" t="s">
        <v>45</v>
      </c>
      <c r="C16" s="228" t="s">
        <v>46</v>
      </c>
      <c r="D16" s="229">
        <v>17.0</v>
      </c>
      <c r="E16" s="230">
        <v>39.0</v>
      </c>
      <c r="F16" s="231">
        <v>18.0</v>
      </c>
      <c r="G16" s="232">
        <v>15.0</v>
      </c>
      <c r="H16" s="233">
        <v>13.0</v>
      </c>
      <c r="I16" s="234">
        <v>26.0</v>
      </c>
      <c r="J16" s="234">
        <v>30.0</v>
      </c>
      <c r="K16" s="235">
        <f t="shared" si="1"/>
        <v>4</v>
      </c>
      <c r="L16" s="236"/>
      <c r="M16" s="23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192">
        <v>8.0</v>
      </c>
      <c r="B17" s="227" t="s">
        <v>47</v>
      </c>
      <c r="C17" s="228" t="s">
        <v>48</v>
      </c>
      <c r="D17" s="229">
        <v>15.0</v>
      </c>
      <c r="E17" s="230">
        <v>27.0</v>
      </c>
      <c r="F17" s="231">
        <v>11.0</v>
      </c>
      <c r="G17" s="232">
        <v>4.0</v>
      </c>
      <c r="H17" s="233">
        <v>27.0</v>
      </c>
      <c r="I17" s="234">
        <v>35.0</v>
      </c>
      <c r="J17" s="234">
        <v>36.0</v>
      </c>
      <c r="K17" s="235">
        <f t="shared" si="1"/>
        <v>3</v>
      </c>
      <c r="L17" s="236"/>
      <c r="M17" s="23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>
      <c r="A18" s="192">
        <v>9.0</v>
      </c>
      <c r="B18" s="227" t="s">
        <v>49</v>
      </c>
      <c r="C18" s="228" t="s">
        <v>50</v>
      </c>
      <c r="D18" s="229">
        <v>30.0</v>
      </c>
      <c r="E18" s="230">
        <v>35.0</v>
      </c>
      <c r="F18" s="231">
        <v>26.0</v>
      </c>
      <c r="G18" s="232">
        <v>20.0</v>
      </c>
      <c r="H18" s="233">
        <v>26.0</v>
      </c>
      <c r="I18" s="234">
        <v>20.0</v>
      </c>
      <c r="J18" s="234">
        <v>40.0</v>
      </c>
      <c r="K18" s="235">
        <f t="shared" si="1"/>
        <v>2</v>
      </c>
      <c r="L18" s="236"/>
      <c r="M18" s="23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>
      <c r="A19" s="192">
        <v>10.0</v>
      </c>
      <c r="B19" s="227" t="s">
        <v>51</v>
      </c>
      <c r="C19" s="228" t="s">
        <v>52</v>
      </c>
      <c r="D19" s="229">
        <v>20.0</v>
      </c>
      <c r="E19" s="230">
        <v>26.0</v>
      </c>
      <c r="F19" s="231">
        <v>22.0</v>
      </c>
      <c r="G19" s="232" t="s">
        <v>265</v>
      </c>
      <c r="H19" s="233">
        <v>21.0</v>
      </c>
      <c r="I19" s="234">
        <v>25.0</v>
      </c>
      <c r="J19" s="234">
        <v>28.0</v>
      </c>
      <c r="K19" s="235">
        <f t="shared" si="1"/>
        <v>2</v>
      </c>
      <c r="L19" s="236"/>
      <c r="M19" s="23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>
      <c r="A20" s="192">
        <v>11.0</v>
      </c>
      <c r="B20" s="227" t="s">
        <v>53</v>
      </c>
      <c r="C20" s="228" t="s">
        <v>54</v>
      </c>
      <c r="D20" s="229">
        <v>20.0</v>
      </c>
      <c r="E20" s="230">
        <v>13.0</v>
      </c>
      <c r="F20" s="231">
        <v>5.0</v>
      </c>
      <c r="G20" s="232">
        <v>17.0</v>
      </c>
      <c r="H20" s="233">
        <v>44.0</v>
      </c>
      <c r="I20" s="234">
        <v>20.0</v>
      </c>
      <c r="J20" s="234">
        <v>36.0</v>
      </c>
      <c r="K20" s="235">
        <f t="shared" si="1"/>
        <v>5</v>
      </c>
      <c r="L20" s="236"/>
      <c r="M20" s="236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5.75" customHeight="1">
      <c r="A21" s="192">
        <v>12.0</v>
      </c>
      <c r="B21" s="227" t="s">
        <v>55</v>
      </c>
      <c r="C21" s="228" t="s">
        <v>56</v>
      </c>
      <c r="D21" s="229">
        <v>18.0</v>
      </c>
      <c r="E21" s="230">
        <v>37.0</v>
      </c>
      <c r="F21" s="231">
        <v>24.0</v>
      </c>
      <c r="G21" s="232">
        <v>20.0</v>
      </c>
      <c r="H21" s="233">
        <v>25.0</v>
      </c>
      <c r="I21" s="234">
        <v>37.0</v>
      </c>
      <c r="J21" s="234">
        <v>37.0</v>
      </c>
      <c r="K21" s="235">
        <f t="shared" si="1"/>
        <v>2</v>
      </c>
      <c r="L21" s="236"/>
      <c r="M21" s="23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5.75" customHeight="1">
      <c r="A22" s="192">
        <v>13.0</v>
      </c>
      <c r="B22" s="227" t="s">
        <v>57</v>
      </c>
      <c r="C22" s="228" t="s">
        <v>58</v>
      </c>
      <c r="D22" s="229">
        <v>31.0</v>
      </c>
      <c r="E22" s="230">
        <v>14.0</v>
      </c>
      <c r="F22" s="231">
        <v>8.0</v>
      </c>
      <c r="G22" s="232">
        <v>20.0</v>
      </c>
      <c r="H22" s="233">
        <v>15.0</v>
      </c>
      <c r="I22" s="234">
        <v>29.0</v>
      </c>
      <c r="J22" s="234">
        <v>30.0</v>
      </c>
      <c r="K22" s="235">
        <f t="shared" si="1"/>
        <v>4</v>
      </c>
      <c r="L22" s="236"/>
      <c r="M22" s="236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5.75" customHeight="1">
      <c r="A23" s="192">
        <v>14.0</v>
      </c>
      <c r="B23" s="227" t="s">
        <v>59</v>
      </c>
      <c r="C23" s="228" t="s">
        <v>60</v>
      </c>
      <c r="D23" s="229">
        <v>38.0</v>
      </c>
      <c r="E23" s="230">
        <v>30.0</v>
      </c>
      <c r="F23" s="231">
        <v>24.0</v>
      </c>
      <c r="G23" s="232">
        <v>21.0</v>
      </c>
      <c r="H23" s="233">
        <v>25.0</v>
      </c>
      <c r="I23" s="234">
        <v>27.0</v>
      </c>
      <c r="J23" s="234">
        <v>25.0</v>
      </c>
      <c r="K23" s="235">
        <f t="shared" si="1"/>
        <v>1</v>
      </c>
      <c r="L23" s="236"/>
      <c r="M23" s="236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5.75" customHeight="1">
      <c r="A24" s="192">
        <v>15.0</v>
      </c>
      <c r="B24" s="227" t="s">
        <v>61</v>
      </c>
      <c r="C24" s="228" t="s">
        <v>62</v>
      </c>
      <c r="D24" s="229">
        <v>22.0</v>
      </c>
      <c r="E24" s="230">
        <v>28.0</v>
      </c>
      <c r="F24" s="231">
        <v>26.0</v>
      </c>
      <c r="G24" s="232">
        <v>35.0</v>
      </c>
      <c r="H24" s="233">
        <v>30.0</v>
      </c>
      <c r="I24" s="234">
        <v>22.0</v>
      </c>
      <c r="J24" s="234">
        <v>40.0</v>
      </c>
      <c r="K24" s="235">
        <f t="shared" si="1"/>
        <v>0</v>
      </c>
      <c r="L24" s="236"/>
      <c r="M24" s="236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5.75" customHeight="1">
      <c r="A25" s="192">
        <v>16.0</v>
      </c>
      <c r="B25" s="227" t="s">
        <v>63</v>
      </c>
      <c r="C25" s="228" t="s">
        <v>64</v>
      </c>
      <c r="D25" s="229">
        <v>39.0</v>
      </c>
      <c r="E25" s="230">
        <v>27.0</v>
      </c>
      <c r="F25" s="231">
        <v>33.0</v>
      </c>
      <c r="G25" s="232">
        <v>33.0</v>
      </c>
      <c r="H25" s="233">
        <v>17.0</v>
      </c>
      <c r="I25" s="234">
        <v>32.0</v>
      </c>
      <c r="J25" s="234">
        <v>35.0</v>
      </c>
      <c r="K25" s="235">
        <f t="shared" si="1"/>
        <v>1</v>
      </c>
      <c r="L25" s="236"/>
      <c r="M25" s="236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5.75" customHeight="1">
      <c r="A26" s="192">
        <v>17.0</v>
      </c>
      <c r="B26" s="227" t="s">
        <v>65</v>
      </c>
      <c r="C26" s="228" t="s">
        <v>66</v>
      </c>
      <c r="D26" s="229">
        <v>19.0</v>
      </c>
      <c r="E26" s="230">
        <v>13.0</v>
      </c>
      <c r="F26" s="231">
        <v>12.0</v>
      </c>
      <c r="G26" s="234" t="s">
        <v>266</v>
      </c>
      <c r="H26" s="234" t="s">
        <v>266</v>
      </c>
      <c r="I26" s="234">
        <v>2.0</v>
      </c>
      <c r="J26" s="234" t="s">
        <v>266</v>
      </c>
      <c r="K26" s="235">
        <f t="shared" si="1"/>
        <v>4</v>
      </c>
      <c r="L26" s="236"/>
      <c r="M26" s="236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15.75" customHeight="1">
      <c r="A27" s="192">
        <v>18.0</v>
      </c>
      <c r="B27" s="227" t="s">
        <v>67</v>
      </c>
      <c r="C27" s="228" t="s">
        <v>68</v>
      </c>
      <c r="D27" s="229">
        <v>20.0</v>
      </c>
      <c r="E27" s="230">
        <v>23.0</v>
      </c>
      <c r="F27" s="231">
        <v>16.0</v>
      </c>
      <c r="G27" s="232">
        <v>25.0</v>
      </c>
      <c r="H27" s="233">
        <v>33.0</v>
      </c>
      <c r="I27" s="234">
        <v>30.0</v>
      </c>
      <c r="J27" s="234">
        <v>28.0</v>
      </c>
      <c r="K27" s="235">
        <f t="shared" si="1"/>
        <v>2</v>
      </c>
      <c r="L27" s="236"/>
      <c r="M27" s="236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5.75" customHeight="1">
      <c r="A28" s="192">
        <v>19.0</v>
      </c>
      <c r="B28" s="227" t="s">
        <v>69</v>
      </c>
      <c r="C28" s="228" t="s">
        <v>70</v>
      </c>
      <c r="D28" s="229">
        <v>20.0</v>
      </c>
      <c r="E28" s="230">
        <v>29.0</v>
      </c>
      <c r="F28" s="231">
        <v>37.0</v>
      </c>
      <c r="G28" s="232">
        <v>25.0</v>
      </c>
      <c r="H28" s="233">
        <v>37.0</v>
      </c>
      <c r="I28" s="234">
        <v>34.0</v>
      </c>
      <c r="J28" s="234">
        <v>36.0</v>
      </c>
      <c r="K28" s="235">
        <f t="shared" si="1"/>
        <v>1</v>
      </c>
      <c r="L28" s="236"/>
      <c r="M28" s="236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15.75" customHeight="1">
      <c r="A29" s="192">
        <v>20.0</v>
      </c>
      <c r="B29" s="227" t="s">
        <v>71</v>
      </c>
      <c r="C29" s="228" t="s">
        <v>72</v>
      </c>
      <c r="D29" s="229">
        <v>8.0</v>
      </c>
      <c r="E29" s="230">
        <v>26.0</v>
      </c>
      <c r="F29" s="231">
        <v>21.0</v>
      </c>
      <c r="G29" s="231">
        <v>3.0</v>
      </c>
      <c r="H29" s="233">
        <v>17.0</v>
      </c>
      <c r="I29" s="234">
        <v>25.0</v>
      </c>
      <c r="J29" s="234">
        <v>30.0</v>
      </c>
      <c r="K29" s="235">
        <f t="shared" si="1"/>
        <v>4</v>
      </c>
      <c r="L29" s="236"/>
      <c r="M29" s="236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15.75" customHeight="1">
      <c r="A30" s="192">
        <v>21.0</v>
      </c>
      <c r="B30" s="227" t="s">
        <v>73</v>
      </c>
      <c r="C30" s="228" t="s">
        <v>74</v>
      </c>
      <c r="D30" s="229">
        <v>33.0</v>
      </c>
      <c r="E30" s="230">
        <v>36.0</v>
      </c>
      <c r="F30" s="231">
        <v>33.0</v>
      </c>
      <c r="G30" s="232">
        <v>15.0</v>
      </c>
      <c r="H30" s="233">
        <v>24.0</v>
      </c>
      <c r="I30" s="234">
        <v>40.0</v>
      </c>
      <c r="J30" s="234">
        <v>40.0</v>
      </c>
      <c r="K30" s="235">
        <f t="shared" si="1"/>
        <v>1</v>
      </c>
      <c r="L30" s="236"/>
      <c r="M30" s="236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5.75" customHeight="1">
      <c r="A31" s="192">
        <v>22.0</v>
      </c>
      <c r="B31" s="227" t="s">
        <v>75</v>
      </c>
      <c r="C31" s="228" t="s">
        <v>76</v>
      </c>
      <c r="D31" s="229">
        <v>48.0</v>
      </c>
      <c r="E31" s="230">
        <v>36.0</v>
      </c>
      <c r="F31" s="231">
        <v>39.0</v>
      </c>
      <c r="G31" s="232">
        <v>39.0</v>
      </c>
      <c r="H31" s="233">
        <v>31.0</v>
      </c>
      <c r="I31" s="234">
        <v>47.0</v>
      </c>
      <c r="J31" s="234">
        <v>33.0</v>
      </c>
      <c r="K31" s="235">
        <f t="shared" si="1"/>
        <v>0</v>
      </c>
      <c r="L31" s="236"/>
      <c r="M31" s="236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5.75" customHeight="1">
      <c r="A32" s="192">
        <v>23.0</v>
      </c>
      <c r="B32" s="227" t="s">
        <v>77</v>
      </c>
      <c r="C32" s="228" t="s">
        <v>78</v>
      </c>
      <c r="D32" s="229">
        <v>42.0</v>
      </c>
      <c r="E32" s="230">
        <v>44.0</v>
      </c>
      <c r="F32" s="231">
        <v>47.0</v>
      </c>
      <c r="G32" s="232">
        <v>38.0</v>
      </c>
      <c r="H32" s="233">
        <v>34.0</v>
      </c>
      <c r="I32" s="234">
        <v>38.0</v>
      </c>
      <c r="J32" s="234">
        <v>37.0</v>
      </c>
      <c r="K32" s="235">
        <f t="shared" si="1"/>
        <v>0</v>
      </c>
      <c r="L32" s="236"/>
      <c r="M32" s="236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5.75" customHeight="1">
      <c r="A33" s="192">
        <v>24.0</v>
      </c>
      <c r="B33" s="227" t="s">
        <v>79</v>
      </c>
      <c r="C33" s="228" t="s">
        <v>80</v>
      </c>
      <c r="D33" s="229">
        <v>23.0</v>
      </c>
      <c r="E33" s="230">
        <v>33.0</v>
      </c>
      <c r="F33" s="231">
        <v>22.0</v>
      </c>
      <c r="G33" s="232">
        <v>19.0</v>
      </c>
      <c r="H33" s="233">
        <v>35.0</v>
      </c>
      <c r="I33" s="234">
        <v>37.0</v>
      </c>
      <c r="J33" s="234">
        <v>32.0</v>
      </c>
      <c r="K33" s="235">
        <f t="shared" si="1"/>
        <v>1</v>
      </c>
      <c r="L33" s="236"/>
      <c r="M33" s="236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15.75" customHeight="1">
      <c r="A34" s="192">
        <v>25.0</v>
      </c>
      <c r="B34" s="227" t="s">
        <v>81</v>
      </c>
      <c r="C34" s="228" t="s">
        <v>82</v>
      </c>
      <c r="D34" s="229">
        <v>14.0</v>
      </c>
      <c r="E34" s="230">
        <v>19.0</v>
      </c>
      <c r="F34" s="231">
        <v>25.0</v>
      </c>
      <c r="G34" s="232" t="s">
        <v>265</v>
      </c>
      <c r="H34" s="233">
        <v>32.0</v>
      </c>
      <c r="I34" s="234">
        <v>25.0</v>
      </c>
      <c r="J34" s="234">
        <v>34.0</v>
      </c>
      <c r="K34" s="235">
        <f t="shared" si="1"/>
        <v>2</v>
      </c>
      <c r="L34" s="236"/>
      <c r="M34" s="236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5.75" customHeight="1">
      <c r="A35" s="192">
        <v>26.0</v>
      </c>
      <c r="B35" s="227" t="s">
        <v>83</v>
      </c>
      <c r="C35" s="228" t="s">
        <v>84</v>
      </c>
      <c r="D35" s="229">
        <v>16.0</v>
      </c>
      <c r="E35" s="230">
        <v>36.0</v>
      </c>
      <c r="F35" s="231">
        <v>45.0</v>
      </c>
      <c r="G35" s="232">
        <v>34.0</v>
      </c>
      <c r="H35" s="233">
        <v>33.0</v>
      </c>
      <c r="I35" s="234">
        <v>36.0</v>
      </c>
      <c r="J35" s="234">
        <v>44.0</v>
      </c>
      <c r="K35" s="235">
        <f t="shared" si="1"/>
        <v>1</v>
      </c>
      <c r="L35" s="236"/>
      <c r="M35" s="236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5.75" customHeight="1">
      <c r="A36" s="192">
        <v>27.0</v>
      </c>
      <c r="B36" s="227" t="s">
        <v>85</v>
      </c>
      <c r="C36" s="228" t="s">
        <v>86</v>
      </c>
      <c r="D36" s="229">
        <v>43.0</v>
      </c>
      <c r="E36" s="230">
        <v>42.0</v>
      </c>
      <c r="F36" s="231">
        <v>36.0</v>
      </c>
      <c r="G36" s="232">
        <v>35.0</v>
      </c>
      <c r="H36" s="233">
        <v>47.0</v>
      </c>
      <c r="I36" s="234">
        <v>43.0</v>
      </c>
      <c r="J36" s="234">
        <v>39.0</v>
      </c>
      <c r="K36" s="235">
        <f t="shared" si="1"/>
        <v>0</v>
      </c>
      <c r="L36" s="236"/>
      <c r="M36" s="236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5.75" customHeight="1">
      <c r="A37" s="192">
        <v>28.0</v>
      </c>
      <c r="B37" s="227" t="s">
        <v>87</v>
      </c>
      <c r="C37" s="228" t="s">
        <v>88</v>
      </c>
      <c r="D37" s="229">
        <v>25.0</v>
      </c>
      <c r="E37" s="230">
        <v>39.0</v>
      </c>
      <c r="F37" s="231">
        <v>28.0</v>
      </c>
      <c r="G37" s="232">
        <v>8.0</v>
      </c>
      <c r="H37" s="233">
        <v>32.0</v>
      </c>
      <c r="I37" s="234">
        <v>24.0</v>
      </c>
      <c r="J37" s="234">
        <v>38.0</v>
      </c>
      <c r="K37" s="235">
        <f t="shared" si="1"/>
        <v>1</v>
      </c>
      <c r="L37" s="236"/>
      <c r="M37" s="236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5.75" customHeight="1">
      <c r="A38" s="192">
        <v>29.0</v>
      </c>
      <c r="B38" s="227" t="s">
        <v>89</v>
      </c>
      <c r="C38" s="228" t="s">
        <v>90</v>
      </c>
      <c r="D38" s="229">
        <v>11.0</v>
      </c>
      <c r="E38" s="230">
        <v>40.0</v>
      </c>
      <c r="F38" s="231">
        <v>45.0</v>
      </c>
      <c r="G38" s="232">
        <v>38.0</v>
      </c>
      <c r="H38" s="233">
        <v>32.0</v>
      </c>
      <c r="I38" s="234">
        <v>35.0</v>
      </c>
      <c r="J38" s="234">
        <v>35.0</v>
      </c>
      <c r="K38" s="235">
        <f t="shared" si="1"/>
        <v>1</v>
      </c>
      <c r="L38" s="236"/>
      <c r="M38" s="236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5.75" customHeight="1">
      <c r="A39" s="192">
        <v>30.0</v>
      </c>
      <c r="B39" s="227" t="s">
        <v>91</v>
      </c>
      <c r="C39" s="228" t="s">
        <v>92</v>
      </c>
      <c r="D39" s="229">
        <v>24.0</v>
      </c>
      <c r="E39" s="230">
        <v>31.0</v>
      </c>
      <c r="F39" s="231">
        <v>31.0</v>
      </c>
      <c r="G39" s="232">
        <v>25.0</v>
      </c>
      <c r="H39" s="233">
        <v>32.0</v>
      </c>
      <c r="I39" s="234">
        <v>33.0</v>
      </c>
      <c r="J39" s="234">
        <v>40.0</v>
      </c>
      <c r="K39" s="235">
        <f t="shared" si="1"/>
        <v>0</v>
      </c>
      <c r="L39" s="236"/>
      <c r="M39" s="236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5.75" customHeight="1">
      <c r="A40" s="192">
        <v>31.0</v>
      </c>
      <c r="B40" s="227" t="s">
        <v>93</v>
      </c>
      <c r="C40" s="228" t="s">
        <v>94</v>
      </c>
      <c r="D40" s="229">
        <v>29.0</v>
      </c>
      <c r="E40" s="230">
        <v>43.0</v>
      </c>
      <c r="F40" s="231">
        <v>38.0</v>
      </c>
      <c r="G40" s="232">
        <v>29.0</v>
      </c>
      <c r="H40" s="233">
        <v>45.0</v>
      </c>
      <c r="I40" s="234">
        <v>33.0</v>
      </c>
      <c r="J40" s="234">
        <v>40.0</v>
      </c>
      <c r="K40" s="235">
        <f t="shared" si="1"/>
        <v>0</v>
      </c>
      <c r="L40" s="236"/>
      <c r="M40" s="236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5.75" customHeight="1">
      <c r="A41" s="192">
        <v>32.0</v>
      </c>
      <c r="B41" s="227" t="s">
        <v>95</v>
      </c>
      <c r="C41" s="237" t="s">
        <v>96</v>
      </c>
      <c r="D41" s="229">
        <v>22.0</v>
      </c>
      <c r="E41" s="230">
        <v>14.0</v>
      </c>
      <c r="F41" s="231">
        <v>28.0</v>
      </c>
      <c r="G41" s="232">
        <v>20.0</v>
      </c>
      <c r="H41" s="233">
        <v>27.0</v>
      </c>
      <c r="I41" s="234">
        <v>22.0</v>
      </c>
      <c r="J41" s="234">
        <v>33.0</v>
      </c>
      <c r="K41" s="235">
        <f t="shared" si="1"/>
        <v>2</v>
      </c>
      <c r="L41" s="236"/>
      <c r="M41" s="236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5.75" customHeight="1">
      <c r="A42" s="192">
        <v>33.0</v>
      </c>
      <c r="B42" s="227" t="s">
        <v>97</v>
      </c>
      <c r="C42" s="228" t="s">
        <v>98</v>
      </c>
      <c r="D42" s="229">
        <v>40.0</v>
      </c>
      <c r="E42" s="230">
        <v>33.0</v>
      </c>
      <c r="F42" s="231">
        <v>37.0</v>
      </c>
      <c r="G42" s="232">
        <v>22.0</v>
      </c>
      <c r="H42" s="233">
        <v>33.0</v>
      </c>
      <c r="I42" s="234">
        <v>37.0</v>
      </c>
      <c r="J42" s="234">
        <v>34.0</v>
      </c>
      <c r="K42" s="235">
        <f t="shared" si="1"/>
        <v>0</v>
      </c>
      <c r="L42" s="236"/>
      <c r="M42" s="236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5.75" customHeight="1">
      <c r="A43" s="192">
        <v>34.0</v>
      </c>
      <c r="B43" s="227" t="s">
        <v>99</v>
      </c>
      <c r="C43" s="228" t="s">
        <v>100</v>
      </c>
      <c r="D43" s="229">
        <v>3.0</v>
      </c>
      <c r="E43" s="230">
        <v>26.0</v>
      </c>
      <c r="F43" s="231">
        <v>17.0</v>
      </c>
      <c r="G43" s="232" t="s">
        <v>265</v>
      </c>
      <c r="H43" s="233">
        <v>41.0</v>
      </c>
      <c r="I43" s="234">
        <v>22.0</v>
      </c>
      <c r="J43" s="234">
        <v>15.0</v>
      </c>
      <c r="K43" s="235">
        <f t="shared" si="1"/>
        <v>2</v>
      </c>
      <c r="L43" s="236"/>
      <c r="M43" s="236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5.75" customHeight="1">
      <c r="A44" s="192">
        <v>35.0</v>
      </c>
      <c r="B44" s="227" t="s">
        <v>101</v>
      </c>
      <c r="C44" s="228" t="s">
        <v>102</v>
      </c>
      <c r="D44" s="229">
        <v>38.0</v>
      </c>
      <c r="E44" s="230">
        <v>47.0</v>
      </c>
      <c r="F44" s="231">
        <v>48.0</v>
      </c>
      <c r="G44" s="232">
        <v>40.0</v>
      </c>
      <c r="H44" s="233">
        <v>48.0</v>
      </c>
      <c r="I44" s="234">
        <v>41.0</v>
      </c>
      <c r="J44" s="234">
        <v>41.0</v>
      </c>
      <c r="K44" s="235">
        <f t="shared" si="1"/>
        <v>0</v>
      </c>
      <c r="L44" s="236"/>
      <c r="M44" s="236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5.75" customHeight="1">
      <c r="A45" s="192">
        <v>36.0</v>
      </c>
      <c r="B45" s="227" t="s">
        <v>103</v>
      </c>
      <c r="C45" s="228" t="s">
        <v>104</v>
      </c>
      <c r="D45" s="229">
        <v>35.0</v>
      </c>
      <c r="E45" s="230">
        <v>27.0</v>
      </c>
      <c r="F45" s="231">
        <v>29.0</v>
      </c>
      <c r="G45" s="232">
        <v>26.0</v>
      </c>
      <c r="H45" s="233">
        <v>42.0</v>
      </c>
      <c r="I45" s="234">
        <v>46.0</v>
      </c>
      <c r="J45" s="234">
        <v>39.0</v>
      </c>
      <c r="K45" s="235">
        <f t="shared" si="1"/>
        <v>0</v>
      </c>
      <c r="L45" s="236"/>
      <c r="M45" s="236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5.75" customHeight="1">
      <c r="A46" s="192">
        <v>37.0</v>
      </c>
      <c r="B46" s="227" t="s">
        <v>105</v>
      </c>
      <c r="C46" s="228" t="s">
        <v>106</v>
      </c>
      <c r="D46" s="229">
        <v>11.0</v>
      </c>
      <c r="E46" s="230">
        <v>23.0</v>
      </c>
      <c r="F46" s="231">
        <v>11.0</v>
      </c>
      <c r="G46" s="231">
        <v>5.0</v>
      </c>
      <c r="H46" s="233">
        <v>29.0</v>
      </c>
      <c r="I46" s="234">
        <v>26.0</v>
      </c>
      <c r="J46" s="234">
        <v>36.0</v>
      </c>
      <c r="K46" s="235">
        <f t="shared" si="1"/>
        <v>3</v>
      </c>
      <c r="L46" s="236"/>
      <c r="M46" s="236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5.75" customHeight="1">
      <c r="A47" s="192">
        <v>38.0</v>
      </c>
      <c r="B47" s="227" t="s">
        <v>107</v>
      </c>
      <c r="C47" s="228" t="s">
        <v>108</v>
      </c>
      <c r="D47" s="229">
        <v>19.0</v>
      </c>
      <c r="E47" s="230">
        <v>16.0</v>
      </c>
      <c r="F47" s="231">
        <v>23.0</v>
      </c>
      <c r="G47" s="232">
        <v>15.0</v>
      </c>
      <c r="H47" s="233">
        <v>14.0</v>
      </c>
      <c r="I47" s="234">
        <v>10.0</v>
      </c>
      <c r="J47" s="234">
        <v>21.0</v>
      </c>
      <c r="K47" s="235">
        <f t="shared" si="1"/>
        <v>5</v>
      </c>
      <c r="L47" s="236"/>
      <c r="M47" s="236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5.75" customHeight="1">
      <c r="A48" s="192">
        <v>39.0</v>
      </c>
      <c r="B48" s="227" t="s">
        <v>109</v>
      </c>
      <c r="C48" s="228" t="s">
        <v>110</v>
      </c>
      <c r="D48" s="229">
        <v>24.0</v>
      </c>
      <c r="E48" s="230">
        <v>29.0</v>
      </c>
      <c r="F48" s="231">
        <v>39.0</v>
      </c>
      <c r="G48" s="231">
        <v>35.0</v>
      </c>
      <c r="H48" s="233">
        <v>39.0</v>
      </c>
      <c r="I48" s="234">
        <v>30.0</v>
      </c>
      <c r="J48" s="234">
        <v>35.0</v>
      </c>
      <c r="K48" s="235">
        <f t="shared" si="1"/>
        <v>0</v>
      </c>
      <c r="L48" s="236"/>
      <c r="M48" s="236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5.75" customHeight="1">
      <c r="A49" s="192">
        <v>40.0</v>
      </c>
      <c r="B49" s="227" t="s">
        <v>111</v>
      </c>
      <c r="C49" s="228" t="s">
        <v>112</v>
      </c>
      <c r="D49" s="229">
        <v>40.0</v>
      </c>
      <c r="E49" s="230">
        <v>27.0</v>
      </c>
      <c r="F49" s="231">
        <v>23.0</v>
      </c>
      <c r="G49" s="232">
        <v>21.0</v>
      </c>
      <c r="H49" s="233">
        <v>27.0</v>
      </c>
      <c r="I49" s="234">
        <v>26.0</v>
      </c>
      <c r="J49" s="234">
        <v>36.0</v>
      </c>
      <c r="K49" s="235">
        <f t="shared" si="1"/>
        <v>1</v>
      </c>
      <c r="L49" s="236"/>
      <c r="M49" s="236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5.75" customHeight="1">
      <c r="A50" s="192">
        <v>41.0</v>
      </c>
      <c r="B50" s="227" t="s">
        <v>113</v>
      </c>
      <c r="C50" s="228" t="s">
        <v>114</v>
      </c>
      <c r="D50" s="229">
        <v>24.0</v>
      </c>
      <c r="E50" s="230">
        <v>22.0</v>
      </c>
      <c r="F50" s="231">
        <v>30.0</v>
      </c>
      <c r="G50" s="232">
        <v>30.0</v>
      </c>
      <c r="H50" s="233">
        <v>25.0</v>
      </c>
      <c r="I50" s="234">
        <v>21.0</v>
      </c>
      <c r="J50" s="234">
        <v>38.0</v>
      </c>
      <c r="K50" s="235">
        <f t="shared" si="1"/>
        <v>1</v>
      </c>
      <c r="L50" s="236"/>
      <c r="M50" s="236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5.75" customHeight="1">
      <c r="A51" s="192">
        <v>42.0</v>
      </c>
      <c r="B51" s="227" t="s">
        <v>115</v>
      </c>
      <c r="C51" s="228" t="s">
        <v>116</v>
      </c>
      <c r="D51" s="229">
        <v>26.0</v>
      </c>
      <c r="E51" s="230">
        <v>26.0</v>
      </c>
      <c r="F51" s="231">
        <v>39.0</v>
      </c>
      <c r="G51" s="231">
        <v>24.0</v>
      </c>
      <c r="H51" s="233">
        <v>7.0</v>
      </c>
      <c r="I51" s="234">
        <v>32.0</v>
      </c>
      <c r="J51" s="234">
        <v>36.0</v>
      </c>
      <c r="K51" s="235">
        <f t="shared" si="1"/>
        <v>1</v>
      </c>
      <c r="L51" s="236"/>
      <c r="M51" s="236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5.75" customHeight="1">
      <c r="A52" s="192">
        <v>43.0</v>
      </c>
      <c r="B52" s="227" t="s">
        <v>117</v>
      </c>
      <c r="C52" s="228" t="s">
        <v>118</v>
      </c>
      <c r="D52" s="229">
        <v>24.0</v>
      </c>
      <c r="E52" s="230">
        <v>34.0</v>
      </c>
      <c r="F52" s="231">
        <v>9.0</v>
      </c>
      <c r="G52" s="232">
        <v>22.0</v>
      </c>
      <c r="H52" s="233">
        <v>50.0</v>
      </c>
      <c r="I52" s="234">
        <v>33.0</v>
      </c>
      <c r="J52" s="234">
        <v>40.0</v>
      </c>
      <c r="K52" s="235">
        <f t="shared" si="1"/>
        <v>1</v>
      </c>
      <c r="L52" s="236"/>
      <c r="M52" s="236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5.75" customHeight="1">
      <c r="A53" s="192">
        <v>44.0</v>
      </c>
      <c r="B53" s="227" t="s">
        <v>119</v>
      </c>
      <c r="C53" s="228" t="s">
        <v>120</v>
      </c>
      <c r="D53" s="229">
        <v>32.0</v>
      </c>
      <c r="E53" s="230">
        <v>34.0</v>
      </c>
      <c r="F53" s="231">
        <v>35.0</v>
      </c>
      <c r="G53" s="232">
        <v>31.0</v>
      </c>
      <c r="H53" s="233">
        <v>27.0</v>
      </c>
      <c r="I53" s="234">
        <v>19.0</v>
      </c>
      <c r="J53" s="234">
        <v>37.0</v>
      </c>
      <c r="K53" s="235">
        <f t="shared" si="1"/>
        <v>1</v>
      </c>
      <c r="L53" s="236"/>
      <c r="M53" s="236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5.75" customHeight="1">
      <c r="A54" s="192">
        <v>45.0</v>
      </c>
      <c r="B54" s="227" t="s">
        <v>121</v>
      </c>
      <c r="C54" s="228" t="s">
        <v>122</v>
      </c>
      <c r="D54" s="229">
        <v>39.0</v>
      </c>
      <c r="E54" s="230">
        <v>43.0</v>
      </c>
      <c r="F54" s="231">
        <v>40.0</v>
      </c>
      <c r="G54" s="232">
        <v>38.0</v>
      </c>
      <c r="H54" s="233">
        <v>18.0</v>
      </c>
      <c r="I54" s="234">
        <v>24.0</v>
      </c>
      <c r="J54" s="234">
        <v>29.0</v>
      </c>
      <c r="K54" s="235">
        <f t="shared" si="1"/>
        <v>1</v>
      </c>
      <c r="L54" s="236"/>
      <c r="M54" s="236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5.75" customHeight="1">
      <c r="A55" s="192">
        <v>46.0</v>
      </c>
      <c r="B55" s="227" t="s">
        <v>123</v>
      </c>
      <c r="C55" s="228" t="s">
        <v>124</v>
      </c>
      <c r="D55" s="229" t="s">
        <v>266</v>
      </c>
      <c r="E55" s="230" t="s">
        <v>266</v>
      </c>
      <c r="F55" s="231" t="s">
        <v>266</v>
      </c>
      <c r="G55" s="231" t="s">
        <v>266</v>
      </c>
      <c r="H55" s="234" t="s">
        <v>266</v>
      </c>
      <c r="I55" s="234" t="s">
        <v>266</v>
      </c>
      <c r="J55" s="234" t="s">
        <v>266</v>
      </c>
      <c r="K55" s="235">
        <f t="shared" si="1"/>
        <v>0</v>
      </c>
      <c r="L55" s="236"/>
      <c r="M55" s="236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5.75" customHeight="1">
      <c r="A56" s="192">
        <v>47.0</v>
      </c>
      <c r="B56" s="227" t="s">
        <v>125</v>
      </c>
      <c r="C56" s="228" t="s">
        <v>126</v>
      </c>
      <c r="D56" s="229">
        <v>40.0</v>
      </c>
      <c r="E56" s="230">
        <v>34.0</v>
      </c>
      <c r="F56" s="231">
        <v>34.0</v>
      </c>
      <c r="G56" s="232">
        <v>33.0</v>
      </c>
      <c r="H56" s="233">
        <v>26.0</v>
      </c>
      <c r="I56" s="234">
        <v>31.0</v>
      </c>
      <c r="J56" s="234">
        <v>32.0</v>
      </c>
      <c r="K56" s="235">
        <f t="shared" si="1"/>
        <v>0</v>
      </c>
      <c r="L56" s="236"/>
      <c r="M56" s="236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5.75" customHeight="1">
      <c r="A57" s="192">
        <v>48.0</v>
      </c>
      <c r="B57" s="227" t="s">
        <v>127</v>
      </c>
      <c r="C57" s="228" t="s">
        <v>128</v>
      </c>
      <c r="D57" s="229">
        <v>27.0</v>
      </c>
      <c r="E57" s="230">
        <v>41.0</v>
      </c>
      <c r="F57" s="231">
        <v>19.0</v>
      </c>
      <c r="G57" s="232">
        <v>8.0</v>
      </c>
      <c r="H57" s="233">
        <v>42.0</v>
      </c>
      <c r="I57" s="234">
        <v>32.0</v>
      </c>
      <c r="J57" s="234">
        <v>35.0</v>
      </c>
      <c r="K57" s="235">
        <f t="shared" si="1"/>
        <v>2</v>
      </c>
      <c r="L57" s="236"/>
      <c r="M57" s="236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5.75" customHeight="1">
      <c r="A58" s="192">
        <v>49.0</v>
      </c>
      <c r="B58" s="227" t="s">
        <v>129</v>
      </c>
      <c r="C58" s="228" t="s">
        <v>130</v>
      </c>
      <c r="D58" s="229">
        <v>11.0</v>
      </c>
      <c r="E58" s="230">
        <v>9.0</v>
      </c>
      <c r="F58" s="231">
        <v>23.0</v>
      </c>
      <c r="G58" s="232">
        <v>22.0</v>
      </c>
      <c r="H58" s="233">
        <v>35.0</v>
      </c>
      <c r="I58" s="234">
        <v>21.0</v>
      </c>
      <c r="J58" s="234">
        <v>27.0</v>
      </c>
      <c r="K58" s="235">
        <f t="shared" si="1"/>
        <v>3</v>
      </c>
      <c r="L58" s="236"/>
      <c r="M58" s="236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5.75" customHeight="1">
      <c r="A59" s="192">
        <v>50.0</v>
      </c>
      <c r="B59" s="227" t="s">
        <v>131</v>
      </c>
      <c r="C59" s="228" t="s">
        <v>132</v>
      </c>
      <c r="D59" s="229">
        <v>35.0</v>
      </c>
      <c r="E59" s="230">
        <v>42.0</v>
      </c>
      <c r="F59" s="231">
        <v>46.0</v>
      </c>
      <c r="G59" s="232">
        <v>40.0</v>
      </c>
      <c r="H59" s="233">
        <v>23.0</v>
      </c>
      <c r="I59" s="234">
        <v>31.0</v>
      </c>
      <c r="J59" s="234">
        <v>37.0</v>
      </c>
      <c r="K59" s="235">
        <f t="shared" si="1"/>
        <v>0</v>
      </c>
      <c r="L59" s="236"/>
      <c r="M59" s="236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5.75" customHeight="1">
      <c r="A60" s="192">
        <v>51.0</v>
      </c>
      <c r="B60" s="227" t="s">
        <v>133</v>
      </c>
      <c r="C60" s="228" t="s">
        <v>134</v>
      </c>
      <c r="D60" s="229">
        <v>44.0</v>
      </c>
      <c r="E60" s="230">
        <v>44.0</v>
      </c>
      <c r="F60" s="231">
        <v>41.0</v>
      </c>
      <c r="G60" s="232">
        <v>37.0</v>
      </c>
      <c r="H60" s="233">
        <v>41.0</v>
      </c>
      <c r="I60" s="234">
        <v>25.0</v>
      </c>
      <c r="J60" s="234">
        <v>41.0</v>
      </c>
      <c r="K60" s="235">
        <f t="shared" si="1"/>
        <v>0</v>
      </c>
      <c r="L60" s="236"/>
      <c r="M60" s="236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5.75" customHeight="1">
      <c r="A61" s="192">
        <v>52.0</v>
      </c>
      <c r="B61" s="227" t="s">
        <v>135</v>
      </c>
      <c r="C61" s="228" t="s">
        <v>136</v>
      </c>
      <c r="D61" s="229">
        <v>2.0</v>
      </c>
      <c r="E61" s="230">
        <v>14.0</v>
      </c>
      <c r="F61" s="231">
        <v>42.0</v>
      </c>
      <c r="G61" s="231">
        <v>5.0</v>
      </c>
      <c r="H61" s="233">
        <v>42.0</v>
      </c>
      <c r="I61" s="234">
        <v>11.0</v>
      </c>
      <c r="J61" s="234">
        <v>34.0</v>
      </c>
      <c r="K61" s="235">
        <f t="shared" si="1"/>
        <v>4</v>
      </c>
      <c r="L61" s="236"/>
      <c r="M61" s="236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5.75" customHeight="1">
      <c r="A62" s="192">
        <v>53.0</v>
      </c>
      <c r="B62" s="227" t="s">
        <v>137</v>
      </c>
      <c r="C62" s="228" t="s">
        <v>138</v>
      </c>
      <c r="D62" s="229">
        <v>34.0</v>
      </c>
      <c r="E62" s="230">
        <v>50.0</v>
      </c>
      <c r="F62" s="231">
        <v>49.0</v>
      </c>
      <c r="G62" s="232">
        <v>38.0</v>
      </c>
      <c r="H62" s="233">
        <v>35.0</v>
      </c>
      <c r="I62" s="234">
        <v>32.0</v>
      </c>
      <c r="J62" s="234">
        <v>39.0</v>
      </c>
      <c r="K62" s="235">
        <f t="shared" si="1"/>
        <v>0</v>
      </c>
      <c r="L62" s="236"/>
      <c r="M62" s="236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5.75" customHeight="1">
      <c r="A63" s="238" t="s">
        <v>267</v>
      </c>
      <c r="B63" s="218"/>
      <c r="C63" s="219"/>
      <c r="D63" s="239">
        <f>(53-D64)</f>
        <v>52</v>
      </c>
      <c r="E63" s="240">
        <v>52.0</v>
      </c>
      <c r="F63" s="239">
        <f t="shared" ref="F63:J63" si="2">(53-F64)</f>
        <v>52</v>
      </c>
      <c r="G63" s="239">
        <f t="shared" si="2"/>
        <v>48</v>
      </c>
      <c r="H63" s="239">
        <f t="shared" si="2"/>
        <v>51</v>
      </c>
      <c r="I63" s="239">
        <f t="shared" si="2"/>
        <v>52</v>
      </c>
      <c r="J63" s="239">
        <f t="shared" si="2"/>
        <v>51</v>
      </c>
      <c r="K63" s="241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5.75" customHeight="1">
      <c r="A64" s="242" t="s">
        <v>268</v>
      </c>
      <c r="B64" s="243"/>
      <c r="C64" s="177"/>
      <c r="D64" s="239">
        <f>COUNTIF(D10:D61,"AB")</f>
        <v>1</v>
      </c>
      <c r="E64" s="240">
        <v>1.0</v>
      </c>
      <c r="F64" s="239">
        <f t="shared" ref="F64:G64" si="3">COUNTIF(F10:F61,"AB")</f>
        <v>1</v>
      </c>
      <c r="G64" s="239">
        <f t="shared" si="3"/>
        <v>5</v>
      </c>
      <c r="H64" s="240">
        <v>2.0</v>
      </c>
      <c r="I64" s="239">
        <f t="shared" ref="I64:J64" si="4">COUNTIF(I10:I61,"AB")</f>
        <v>1</v>
      </c>
      <c r="J64" s="239">
        <f t="shared" si="4"/>
        <v>2</v>
      </c>
      <c r="K64" s="241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5.75" customHeight="1">
      <c r="A65" s="242" t="s">
        <v>269</v>
      </c>
      <c r="B65" s="243"/>
      <c r="C65" s="177"/>
      <c r="D65" s="239">
        <f>COUNTIF(D10:D62,"&lt;22")</f>
        <v>18</v>
      </c>
      <c r="E65" s="239">
        <v>11.0</v>
      </c>
      <c r="F65" s="239">
        <f t="shared" ref="F65:J65" si="5">COUNTIF(F10:F62,"&lt;22")</f>
        <v>12</v>
      </c>
      <c r="G65" s="239">
        <f t="shared" si="5"/>
        <v>20</v>
      </c>
      <c r="H65" s="239">
        <f t="shared" si="5"/>
        <v>9</v>
      </c>
      <c r="I65" s="239">
        <f t="shared" si="5"/>
        <v>9</v>
      </c>
      <c r="J65" s="239">
        <f t="shared" si="5"/>
        <v>2</v>
      </c>
      <c r="K65" s="241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5.75" customHeight="1">
      <c r="A66" s="244" t="s">
        <v>139</v>
      </c>
      <c r="B66" s="243"/>
      <c r="C66" s="177"/>
      <c r="D66" s="239" t="s">
        <v>140</v>
      </c>
      <c r="E66" s="239" t="s">
        <v>141</v>
      </c>
      <c r="F66" s="239" t="s">
        <v>142</v>
      </c>
      <c r="G66" s="239" t="s">
        <v>143</v>
      </c>
      <c r="H66" s="239" t="s">
        <v>151</v>
      </c>
      <c r="I66" s="239" t="s">
        <v>145</v>
      </c>
      <c r="J66" s="240" t="s">
        <v>146</v>
      </c>
      <c r="K66" s="245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27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5.75" customHeight="1">
      <c r="A68" s="246" t="s">
        <v>270</v>
      </c>
      <c r="B68" s="13"/>
      <c r="C68" s="13"/>
      <c r="D68" s="13"/>
      <c r="E68" s="246" t="s">
        <v>271</v>
      </c>
      <c r="G68" s="13"/>
      <c r="H68" s="13"/>
      <c r="I68" s="246" t="s">
        <v>272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5.75" customHeight="1">
      <c r="A79" s="246" t="s">
        <v>273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8:C9"/>
    <mergeCell ref="A63:C63"/>
    <mergeCell ref="A64:C64"/>
    <mergeCell ref="A65:C65"/>
    <mergeCell ref="A66:C66"/>
    <mergeCell ref="A2:K2"/>
    <mergeCell ref="A3:K3"/>
    <mergeCell ref="A4:K4"/>
    <mergeCell ref="C5:I5"/>
    <mergeCell ref="A8:A9"/>
    <mergeCell ref="B8:B9"/>
    <mergeCell ref="K8:K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12.88"/>
    <col customWidth="1" min="3" max="3" width="18.25"/>
    <col customWidth="1" min="4" max="4" width="14.38"/>
    <col customWidth="1" min="5" max="5" width="17.38"/>
    <col customWidth="1" min="6" max="6" width="14.0"/>
    <col customWidth="1" min="7" max="7" width="53.63"/>
    <col customWidth="1" min="8" max="27" width="12.0"/>
  </cols>
  <sheetData>
    <row r="1" ht="19.5" customHeight="1">
      <c r="A1" s="247" t="s">
        <v>0</v>
      </c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</row>
    <row r="2" ht="30.0" customHeight="1">
      <c r="A2" s="249" t="s">
        <v>274</v>
      </c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</row>
    <row r="3" ht="15.0" customHeight="1">
      <c r="A3" s="250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</row>
    <row r="4" ht="15.0" customHeight="1">
      <c r="A4" s="251" t="s">
        <v>275</v>
      </c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</row>
    <row r="5" ht="21.0" customHeight="1">
      <c r="A5" s="251" t="s">
        <v>276</v>
      </c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</row>
    <row r="6" ht="15.0" customHeight="1">
      <c r="A6" s="252"/>
      <c r="B6" s="253"/>
      <c r="C6" s="253"/>
      <c r="D6" s="253"/>
      <c r="E6" s="253"/>
      <c r="F6" s="253"/>
      <c r="G6" s="253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</row>
    <row r="7" ht="39.0" customHeight="1">
      <c r="A7" s="254" t="s">
        <v>7</v>
      </c>
      <c r="B7" s="254" t="s">
        <v>8</v>
      </c>
      <c r="C7" s="254" t="s">
        <v>31</v>
      </c>
      <c r="D7" s="254" t="s">
        <v>277</v>
      </c>
      <c r="E7" s="254" t="s">
        <v>278</v>
      </c>
      <c r="F7" s="254" t="s">
        <v>279</v>
      </c>
      <c r="G7" s="254" t="s">
        <v>280</v>
      </c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</row>
    <row r="8">
      <c r="A8" s="255">
        <v>1.0</v>
      </c>
      <c r="B8" s="227" t="s">
        <v>55</v>
      </c>
      <c r="C8" s="228" t="s">
        <v>56</v>
      </c>
      <c r="D8" s="256"/>
      <c r="E8" s="257"/>
      <c r="F8" s="258" t="s">
        <v>281</v>
      </c>
      <c r="G8" s="259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</row>
    <row r="9" ht="28.5" customHeight="1">
      <c r="A9" s="255">
        <v>2.0</v>
      </c>
      <c r="B9" s="227" t="s">
        <v>65</v>
      </c>
      <c r="C9" s="228" t="s">
        <v>66</v>
      </c>
      <c r="D9" s="256"/>
      <c r="E9" s="235"/>
      <c r="F9" s="40"/>
      <c r="G9" s="260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</row>
    <row r="10">
      <c r="A10" s="255">
        <v>3.0</v>
      </c>
      <c r="B10" s="227" t="s">
        <v>83</v>
      </c>
      <c r="C10" s="228" t="s">
        <v>84</v>
      </c>
      <c r="D10" s="256"/>
      <c r="E10" s="257"/>
      <c r="F10" s="258" t="s">
        <v>282</v>
      </c>
      <c r="G10" s="261" t="s">
        <v>283</v>
      </c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</row>
    <row r="11" ht="31.5" customHeight="1">
      <c r="A11" s="255">
        <v>4.0</v>
      </c>
      <c r="B11" s="227" t="s">
        <v>99</v>
      </c>
      <c r="C11" s="228" t="s">
        <v>100</v>
      </c>
      <c r="D11" s="256"/>
      <c r="E11" s="235"/>
      <c r="F11" s="32"/>
      <c r="G11" s="262" t="s">
        <v>284</v>
      </c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</row>
    <row r="12" ht="30.75" customHeight="1">
      <c r="A12" s="255">
        <v>5.0</v>
      </c>
      <c r="B12" s="227" t="s">
        <v>105</v>
      </c>
      <c r="C12" s="228" t="s">
        <v>106</v>
      </c>
      <c r="D12" s="256"/>
      <c r="E12" s="235"/>
      <c r="F12" s="32"/>
      <c r="G12" s="262" t="s">
        <v>285</v>
      </c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</row>
    <row r="13" ht="15.0" customHeight="1">
      <c r="A13" s="255">
        <v>6.0</v>
      </c>
      <c r="B13" s="227" t="s">
        <v>109</v>
      </c>
      <c r="C13" s="228" t="s">
        <v>110</v>
      </c>
      <c r="D13" s="256"/>
      <c r="E13" s="257"/>
      <c r="F13" s="40"/>
      <c r="G13" s="262" t="s">
        <v>286</v>
      </c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</row>
    <row r="14">
      <c r="A14" s="255">
        <v>7.0</v>
      </c>
      <c r="B14" s="227" t="s">
        <v>123</v>
      </c>
      <c r="C14" s="237" t="s">
        <v>124</v>
      </c>
      <c r="D14" s="256"/>
      <c r="E14" s="257"/>
      <c r="F14" s="258" t="s">
        <v>287</v>
      </c>
      <c r="G14" s="260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</row>
    <row r="15" ht="15.0" customHeight="1">
      <c r="A15" s="255">
        <v>8.0</v>
      </c>
      <c r="B15" s="227" t="s">
        <v>135</v>
      </c>
      <c r="C15" s="228" t="s">
        <v>136</v>
      </c>
      <c r="D15" s="256"/>
      <c r="E15" s="257"/>
      <c r="F15" s="40"/>
      <c r="G15" s="259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</row>
    <row r="16" ht="15.75" customHeight="1">
      <c r="A16" s="263"/>
      <c r="B16" s="263"/>
      <c r="C16" s="263"/>
      <c r="D16" s="263"/>
      <c r="E16" s="263"/>
      <c r="F16" s="263"/>
      <c r="G16" s="263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</row>
    <row r="17" ht="15.75" customHeight="1">
      <c r="A17" s="263"/>
      <c r="B17" s="263"/>
      <c r="C17" s="263"/>
      <c r="D17" s="263"/>
      <c r="E17" s="263"/>
      <c r="F17" s="263"/>
      <c r="G17" s="263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</row>
    <row r="18" ht="15.75" customHeight="1">
      <c r="A18" s="18"/>
      <c r="B18" s="12" t="s">
        <v>288</v>
      </c>
      <c r="C18" s="18"/>
      <c r="D18" s="18"/>
      <c r="E18" s="18"/>
      <c r="F18" s="18"/>
      <c r="G18" s="12" t="s">
        <v>289</v>
      </c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</row>
    <row r="19" ht="15.75" customHeight="1">
      <c r="A19" s="16"/>
      <c r="B19" s="16"/>
      <c r="C19" s="16"/>
      <c r="D19" s="16"/>
      <c r="E19" s="16"/>
      <c r="F19" s="16"/>
      <c r="G19" s="16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</row>
    <row r="20" ht="15.75" customHeight="1">
      <c r="A20" s="248"/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</row>
    <row r="21" ht="15.75" customHeight="1">
      <c r="A21" s="248"/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</row>
    <row r="22" ht="15.75" customHeight="1">
      <c r="A22" s="248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</row>
    <row r="23" ht="15.75" customHeight="1">
      <c r="A23" s="248"/>
      <c r="B23" s="248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</row>
    <row r="24" ht="15.75" customHeight="1">
      <c r="A24" s="248"/>
      <c r="B24" s="248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</row>
    <row r="25" ht="15.75" customHeight="1">
      <c r="A25" s="248"/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</row>
    <row r="26" ht="15.75" customHeight="1">
      <c r="A26" s="248"/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</row>
    <row r="27" ht="15.75" customHeight="1">
      <c r="A27" s="248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</row>
    <row r="28" ht="15.75" customHeight="1">
      <c r="A28" s="248"/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</row>
    <row r="29" ht="15.75" customHeight="1">
      <c r="A29" s="248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</row>
    <row r="30" ht="15.75" customHeight="1">
      <c r="A30" s="248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</row>
    <row r="31" ht="15.75" customHeight="1">
      <c r="A31" s="248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</row>
    <row r="32" ht="15.75" customHeight="1">
      <c r="A32" s="248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</row>
    <row r="33" ht="15.75" customHeight="1">
      <c r="A33" s="248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</row>
    <row r="34" ht="15.75" customHeight="1">
      <c r="A34" s="248"/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</row>
    <row r="35" ht="15.75" customHeight="1">
      <c r="A35" s="248"/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</row>
    <row r="36" ht="15.75" customHeight="1">
      <c r="A36" s="248"/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</row>
    <row r="37" ht="15.75" customHeight="1">
      <c r="A37" s="248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</row>
    <row r="38" ht="15.75" customHeight="1">
      <c r="A38" s="248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</row>
    <row r="39" ht="15.75" customHeight="1">
      <c r="A39" s="248"/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</row>
    <row r="40" ht="15.75" customHeight="1">
      <c r="A40" s="248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</row>
    <row r="41" ht="15.75" customHeight="1">
      <c r="A41" s="248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</row>
    <row r="42" ht="15.75" customHeight="1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</row>
    <row r="43" ht="15.75" customHeight="1">
      <c r="A43" s="248"/>
      <c r="B43" s="248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</row>
    <row r="44" ht="15.75" customHeight="1">
      <c r="A44" s="248"/>
      <c r="B44" s="248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</row>
    <row r="45" ht="15.75" customHeight="1">
      <c r="A45" s="248"/>
      <c r="B45" s="248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</row>
    <row r="46" ht="15.75" customHeight="1">
      <c r="A46" s="248"/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</row>
    <row r="47" ht="15.75" customHeight="1">
      <c r="A47" s="248"/>
      <c r="B47" s="248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</row>
    <row r="48" ht="15.75" customHeight="1">
      <c r="A48" s="248"/>
      <c r="B48" s="248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</row>
    <row r="49" ht="15.75" customHeight="1">
      <c r="A49" s="248"/>
      <c r="B49" s="248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</row>
    <row r="50" ht="15.75" customHeight="1">
      <c r="A50" s="248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</row>
    <row r="51" ht="15.75" customHeight="1">
      <c r="A51" s="248"/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</row>
    <row r="52" ht="15.75" customHeight="1">
      <c r="A52" s="248"/>
      <c r="B52" s="248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</row>
    <row r="53" ht="15.75" customHeight="1">
      <c r="A53" s="248"/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</row>
    <row r="54" ht="15.75" customHeight="1">
      <c r="A54" s="248"/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</row>
    <row r="55" ht="15.75" customHeight="1">
      <c r="A55" s="248"/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</row>
    <row r="56" ht="15.75" customHeight="1">
      <c r="A56" s="248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</row>
    <row r="57" ht="15.75" customHeight="1">
      <c r="A57" s="248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</row>
    <row r="58" ht="15.75" customHeight="1">
      <c r="A58" s="248"/>
      <c r="B58" s="248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</row>
    <row r="59" ht="15.75" customHeight="1">
      <c r="A59" s="248"/>
      <c r="B59" s="248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</row>
    <row r="60" ht="15.75" customHeight="1">
      <c r="A60" s="248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</row>
    <row r="61" ht="15.75" customHeight="1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</row>
    <row r="62" ht="15.75" customHeight="1">
      <c r="A62" s="248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</row>
    <row r="63" ht="15.75" customHeight="1">
      <c r="A63" s="248"/>
      <c r="B63" s="248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</row>
    <row r="64" ht="15.75" customHeight="1">
      <c r="A64" s="248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</row>
    <row r="65" ht="15.75" customHeight="1">
      <c r="A65" s="248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8"/>
    </row>
    <row r="66" ht="15.75" customHeight="1">
      <c r="A66" s="248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48"/>
    </row>
    <row r="67" ht="15.75" customHeight="1">
      <c r="A67" s="248"/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  <c r="AA67" s="248"/>
    </row>
    <row r="68" ht="15.75" customHeight="1">
      <c r="A68" s="248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</row>
    <row r="69" ht="15.75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  <c r="AA69" s="248"/>
    </row>
    <row r="70" ht="15.75" customHeigh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</row>
    <row r="71" ht="15.75" customHeight="1">
      <c r="A71" s="248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  <c r="AA71" s="248"/>
    </row>
    <row r="72" ht="15.75" customHeight="1">
      <c r="A72" s="248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  <c r="AA72" s="248"/>
    </row>
    <row r="73" ht="15.75" customHeight="1">
      <c r="A73" s="248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</row>
    <row r="74" ht="15.75" customHeight="1">
      <c r="A74" s="248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</row>
    <row r="75" ht="15.75" customHeight="1">
      <c r="A75" s="248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</row>
    <row r="76" ht="15.75" customHeight="1">
      <c r="A76" s="248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</row>
    <row r="77" ht="15.75" customHeight="1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</row>
    <row r="78" ht="15.75" customHeight="1">
      <c r="A78" s="248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  <c r="AA78" s="248"/>
    </row>
    <row r="79" ht="15.75" customHeight="1">
      <c r="A79" s="248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</row>
    <row r="80" ht="15.75" customHeight="1">
      <c r="A80" s="248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</row>
    <row r="81" ht="15.75" customHeight="1">
      <c r="A81" s="248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</row>
    <row r="82" ht="15.75" customHeight="1">
      <c r="A82" s="248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</row>
    <row r="83" ht="15.75" customHeight="1">
      <c r="A83" s="248"/>
      <c r="B83" s="248"/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  <c r="AA83" s="248"/>
    </row>
    <row r="84" ht="15.75" customHeight="1">
      <c r="A84" s="248"/>
      <c r="B84" s="248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  <c r="AA84" s="248"/>
    </row>
    <row r="85" ht="15.75" customHeight="1">
      <c r="A85" s="248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</row>
    <row r="86" ht="15.75" customHeight="1">
      <c r="A86" s="248"/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</row>
    <row r="87" ht="15.75" customHeight="1">
      <c r="A87" s="248"/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  <c r="AA87" s="248"/>
    </row>
    <row r="88" ht="15.75" customHeight="1">
      <c r="A88" s="248"/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  <c r="AA88" s="248"/>
    </row>
    <row r="89" ht="15.75" customHeight="1">
      <c r="A89" s="248"/>
      <c r="B89" s="248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</row>
    <row r="90" ht="15.75" customHeight="1">
      <c r="A90" s="248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</row>
    <row r="91" ht="15.75" customHeight="1">
      <c r="A91" s="248"/>
      <c r="B91" s="248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</row>
    <row r="92" ht="15.75" customHeight="1">
      <c r="A92" s="248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</row>
    <row r="93" ht="15.75" customHeight="1">
      <c r="A93" s="248"/>
      <c r="B93" s="248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  <c r="AA93" s="248"/>
    </row>
    <row r="94" ht="15.75" customHeight="1">
      <c r="A94" s="248"/>
      <c r="B94" s="248"/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</row>
    <row r="95" ht="15.75" customHeight="1">
      <c r="A95" s="248"/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  <c r="AA95" s="248"/>
    </row>
    <row r="96" ht="15.75" customHeight="1">
      <c r="A96" s="248"/>
      <c r="B96" s="248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  <c r="AA96" s="248"/>
    </row>
    <row r="97" ht="15.75" customHeight="1">
      <c r="A97" s="248"/>
      <c r="B97" s="248"/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  <c r="AA97" s="248"/>
    </row>
    <row r="98" ht="15.75" customHeight="1">
      <c r="A98" s="248"/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  <c r="AA98" s="248"/>
    </row>
    <row r="99" ht="15.75" customHeight="1">
      <c r="A99" s="248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</row>
    <row r="100" ht="15.75" customHeight="1">
      <c r="A100" s="248"/>
      <c r="B100" s="248"/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  <c r="AA100" s="248"/>
    </row>
    <row r="101" ht="15.75" customHeight="1">
      <c r="A101" s="248"/>
      <c r="B101" s="248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</row>
    <row r="102" ht="15.75" customHeight="1">
      <c r="A102" s="248"/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  <c r="AA102" s="248"/>
    </row>
    <row r="103" ht="15.75" customHeight="1">
      <c r="A103" s="248"/>
      <c r="B103" s="248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  <c r="AA103" s="248"/>
    </row>
    <row r="104" ht="15.75" customHeight="1">
      <c r="A104" s="248"/>
      <c r="B104" s="248"/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  <c r="AA104" s="248"/>
    </row>
    <row r="105" ht="15.75" customHeight="1">
      <c r="A105" s="248"/>
      <c r="B105" s="248"/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  <c r="AA105" s="248"/>
    </row>
    <row r="106" ht="15.75" customHeight="1">
      <c r="A106" s="248"/>
      <c r="B106" s="248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  <c r="AA106" s="248"/>
    </row>
    <row r="107" ht="15.7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  <c r="AA107" s="248"/>
    </row>
    <row r="108" ht="15.75" customHeight="1">
      <c r="A108" s="248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</row>
    <row r="109" ht="15.75" customHeight="1">
      <c r="A109" s="248"/>
      <c r="B109" s="248"/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  <c r="AA109" s="248"/>
    </row>
    <row r="110" ht="15.75" customHeight="1">
      <c r="A110" s="248"/>
      <c r="B110" s="248"/>
      <c r="C110" s="248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  <c r="AA110" s="248"/>
    </row>
    <row r="111" ht="15.75" customHeight="1">
      <c r="A111" s="248"/>
      <c r="B111" s="248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  <c r="AA111" s="248"/>
    </row>
    <row r="112" ht="15.75" customHeight="1">
      <c r="A112" s="248"/>
      <c r="B112" s="248"/>
      <c r="C112" s="248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  <c r="AA112" s="248"/>
    </row>
    <row r="113" ht="15.75" customHeight="1">
      <c r="A113" s="248"/>
      <c r="B113" s="248"/>
      <c r="C113" s="248"/>
      <c r="D113" s="248"/>
      <c r="E113" s="248"/>
      <c r="F113" s="248"/>
      <c r="G113" s="248"/>
      <c r="H113" s="248"/>
      <c r="I113" s="248"/>
      <c r="J113" s="248"/>
      <c r="K113" s="248"/>
      <c r="L113" s="248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  <c r="AA113" s="248"/>
    </row>
    <row r="114" ht="15.75" customHeight="1">
      <c r="A114" s="248"/>
      <c r="B114" s="248"/>
      <c r="C114" s="248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  <c r="AA114" s="248"/>
    </row>
    <row r="115" ht="15.75" customHeight="1">
      <c r="A115" s="248"/>
      <c r="B115" s="248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</row>
    <row r="116" ht="15.75" customHeight="1">
      <c r="A116" s="248"/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  <c r="AA116" s="248"/>
    </row>
    <row r="117" ht="15.75" customHeight="1">
      <c r="A117" s="248"/>
      <c r="B117" s="248"/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  <c r="AA117" s="248"/>
    </row>
    <row r="118" ht="15.75" customHeight="1">
      <c r="A118" s="248"/>
      <c r="B118" s="248"/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  <c r="AA118" s="248"/>
    </row>
    <row r="119" ht="15.75" customHeight="1">
      <c r="A119" s="248"/>
      <c r="B119" s="248"/>
      <c r="C119" s="248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48"/>
      <c r="S119" s="248"/>
      <c r="T119" s="248"/>
      <c r="U119" s="248"/>
      <c r="V119" s="248"/>
      <c r="W119" s="248"/>
      <c r="X119" s="248"/>
      <c r="Y119" s="248"/>
      <c r="Z119" s="248"/>
      <c r="AA119" s="248"/>
    </row>
    <row r="120" ht="15.75" customHeight="1">
      <c r="A120" s="248"/>
      <c r="B120" s="248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8"/>
      <c r="S120" s="248"/>
      <c r="T120" s="248"/>
      <c r="U120" s="248"/>
      <c r="V120" s="248"/>
      <c r="W120" s="248"/>
      <c r="X120" s="248"/>
      <c r="Y120" s="248"/>
      <c r="Z120" s="248"/>
      <c r="AA120" s="248"/>
    </row>
    <row r="121" ht="15.75" customHeight="1">
      <c r="A121" s="248"/>
      <c r="B121" s="248"/>
      <c r="C121" s="248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8"/>
      <c r="AA121" s="248"/>
    </row>
    <row r="122" ht="15.75" customHeight="1">
      <c r="A122" s="248"/>
      <c r="B122" s="248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  <c r="AA122" s="248"/>
    </row>
    <row r="123" ht="15.75" customHeight="1">
      <c r="A123" s="248"/>
      <c r="B123" s="248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  <c r="AA123" s="248"/>
    </row>
    <row r="124" ht="15.75" customHeight="1">
      <c r="A124" s="248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</row>
    <row r="125" ht="15.75" customHeight="1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</row>
    <row r="126" ht="15.75" customHeight="1">
      <c r="A126" s="248"/>
      <c r="B126" s="248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  <c r="AA126" s="248"/>
    </row>
    <row r="127" ht="15.75" customHeight="1">
      <c r="A127" s="248"/>
      <c r="B127" s="248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  <c r="Z127" s="248"/>
      <c r="AA127" s="248"/>
    </row>
    <row r="128" ht="15.75" customHeight="1">
      <c r="A128" s="248"/>
      <c r="B128" s="248"/>
      <c r="C128" s="248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48"/>
      <c r="U128" s="248"/>
      <c r="V128" s="248"/>
      <c r="W128" s="248"/>
      <c r="X128" s="248"/>
      <c r="Y128" s="248"/>
      <c r="Z128" s="248"/>
      <c r="AA128" s="248"/>
    </row>
    <row r="129" ht="15.75" customHeight="1">
      <c r="A129" s="248"/>
      <c r="B129" s="248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  <c r="AA129" s="248"/>
    </row>
    <row r="130" ht="15.75" customHeight="1">
      <c r="A130" s="248"/>
      <c r="B130" s="248"/>
      <c r="C130" s="248"/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  <c r="AA130" s="248"/>
    </row>
    <row r="131" ht="15.75" customHeight="1">
      <c r="A131" s="248"/>
      <c r="B131" s="248"/>
      <c r="C131" s="248"/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48"/>
      <c r="Z131" s="248"/>
      <c r="AA131" s="248"/>
    </row>
    <row r="132" ht="15.75" customHeight="1">
      <c r="A132" s="248"/>
      <c r="B132" s="248"/>
      <c r="C132" s="248"/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  <c r="AA132" s="248"/>
    </row>
    <row r="133" ht="15.75" customHeight="1">
      <c r="A133" s="248"/>
      <c r="B133" s="248"/>
      <c r="C133" s="248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48"/>
      <c r="V133" s="248"/>
      <c r="W133" s="248"/>
      <c r="X133" s="248"/>
      <c r="Y133" s="248"/>
      <c r="Z133" s="248"/>
      <c r="AA133" s="248"/>
    </row>
    <row r="134" ht="15.75" customHeight="1">
      <c r="A134" s="248"/>
      <c r="B134" s="248"/>
      <c r="C134" s="248"/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  <c r="AA134" s="248"/>
    </row>
    <row r="135" ht="15.75" customHeight="1">
      <c r="A135" s="248"/>
      <c r="B135" s="248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  <c r="AA135" s="248"/>
    </row>
    <row r="136" ht="15.75" customHeight="1">
      <c r="A136" s="248"/>
      <c r="B136" s="248"/>
      <c r="C136" s="248"/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  <c r="AA136" s="248"/>
    </row>
    <row r="137" ht="15.75" customHeight="1">
      <c r="A137" s="248"/>
      <c r="B137" s="248"/>
      <c r="C137" s="248"/>
      <c r="D137" s="248"/>
      <c r="E137" s="248"/>
      <c r="F137" s="248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</row>
    <row r="138" ht="15.75" customHeight="1">
      <c r="A138" s="248"/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  <c r="AA138" s="248"/>
    </row>
    <row r="139" ht="15.75" customHeight="1">
      <c r="A139" s="248"/>
      <c r="B139" s="248"/>
      <c r="C139" s="248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8"/>
      <c r="P139" s="248"/>
      <c r="Q139" s="248"/>
      <c r="R139" s="248"/>
      <c r="S139" s="248"/>
      <c r="T139" s="248"/>
      <c r="U139" s="248"/>
      <c r="V139" s="248"/>
      <c r="W139" s="248"/>
      <c r="X139" s="248"/>
      <c r="Y139" s="248"/>
      <c r="Z139" s="248"/>
      <c r="AA139" s="248"/>
    </row>
    <row r="140" ht="15.75" customHeight="1">
      <c r="A140" s="248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  <c r="AA140" s="248"/>
    </row>
    <row r="141" ht="15.75" customHeight="1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</row>
    <row r="142" ht="15.75" customHeight="1">
      <c r="A142" s="248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  <c r="AA142" s="248"/>
    </row>
    <row r="143" ht="15.75" customHeight="1">
      <c r="A143" s="248"/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  <c r="AA143" s="248"/>
    </row>
    <row r="144" ht="15.75" customHeight="1">
      <c r="A144" s="248"/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</row>
    <row r="145" ht="15.75" customHeight="1">
      <c r="A145" s="248"/>
      <c r="B145" s="248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  <c r="AA145" s="248"/>
    </row>
    <row r="146" ht="15.75" customHeight="1">
      <c r="A146" s="248"/>
      <c r="B146" s="248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  <c r="AA146" s="248"/>
    </row>
    <row r="147" ht="15.75" customHeight="1">
      <c r="A147" s="248"/>
      <c r="B147" s="248"/>
      <c r="C147" s="248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  <c r="AA147" s="248"/>
    </row>
    <row r="148" ht="15.75" customHeight="1">
      <c r="A148" s="248"/>
      <c r="B148" s="248"/>
      <c r="C148" s="248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</row>
    <row r="149" ht="15.75" customHeight="1">
      <c r="A149" s="248"/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  <c r="AA149" s="248"/>
    </row>
    <row r="150" ht="15.75" customHeight="1">
      <c r="A150" s="248"/>
      <c r="B150" s="248"/>
      <c r="C150" s="248"/>
      <c r="D150" s="248"/>
      <c r="E150" s="248"/>
      <c r="F150" s="248"/>
      <c r="G150" s="248"/>
      <c r="H150" s="248"/>
      <c r="I150" s="248"/>
      <c r="J150" s="248"/>
      <c r="K150" s="248"/>
      <c r="L150" s="248"/>
      <c r="M150" s="248"/>
      <c r="N150" s="248"/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  <c r="AA150" s="248"/>
    </row>
    <row r="151" ht="15.75" customHeight="1">
      <c r="A151" s="248"/>
      <c r="B151" s="248"/>
      <c r="C151" s="248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  <c r="N151" s="248"/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  <c r="AA151" s="248"/>
    </row>
    <row r="152" ht="15.75" customHeight="1">
      <c r="A152" s="248"/>
      <c r="B152" s="248"/>
      <c r="C152" s="248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  <c r="AA152" s="248"/>
    </row>
    <row r="153" ht="15.75" customHeight="1">
      <c r="A153" s="248"/>
      <c r="B153" s="248"/>
      <c r="C153" s="248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</row>
    <row r="154" ht="15.75" customHeight="1">
      <c r="A154" s="248"/>
      <c r="B154" s="248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</row>
    <row r="155" ht="15.75" customHeight="1">
      <c r="A155" s="248"/>
      <c r="B155" s="248"/>
      <c r="C155" s="248"/>
      <c r="D155" s="248"/>
      <c r="E155" s="248"/>
      <c r="F155" s="248"/>
      <c r="G155" s="248"/>
      <c r="H155" s="248"/>
      <c r="I155" s="248"/>
      <c r="J155" s="248"/>
      <c r="K155" s="248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  <c r="AA155" s="248"/>
    </row>
    <row r="156" ht="15.75" customHeight="1">
      <c r="A156" s="248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</row>
    <row r="157" ht="15.75" customHeight="1">
      <c r="A157" s="248"/>
      <c r="B157" s="248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</row>
    <row r="158" ht="15.75" customHeight="1">
      <c r="A158" s="248"/>
      <c r="B158" s="248"/>
      <c r="C158" s="248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</row>
    <row r="159" ht="15.75" customHeight="1">
      <c r="A159" s="248"/>
      <c r="B159" s="248"/>
      <c r="C159" s="248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</row>
    <row r="160" ht="15.75" customHeight="1">
      <c r="A160" s="248"/>
      <c r="B160" s="248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  <c r="AA160" s="248"/>
    </row>
    <row r="161" ht="15.75" customHeight="1">
      <c r="A161" s="248"/>
      <c r="B161" s="248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</row>
    <row r="162" ht="15.75" customHeight="1">
      <c r="A162" s="248"/>
      <c r="B162" s="248"/>
      <c r="C162" s="248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  <c r="AA162" s="248"/>
    </row>
    <row r="163" ht="15.75" customHeight="1">
      <c r="A163" s="248"/>
      <c r="B163" s="248"/>
      <c r="C163" s="248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  <c r="N163" s="248"/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  <c r="AA163" s="248"/>
    </row>
    <row r="164" ht="15.75" customHeight="1">
      <c r="A164" s="248"/>
      <c r="B164" s="248"/>
      <c r="C164" s="248"/>
      <c r="D164" s="248"/>
      <c r="E164" s="248"/>
      <c r="F164" s="248"/>
      <c r="G164" s="248"/>
      <c r="H164" s="248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  <c r="AA164" s="248"/>
    </row>
    <row r="165" ht="15.75" customHeight="1">
      <c r="A165" s="248"/>
      <c r="B165" s="248"/>
      <c r="C165" s="248"/>
      <c r="D165" s="248"/>
      <c r="E165" s="248"/>
      <c r="F165" s="248"/>
      <c r="G165" s="248"/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  <c r="AA165" s="248"/>
    </row>
    <row r="166" ht="15.75" customHeight="1">
      <c r="A166" s="248"/>
      <c r="B166" s="248"/>
      <c r="C166" s="248"/>
      <c r="D166" s="248"/>
      <c r="E166" s="248"/>
      <c r="F166" s="248"/>
      <c r="G166" s="248"/>
      <c r="H166" s="248"/>
      <c r="I166" s="248"/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  <c r="AA166" s="248"/>
    </row>
    <row r="167" ht="15.75" customHeight="1">
      <c r="A167" s="248"/>
      <c r="B167" s="248"/>
      <c r="C167" s="248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  <c r="N167" s="248"/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  <c r="AA167" s="248"/>
    </row>
    <row r="168" ht="15.75" customHeight="1">
      <c r="A168" s="248"/>
      <c r="B168" s="248"/>
      <c r="C168" s="248"/>
      <c r="D168" s="248"/>
      <c r="E168" s="248"/>
      <c r="F168" s="248"/>
      <c r="G168" s="248"/>
      <c r="H168" s="248"/>
      <c r="I168" s="248"/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  <c r="AA168" s="248"/>
    </row>
    <row r="169" ht="15.75" customHeight="1">
      <c r="A169" s="248"/>
      <c r="B169" s="248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8"/>
      <c r="P169" s="248"/>
      <c r="Q169" s="248"/>
      <c r="R169" s="248"/>
      <c r="S169" s="248"/>
      <c r="T169" s="248"/>
      <c r="U169" s="248"/>
      <c r="V169" s="248"/>
      <c r="W169" s="248"/>
      <c r="X169" s="248"/>
      <c r="Y169" s="248"/>
      <c r="Z169" s="248"/>
      <c r="AA169" s="248"/>
    </row>
    <row r="170" ht="15.75" customHeight="1">
      <c r="A170" s="248"/>
      <c r="B170" s="248"/>
      <c r="C170" s="248"/>
      <c r="D170" s="248"/>
      <c r="E170" s="248"/>
      <c r="F170" s="248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  <c r="AA170" s="248"/>
    </row>
    <row r="171" ht="15.75" customHeight="1">
      <c r="A171" s="248"/>
      <c r="B171" s="248"/>
      <c r="C171" s="248"/>
      <c r="D171" s="248"/>
      <c r="E171" s="248"/>
      <c r="F171" s="248"/>
      <c r="G171" s="248"/>
      <c r="H171" s="248"/>
      <c r="I171" s="248"/>
      <c r="J171" s="248"/>
      <c r="K171" s="248"/>
      <c r="L171" s="248"/>
      <c r="M171" s="248"/>
      <c r="N171" s="248"/>
      <c r="O171" s="248"/>
      <c r="P171" s="248"/>
      <c r="Q171" s="248"/>
      <c r="R171" s="248"/>
      <c r="S171" s="248"/>
      <c r="T171" s="248"/>
      <c r="U171" s="248"/>
      <c r="V171" s="248"/>
      <c r="W171" s="248"/>
      <c r="X171" s="248"/>
      <c r="Y171" s="248"/>
      <c r="Z171" s="248"/>
      <c r="AA171" s="248"/>
    </row>
    <row r="172" ht="15.75" customHeight="1">
      <c r="A172" s="248"/>
      <c r="B172" s="248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  <c r="AA172" s="248"/>
    </row>
    <row r="173" ht="15.75" customHeight="1">
      <c r="A173" s="248"/>
      <c r="B173" s="248"/>
      <c r="C173" s="248"/>
      <c r="D173" s="248"/>
      <c r="E173" s="248"/>
      <c r="F173" s="248"/>
      <c r="G173" s="248"/>
      <c r="H173" s="248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  <c r="AA173" s="248"/>
    </row>
    <row r="174" ht="15.75" customHeight="1">
      <c r="A174" s="248"/>
      <c r="B174" s="248"/>
      <c r="C174" s="248"/>
      <c r="D174" s="248"/>
      <c r="E174" s="248"/>
      <c r="F174" s="248"/>
      <c r="G174" s="248"/>
      <c r="H174" s="248"/>
      <c r="I174" s="248"/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  <c r="AA174" s="248"/>
    </row>
    <row r="175" ht="15.75" customHeight="1">
      <c r="A175" s="248"/>
      <c r="B175" s="248"/>
      <c r="C175" s="248"/>
      <c r="D175" s="248"/>
      <c r="E175" s="248"/>
      <c r="F175" s="248"/>
      <c r="G175" s="248"/>
      <c r="H175" s="248"/>
      <c r="I175" s="248"/>
      <c r="J175" s="248"/>
      <c r="K175" s="248"/>
      <c r="L175" s="248"/>
      <c r="M175" s="248"/>
      <c r="N175" s="248"/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  <c r="AA175" s="248"/>
    </row>
    <row r="176" ht="15.75" customHeight="1">
      <c r="A176" s="248"/>
      <c r="B176" s="248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  <c r="AA176" s="248"/>
    </row>
    <row r="177" ht="15.75" customHeight="1">
      <c r="A177" s="248"/>
      <c r="B177" s="248"/>
      <c r="C177" s="248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  <c r="AA177" s="248"/>
    </row>
    <row r="178" ht="15.75" customHeight="1">
      <c r="A178" s="248"/>
      <c r="B178" s="248"/>
      <c r="C178" s="248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  <c r="AA178" s="248"/>
    </row>
    <row r="179" ht="15.75" customHeight="1">
      <c r="A179" s="248"/>
      <c r="B179" s="248"/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  <c r="N179" s="248"/>
      <c r="O179" s="248"/>
      <c r="P179" s="248"/>
      <c r="Q179" s="248"/>
      <c r="R179" s="248"/>
      <c r="S179" s="248"/>
      <c r="T179" s="248"/>
      <c r="U179" s="248"/>
      <c r="V179" s="248"/>
      <c r="W179" s="248"/>
      <c r="X179" s="248"/>
      <c r="Y179" s="248"/>
      <c r="Z179" s="248"/>
      <c r="AA179" s="248"/>
    </row>
    <row r="180" ht="15.75" customHeight="1">
      <c r="A180" s="248"/>
      <c r="B180" s="248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248"/>
      <c r="Z180" s="248"/>
      <c r="AA180" s="248"/>
    </row>
    <row r="181" ht="15.75" customHeight="1">
      <c r="A181" s="248"/>
      <c r="B181" s="248"/>
      <c r="C181" s="248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  <c r="N181" s="248"/>
      <c r="O181" s="248"/>
      <c r="P181" s="248"/>
      <c r="Q181" s="248"/>
      <c r="R181" s="248"/>
      <c r="S181" s="248"/>
      <c r="T181" s="248"/>
      <c r="U181" s="248"/>
      <c r="V181" s="248"/>
      <c r="W181" s="248"/>
      <c r="X181" s="248"/>
      <c r="Y181" s="248"/>
      <c r="Z181" s="248"/>
      <c r="AA181" s="248"/>
    </row>
    <row r="182" ht="15.75" customHeight="1">
      <c r="A182" s="248"/>
      <c r="B182" s="248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  <c r="AA182" s="248"/>
    </row>
    <row r="183" ht="15.75" customHeight="1">
      <c r="A183" s="248"/>
      <c r="B183" s="248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  <c r="AA183" s="248"/>
    </row>
    <row r="184" ht="15.75" customHeight="1">
      <c r="A184" s="248"/>
      <c r="B184" s="248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  <c r="AA184" s="248"/>
    </row>
    <row r="185" ht="15.75" customHeight="1">
      <c r="A185" s="248"/>
      <c r="B185" s="248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  <c r="AA185" s="248"/>
    </row>
    <row r="186" ht="15.75" customHeight="1">
      <c r="A186" s="248"/>
      <c r="B186" s="248"/>
      <c r="C186" s="248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  <c r="N186" s="248"/>
      <c r="O186" s="248"/>
      <c r="P186" s="248"/>
      <c r="Q186" s="248"/>
      <c r="R186" s="248"/>
      <c r="S186" s="248"/>
      <c r="T186" s="248"/>
      <c r="U186" s="248"/>
      <c r="V186" s="248"/>
      <c r="W186" s="248"/>
      <c r="X186" s="248"/>
      <c r="Y186" s="248"/>
      <c r="Z186" s="248"/>
      <c r="AA186" s="248"/>
    </row>
    <row r="187" ht="15.75" customHeight="1">
      <c r="A187" s="248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  <c r="AA187" s="248"/>
    </row>
    <row r="188" ht="15.75" customHeight="1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</row>
    <row r="189" ht="15.75" customHeight="1">
      <c r="A189" s="248"/>
      <c r="B189" s="248"/>
      <c r="C189" s="248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  <c r="AA189" s="248"/>
    </row>
    <row r="190" ht="15.75" customHeight="1">
      <c r="A190" s="248"/>
      <c r="B190" s="248"/>
      <c r="C190" s="248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  <c r="N190" s="248"/>
      <c r="O190" s="248"/>
      <c r="P190" s="248"/>
      <c r="Q190" s="248"/>
      <c r="R190" s="248"/>
      <c r="S190" s="248"/>
      <c r="T190" s="248"/>
      <c r="U190" s="248"/>
      <c r="V190" s="248"/>
      <c r="W190" s="248"/>
      <c r="X190" s="248"/>
      <c r="Y190" s="248"/>
      <c r="Z190" s="248"/>
      <c r="AA190" s="248"/>
    </row>
    <row r="191" ht="15.75" customHeight="1">
      <c r="A191" s="248"/>
      <c r="B191" s="248"/>
      <c r="C191" s="248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  <c r="AA191" s="248"/>
    </row>
    <row r="192" ht="15.75" customHeight="1">
      <c r="A192" s="248"/>
      <c r="B192" s="248"/>
      <c r="C192" s="248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  <c r="N192" s="248"/>
      <c r="O192" s="248"/>
      <c r="P192" s="248"/>
      <c r="Q192" s="248"/>
      <c r="R192" s="248"/>
      <c r="S192" s="248"/>
      <c r="T192" s="248"/>
      <c r="U192" s="248"/>
      <c r="V192" s="248"/>
      <c r="W192" s="248"/>
      <c r="X192" s="248"/>
      <c r="Y192" s="248"/>
      <c r="Z192" s="248"/>
      <c r="AA192" s="248"/>
    </row>
    <row r="193" ht="15.75" customHeight="1">
      <c r="A193" s="248"/>
      <c r="B193" s="248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8"/>
      <c r="S193" s="248"/>
      <c r="T193" s="248"/>
      <c r="U193" s="248"/>
      <c r="V193" s="248"/>
      <c r="W193" s="248"/>
      <c r="X193" s="248"/>
      <c r="Y193" s="248"/>
      <c r="Z193" s="248"/>
      <c r="AA193" s="248"/>
    </row>
    <row r="194" ht="15.75" customHeight="1">
      <c r="A194" s="248"/>
      <c r="B194" s="248"/>
      <c r="C194" s="248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  <c r="AA194" s="248"/>
    </row>
    <row r="195" ht="15.75" customHeight="1">
      <c r="A195" s="248"/>
      <c r="B195" s="248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48"/>
      <c r="T195" s="248"/>
      <c r="U195" s="248"/>
      <c r="V195" s="248"/>
      <c r="W195" s="248"/>
      <c r="X195" s="248"/>
      <c r="Y195" s="248"/>
      <c r="Z195" s="248"/>
      <c r="AA195" s="248"/>
    </row>
    <row r="196" ht="15.75" customHeight="1">
      <c r="A196" s="248"/>
      <c r="B196" s="248"/>
      <c r="C196" s="248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8"/>
      <c r="S196" s="248"/>
      <c r="T196" s="248"/>
      <c r="U196" s="248"/>
      <c r="V196" s="248"/>
      <c r="W196" s="248"/>
      <c r="X196" s="248"/>
      <c r="Y196" s="248"/>
      <c r="Z196" s="248"/>
      <c r="AA196" s="248"/>
    </row>
    <row r="197" ht="15.75" customHeight="1">
      <c r="A197" s="248"/>
      <c r="B197" s="248"/>
      <c r="C197" s="248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  <c r="AA197" s="248"/>
    </row>
    <row r="198" ht="15.75" customHeight="1">
      <c r="A198" s="248"/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8"/>
      <c r="S198" s="248"/>
      <c r="T198" s="248"/>
      <c r="U198" s="248"/>
      <c r="V198" s="248"/>
      <c r="W198" s="248"/>
      <c r="X198" s="248"/>
      <c r="Y198" s="248"/>
      <c r="Z198" s="248"/>
      <c r="AA198" s="248"/>
    </row>
    <row r="199" ht="15.75" customHeight="1">
      <c r="A199" s="248"/>
      <c r="B199" s="248"/>
      <c r="C199" s="248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8"/>
      <c r="S199" s="248"/>
      <c r="T199" s="248"/>
      <c r="U199" s="248"/>
      <c r="V199" s="248"/>
      <c r="W199" s="248"/>
      <c r="X199" s="248"/>
      <c r="Y199" s="248"/>
      <c r="Z199" s="248"/>
      <c r="AA199" s="248"/>
    </row>
    <row r="200" ht="15.75" customHeight="1">
      <c r="A200" s="248"/>
      <c r="B200" s="248"/>
      <c r="C200" s="248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8"/>
      <c r="S200" s="248"/>
      <c r="T200" s="248"/>
      <c r="U200" s="248"/>
      <c r="V200" s="248"/>
      <c r="W200" s="248"/>
      <c r="X200" s="248"/>
      <c r="Y200" s="248"/>
      <c r="Z200" s="248"/>
      <c r="AA200" s="248"/>
    </row>
    <row r="201" ht="15.75" customHeight="1">
      <c r="A201" s="248"/>
      <c r="B201" s="248"/>
      <c r="C201" s="248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  <c r="AA201" s="248"/>
    </row>
    <row r="202" ht="15.75" customHeight="1">
      <c r="A202" s="248"/>
      <c r="B202" s="248"/>
      <c r="C202" s="248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8"/>
      <c r="S202" s="248"/>
      <c r="T202" s="248"/>
      <c r="U202" s="248"/>
      <c r="V202" s="248"/>
      <c r="W202" s="248"/>
      <c r="X202" s="248"/>
      <c r="Y202" s="248"/>
      <c r="Z202" s="248"/>
      <c r="AA202" s="248"/>
    </row>
    <row r="203" ht="15.75" customHeight="1">
      <c r="A203" s="248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  <c r="AA203" s="248"/>
    </row>
    <row r="204" ht="15.75" customHeight="1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</row>
    <row r="205" ht="15.75" customHeight="1">
      <c r="A205" s="248"/>
      <c r="B205" s="248"/>
      <c r="C205" s="248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8"/>
      <c r="S205" s="248"/>
      <c r="T205" s="248"/>
      <c r="U205" s="248"/>
      <c r="V205" s="248"/>
      <c r="W205" s="248"/>
      <c r="X205" s="248"/>
      <c r="Y205" s="248"/>
      <c r="Z205" s="248"/>
      <c r="AA205" s="248"/>
    </row>
    <row r="206" ht="15.75" customHeight="1">
      <c r="A206" s="248"/>
      <c r="B206" s="248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8"/>
      <c r="S206" s="248"/>
      <c r="T206" s="248"/>
      <c r="U206" s="248"/>
      <c r="V206" s="248"/>
      <c r="W206" s="248"/>
      <c r="X206" s="248"/>
      <c r="Y206" s="248"/>
      <c r="Z206" s="248"/>
      <c r="AA206" s="248"/>
    </row>
    <row r="207" ht="15.75" customHeight="1">
      <c r="A207" s="248"/>
      <c r="B207" s="248"/>
      <c r="C207" s="248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  <c r="AA207" s="248"/>
    </row>
    <row r="208" ht="15.75" customHeight="1">
      <c r="A208" s="248"/>
      <c r="B208" s="248"/>
      <c r="C208" s="248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  <c r="AA208" s="248"/>
    </row>
    <row r="209" ht="15.75" customHeight="1">
      <c r="A209" s="248"/>
      <c r="B209" s="248"/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  <c r="AA209" s="248"/>
    </row>
    <row r="210" ht="15.75" customHeight="1">
      <c r="A210" s="248"/>
      <c r="B210" s="248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  <c r="AA210" s="248"/>
    </row>
    <row r="211" ht="15.75" customHeight="1">
      <c r="A211" s="248"/>
      <c r="B211" s="248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  <c r="AA211" s="248"/>
    </row>
    <row r="212" ht="15.75" customHeight="1">
      <c r="A212" s="248"/>
      <c r="B212" s="248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  <c r="AA212" s="248"/>
    </row>
    <row r="213" ht="15.75" customHeight="1">
      <c r="A213" s="248"/>
      <c r="B213" s="248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  <c r="AA213" s="248"/>
    </row>
    <row r="214" ht="15.75" customHeight="1">
      <c r="A214" s="248"/>
      <c r="B214" s="248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  <c r="AA214" s="248"/>
    </row>
    <row r="215" ht="15.75" customHeight="1">
      <c r="A215" s="248"/>
      <c r="B215" s="248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  <c r="AA215" s="248"/>
    </row>
    <row r="216" ht="15.75" customHeight="1">
      <c r="A216" s="248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  <c r="AA216" s="248"/>
    </row>
    <row r="217" ht="15.75" customHeight="1">
      <c r="A217" s="248"/>
      <c r="B217" s="248"/>
      <c r="C217" s="248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8"/>
      <c r="S217" s="248"/>
      <c r="T217" s="248"/>
      <c r="U217" s="248"/>
      <c r="V217" s="248"/>
      <c r="W217" s="248"/>
      <c r="X217" s="248"/>
      <c r="Y217" s="248"/>
      <c r="Z217" s="248"/>
      <c r="AA217" s="248"/>
    </row>
    <row r="218" ht="15.75" customHeight="1">
      <c r="A218" s="248"/>
      <c r="B218" s="248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  <c r="T218" s="248"/>
      <c r="U218" s="248"/>
      <c r="V218" s="248"/>
      <c r="W218" s="248"/>
      <c r="X218" s="248"/>
      <c r="Y218" s="248"/>
      <c r="Z218" s="248"/>
      <c r="AA218" s="24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9">
    <mergeCell ref="F10:F13"/>
    <mergeCell ref="F14:F15"/>
    <mergeCell ref="A1:G1"/>
    <mergeCell ref="A2:G2"/>
    <mergeCell ref="A3:G3"/>
    <mergeCell ref="A4:G4"/>
    <mergeCell ref="A5:G5"/>
    <mergeCell ref="A6:G6"/>
    <mergeCell ref="F8:F9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9.38"/>
    <col customWidth="1" min="3" max="3" width="14.63"/>
    <col customWidth="1" min="4" max="25" width="4.0"/>
    <col customWidth="1" min="26" max="26" width="6.63"/>
    <col customWidth="1" min="27" max="27" width="7.88"/>
  </cols>
  <sheetData>
    <row r="1" ht="11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64"/>
      <c r="T1" s="1"/>
      <c r="U1" s="7" t="s">
        <v>290</v>
      </c>
    </row>
    <row r="2" ht="18.75" customHeight="1">
      <c r="A2" s="265" t="s">
        <v>274</v>
      </c>
    </row>
    <row r="3" ht="11.25" customHeight="1">
      <c r="A3" s="266" t="s">
        <v>291</v>
      </c>
    </row>
    <row r="4" ht="11.25" customHeight="1">
      <c r="A4" s="266" t="s">
        <v>292</v>
      </c>
    </row>
    <row r="5" ht="11.25" customHeight="1">
      <c r="A5" s="20"/>
      <c r="B5" s="267" t="s">
        <v>293</v>
      </c>
      <c r="D5" s="20"/>
      <c r="E5" s="20"/>
      <c r="F5" s="20"/>
      <c r="G5" s="20"/>
      <c r="H5" s="20"/>
      <c r="I5" s="20"/>
      <c r="J5" s="20"/>
      <c r="K5" s="268"/>
      <c r="L5" s="20"/>
      <c r="M5" s="20"/>
      <c r="N5" s="74"/>
      <c r="O5" s="74"/>
      <c r="P5" s="74"/>
      <c r="Q5" s="74"/>
      <c r="R5" s="74"/>
      <c r="S5" s="269"/>
      <c r="T5" s="21"/>
      <c r="U5" s="270"/>
      <c r="V5" s="21"/>
      <c r="W5" s="21"/>
      <c r="X5" s="271" t="s">
        <v>294</v>
      </c>
    </row>
    <row r="6" ht="18.75" customHeight="1">
      <c r="A6" s="20"/>
      <c r="B6" s="19" t="s">
        <v>295</v>
      </c>
      <c r="C6" s="20"/>
      <c r="D6" s="74"/>
      <c r="E6" s="20"/>
      <c r="F6" s="20"/>
      <c r="G6" s="20"/>
      <c r="H6" s="20"/>
      <c r="I6" s="20"/>
      <c r="J6" s="20"/>
      <c r="K6" s="268"/>
      <c r="L6" s="19" t="s">
        <v>296</v>
      </c>
      <c r="M6" s="20"/>
      <c r="N6" s="20"/>
      <c r="O6" s="19" t="s">
        <v>297</v>
      </c>
      <c r="P6" s="20"/>
      <c r="Q6" s="20"/>
      <c r="R6" s="20"/>
      <c r="S6" s="269" t="s">
        <v>298</v>
      </c>
      <c r="T6" s="21"/>
      <c r="U6" s="270"/>
      <c r="V6" s="21"/>
      <c r="W6" s="21"/>
      <c r="X6" s="21"/>
      <c r="Y6" s="272" t="s">
        <v>299</v>
      </c>
      <c r="Z6" s="21"/>
    </row>
    <row r="7" ht="11.25" customHeight="1">
      <c r="A7" s="273" t="s">
        <v>7</v>
      </c>
      <c r="B7" s="274" t="s">
        <v>8</v>
      </c>
      <c r="C7" s="275" t="s">
        <v>9</v>
      </c>
      <c r="D7" s="276">
        <v>20.0</v>
      </c>
      <c r="E7" s="26"/>
      <c r="F7" s="276">
        <v>18.0</v>
      </c>
      <c r="G7" s="26"/>
      <c r="H7" s="276">
        <v>16.0</v>
      </c>
      <c r="I7" s="26"/>
      <c r="J7" s="276">
        <v>16.0</v>
      </c>
      <c r="K7" s="26"/>
      <c r="L7" s="276">
        <v>12.0</v>
      </c>
      <c r="M7" s="26"/>
      <c r="N7" s="276">
        <v>8.0</v>
      </c>
      <c r="O7" s="26"/>
      <c r="P7" s="277"/>
      <c r="Q7" s="26"/>
      <c r="R7" s="276">
        <v>3.0</v>
      </c>
      <c r="S7" s="26"/>
      <c r="T7" s="276">
        <v>5.0</v>
      </c>
      <c r="U7" s="26"/>
      <c r="V7" s="276">
        <v>4.0</v>
      </c>
      <c r="W7" s="26"/>
      <c r="X7" s="276">
        <v>5.0</v>
      </c>
      <c r="Y7" s="26"/>
      <c r="Z7" s="278" t="s">
        <v>10</v>
      </c>
    </row>
    <row r="8" ht="22.5" customHeight="1">
      <c r="A8" s="32"/>
      <c r="B8" s="32"/>
      <c r="C8" s="275" t="s">
        <v>300</v>
      </c>
      <c r="D8" s="279" t="s">
        <v>301</v>
      </c>
      <c r="E8" s="26"/>
      <c r="F8" s="279" t="s">
        <v>302</v>
      </c>
      <c r="G8" s="26"/>
      <c r="H8" s="279" t="s">
        <v>303</v>
      </c>
      <c r="I8" s="26"/>
      <c r="J8" s="279" t="s">
        <v>304</v>
      </c>
      <c r="K8" s="26"/>
      <c r="L8" s="279" t="s">
        <v>305</v>
      </c>
      <c r="M8" s="26"/>
      <c r="N8" s="279" t="s">
        <v>306</v>
      </c>
      <c r="O8" s="26"/>
      <c r="P8" s="277" t="s">
        <v>307</v>
      </c>
      <c r="Q8" s="26"/>
      <c r="R8" s="279" t="s">
        <v>308</v>
      </c>
      <c r="S8" s="26"/>
      <c r="T8" s="279" t="s">
        <v>309</v>
      </c>
      <c r="U8" s="26"/>
      <c r="V8" s="279" t="s">
        <v>310</v>
      </c>
      <c r="W8" s="26"/>
      <c r="X8" s="279" t="s">
        <v>311</v>
      </c>
      <c r="Y8" s="26"/>
      <c r="Z8" s="32"/>
    </row>
    <row r="9" ht="11.25" customHeight="1">
      <c r="A9" s="32"/>
      <c r="B9" s="32"/>
      <c r="C9" s="273" t="s">
        <v>31</v>
      </c>
      <c r="D9" s="274" t="s">
        <v>32</v>
      </c>
      <c r="E9" s="274" t="s">
        <v>33</v>
      </c>
      <c r="F9" s="274" t="s">
        <v>32</v>
      </c>
      <c r="G9" s="274" t="s">
        <v>33</v>
      </c>
      <c r="H9" s="274" t="s">
        <v>32</v>
      </c>
      <c r="I9" s="280" t="s">
        <v>33</v>
      </c>
      <c r="J9" s="274" t="s">
        <v>32</v>
      </c>
      <c r="K9" s="274" t="s">
        <v>33</v>
      </c>
      <c r="L9" s="274" t="s">
        <v>32</v>
      </c>
      <c r="M9" s="274" t="s">
        <v>33</v>
      </c>
      <c r="N9" s="274" t="s">
        <v>32</v>
      </c>
      <c r="O9" s="274" t="s">
        <v>33</v>
      </c>
      <c r="P9" s="274" t="s">
        <v>32</v>
      </c>
      <c r="Q9" s="280" t="s">
        <v>33</v>
      </c>
      <c r="R9" s="280" t="s">
        <v>32</v>
      </c>
      <c r="S9" s="281" t="s">
        <v>33</v>
      </c>
      <c r="T9" s="280" t="s">
        <v>32</v>
      </c>
      <c r="U9" s="282" t="s">
        <v>33</v>
      </c>
      <c r="V9" s="274" t="s">
        <v>32</v>
      </c>
      <c r="W9" s="274" t="s">
        <v>33</v>
      </c>
      <c r="X9" s="274" t="s">
        <v>32</v>
      </c>
      <c r="Y9" s="274" t="s">
        <v>33</v>
      </c>
      <c r="Z9" s="32"/>
    </row>
    <row r="10" ht="11.2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1.25" customHeight="1">
      <c r="A11" s="283">
        <v>1.0</v>
      </c>
      <c r="B11" s="284" t="s">
        <v>312</v>
      </c>
      <c r="C11" s="285" t="s">
        <v>313</v>
      </c>
      <c r="D11" s="286">
        <v>3.0</v>
      </c>
      <c r="E11" s="287">
        <v>15.0</v>
      </c>
      <c r="F11" s="286">
        <v>4.0</v>
      </c>
      <c r="G11" s="288">
        <v>22.22222222222222</v>
      </c>
      <c r="H11" s="289">
        <v>4.0</v>
      </c>
      <c r="I11" s="289">
        <v>25.0</v>
      </c>
      <c r="J11" s="286">
        <v>3.0</v>
      </c>
      <c r="K11" s="288">
        <v>20.0</v>
      </c>
      <c r="L11" s="286">
        <v>2.0</v>
      </c>
      <c r="M11" s="288">
        <v>16.666666666666664</v>
      </c>
      <c r="N11" s="286">
        <v>2.0</v>
      </c>
      <c r="O11" s="287">
        <v>25.0</v>
      </c>
      <c r="P11" s="290">
        <v>2.0</v>
      </c>
      <c r="Q11" s="291">
        <v>67.0</v>
      </c>
      <c r="R11" s="292">
        <v>1.0</v>
      </c>
      <c r="S11" s="292">
        <v>33.33333333333333</v>
      </c>
      <c r="T11" s="293">
        <v>0.0</v>
      </c>
      <c r="U11" s="289">
        <v>0.0</v>
      </c>
      <c r="V11" s="286">
        <v>1.0</v>
      </c>
      <c r="W11" s="287">
        <v>25.0</v>
      </c>
      <c r="X11" s="286">
        <v>2.0</v>
      </c>
      <c r="Y11" s="287">
        <v>40.0</v>
      </c>
      <c r="Z11" s="294">
        <v>26.292929292929294</v>
      </c>
    </row>
    <row r="12" ht="11.25" customHeight="1">
      <c r="A12" s="283">
        <v>2.0</v>
      </c>
      <c r="B12" s="284" t="s">
        <v>314</v>
      </c>
      <c r="C12" s="285" t="s">
        <v>315</v>
      </c>
      <c r="D12" s="286">
        <v>4.0</v>
      </c>
      <c r="E12" s="287">
        <v>20.0</v>
      </c>
      <c r="F12" s="286">
        <v>8.0</v>
      </c>
      <c r="G12" s="288">
        <v>44.44444444444444</v>
      </c>
      <c r="H12" s="289">
        <v>12.0</v>
      </c>
      <c r="I12" s="289">
        <v>75.0</v>
      </c>
      <c r="J12" s="286">
        <v>5.0</v>
      </c>
      <c r="K12" s="288">
        <v>33.333333333333336</v>
      </c>
      <c r="L12" s="286">
        <v>3.0</v>
      </c>
      <c r="M12" s="288">
        <v>25.0</v>
      </c>
      <c r="N12" s="286">
        <v>3.0</v>
      </c>
      <c r="O12" s="287">
        <v>38.0</v>
      </c>
      <c r="P12" s="290">
        <v>1.0</v>
      </c>
      <c r="Q12" s="291">
        <v>33.0</v>
      </c>
      <c r="R12" s="292">
        <v>2.0</v>
      </c>
      <c r="S12" s="292">
        <v>66.66666666666666</v>
      </c>
      <c r="T12" s="293">
        <v>1.0</v>
      </c>
      <c r="U12" s="289">
        <v>20.0</v>
      </c>
      <c r="V12" s="293">
        <v>1.0</v>
      </c>
      <c r="W12" s="287">
        <v>25.0</v>
      </c>
      <c r="X12" s="293">
        <v>3.0</v>
      </c>
      <c r="Y12" s="287">
        <v>60.0</v>
      </c>
      <c r="Z12" s="294">
        <v>40.04040404040404</v>
      </c>
    </row>
    <row r="13" ht="11.25" customHeight="1">
      <c r="A13" s="283">
        <v>3.0</v>
      </c>
      <c r="B13" s="284" t="s">
        <v>316</v>
      </c>
      <c r="C13" s="285" t="s">
        <v>317</v>
      </c>
      <c r="D13" s="286">
        <v>5.0</v>
      </c>
      <c r="E13" s="287">
        <v>25.0</v>
      </c>
      <c r="F13" s="286">
        <v>9.0</v>
      </c>
      <c r="G13" s="288">
        <v>50.0</v>
      </c>
      <c r="H13" s="289">
        <v>8.0</v>
      </c>
      <c r="I13" s="289">
        <v>50.0</v>
      </c>
      <c r="J13" s="286">
        <v>7.0</v>
      </c>
      <c r="K13" s="288">
        <v>46.66666666666667</v>
      </c>
      <c r="L13" s="286">
        <v>2.0</v>
      </c>
      <c r="M13" s="288">
        <v>16.666666666666664</v>
      </c>
      <c r="N13" s="286">
        <v>3.0</v>
      </c>
      <c r="O13" s="287">
        <v>38.0</v>
      </c>
      <c r="P13" s="290">
        <v>2.0</v>
      </c>
      <c r="Q13" s="291">
        <v>67.0</v>
      </c>
      <c r="R13" s="292">
        <v>2.0</v>
      </c>
      <c r="S13" s="292">
        <v>66.66666666666666</v>
      </c>
      <c r="T13" s="293">
        <v>2.0</v>
      </c>
      <c r="U13" s="289">
        <v>40.0</v>
      </c>
      <c r="V13" s="293">
        <v>0.0</v>
      </c>
      <c r="W13" s="287">
        <v>0.0</v>
      </c>
      <c r="X13" s="293">
        <v>2.0</v>
      </c>
      <c r="Y13" s="287">
        <v>40.0</v>
      </c>
      <c r="Z13" s="294">
        <v>40.0</v>
      </c>
    </row>
    <row r="14" ht="24.0" customHeight="1">
      <c r="A14" s="295" t="s">
        <v>139</v>
      </c>
      <c r="B14" s="65"/>
      <c r="C14" s="26"/>
      <c r="D14" s="296" t="s">
        <v>318</v>
      </c>
      <c r="E14" s="26"/>
      <c r="F14" s="296" t="s">
        <v>319</v>
      </c>
      <c r="G14" s="26"/>
      <c r="H14" s="297" t="s">
        <v>320</v>
      </c>
      <c r="I14" s="26"/>
      <c r="J14" s="296" t="s">
        <v>321</v>
      </c>
      <c r="K14" s="26"/>
      <c r="L14" s="296" t="s">
        <v>322</v>
      </c>
      <c r="M14" s="26"/>
      <c r="N14" s="296" t="s">
        <v>323</v>
      </c>
      <c r="O14" s="26"/>
      <c r="P14" s="298" t="s">
        <v>324</v>
      </c>
      <c r="Q14" s="26"/>
      <c r="R14" s="296" t="s">
        <v>325</v>
      </c>
      <c r="S14" s="26"/>
      <c r="T14" s="296" t="s">
        <v>318</v>
      </c>
      <c r="U14" s="26"/>
      <c r="V14" s="296" t="s">
        <v>319</v>
      </c>
      <c r="W14" s="26"/>
      <c r="X14" s="296" t="s">
        <v>322</v>
      </c>
      <c r="Y14" s="26"/>
      <c r="Z14" s="294"/>
    </row>
    <row r="15" ht="11.25" customHeight="1">
      <c r="A15" s="11"/>
      <c r="B15" s="78"/>
      <c r="C15" s="70"/>
      <c r="D15" s="71"/>
      <c r="E15" s="71"/>
      <c r="F15" s="11"/>
      <c r="G15" s="11"/>
      <c r="H15" s="73"/>
      <c r="I15" s="73"/>
      <c r="J15" s="11"/>
      <c r="K15" s="74"/>
      <c r="L15" s="11"/>
      <c r="M15" s="74"/>
      <c r="N15" s="11"/>
      <c r="O15" s="74"/>
      <c r="P15" s="11"/>
      <c r="Q15" s="11"/>
      <c r="R15" s="11"/>
      <c r="S15" s="299"/>
      <c r="T15" s="11"/>
      <c r="U15" s="11"/>
      <c r="V15" s="11"/>
      <c r="W15" s="11"/>
      <c r="X15" s="271"/>
      <c r="Y15" s="74"/>
      <c r="Z15" s="300"/>
    </row>
    <row r="16" ht="29.25" customHeight="1">
      <c r="A16" s="78"/>
      <c r="B16" s="74"/>
      <c r="C16" s="78" t="s">
        <v>326</v>
      </c>
      <c r="D16" s="74"/>
      <c r="E16" s="74"/>
      <c r="F16" s="301"/>
      <c r="G16" s="2"/>
      <c r="H16" s="74"/>
      <c r="I16" s="302"/>
      <c r="J16" s="11"/>
      <c r="K16" s="11"/>
      <c r="L16" s="303" t="s">
        <v>327</v>
      </c>
      <c r="Q16" s="301"/>
      <c r="R16" s="301"/>
      <c r="S16" s="304"/>
      <c r="T16" s="301"/>
      <c r="U16" s="7"/>
      <c r="V16" s="303" t="s">
        <v>328</v>
      </c>
    </row>
    <row r="17" ht="11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</row>
    <row r="18" ht="11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</row>
    <row r="19" ht="11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</row>
    <row r="20" ht="11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</row>
    <row r="21" ht="11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</row>
    <row r="22" ht="11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</row>
    <row r="23" ht="11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</row>
    <row r="24" ht="11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</row>
    <row r="25" ht="11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</row>
    <row r="26" ht="11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 ht="11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</row>
    <row r="28" ht="11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</row>
    <row r="29" ht="11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 ht="11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 ht="11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 ht="11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 ht="11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 ht="11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 ht="11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 ht="11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 ht="11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 ht="11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 ht="11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 ht="11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ht="11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 ht="11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 ht="11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 ht="11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 ht="11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 ht="11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 ht="11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  <row r="48" ht="11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</row>
    <row r="49" ht="11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 ht="11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</row>
    <row r="51" ht="11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</row>
    <row r="52" ht="11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</row>
    <row r="53" ht="11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 ht="11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ht="11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</row>
    <row r="56" ht="11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</row>
    <row r="57" ht="11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 ht="11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</row>
    <row r="59" ht="11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</row>
    <row r="60" ht="11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</row>
    <row r="61" ht="11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</row>
    <row r="62" ht="11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</row>
    <row r="63" ht="11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 ht="11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 ht="11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</row>
    <row r="66" ht="11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</row>
    <row r="67" ht="11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</row>
    <row r="68" ht="11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 ht="11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</row>
    <row r="70" ht="11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</row>
    <row r="71" ht="11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</row>
    <row r="72" ht="11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</row>
    <row r="73" ht="11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</row>
    <row r="74" ht="11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</row>
    <row r="75" ht="11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 ht="11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 ht="11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 ht="11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 ht="11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 ht="11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 ht="11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 ht="11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 ht="11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 ht="11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 ht="11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 ht="11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 ht="11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 ht="11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 ht="11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 ht="11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 ht="11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 ht="11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 ht="11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 ht="11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 ht="11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 ht="11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 ht="11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 ht="11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 ht="11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 ht="11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 ht="11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 ht="11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 ht="11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 ht="11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 ht="11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 ht="11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 ht="11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 ht="11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 ht="11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 ht="11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 ht="11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 ht="11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 ht="11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 ht="11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 ht="11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 ht="11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 ht="11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 ht="11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 ht="11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 ht="11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 ht="11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 ht="11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 ht="11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 ht="11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 ht="11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 ht="11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 ht="11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 ht="11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 ht="11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  <row r="130" ht="11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</row>
    <row r="131" ht="11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</row>
    <row r="132" ht="11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</row>
    <row r="133" ht="11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</row>
    <row r="134" ht="11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</row>
    <row r="135" ht="11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</row>
    <row r="136" ht="11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</row>
    <row r="137" ht="11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</row>
    <row r="138" ht="11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</row>
    <row r="139" ht="11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</row>
    <row r="140" ht="11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:C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F9:F10"/>
    <mergeCell ref="G9:G10"/>
    <mergeCell ref="H9:H10"/>
    <mergeCell ref="I9:I10"/>
    <mergeCell ref="J9:J10"/>
    <mergeCell ref="K9:K10"/>
    <mergeCell ref="U1:Z1"/>
    <mergeCell ref="A2:Z2"/>
    <mergeCell ref="A3:Z3"/>
    <mergeCell ref="A4:Z4"/>
    <mergeCell ref="X5:Z5"/>
    <mergeCell ref="A7:A10"/>
    <mergeCell ref="Z7:Z10"/>
    <mergeCell ref="B7:B10"/>
    <mergeCell ref="D8:E8"/>
    <mergeCell ref="C9:C10"/>
    <mergeCell ref="D9:D10"/>
    <mergeCell ref="E9:E10"/>
    <mergeCell ref="A14:C14"/>
    <mergeCell ref="D14:E14"/>
    <mergeCell ref="T14:U14"/>
    <mergeCell ref="V14:W14"/>
    <mergeCell ref="X14:Y14"/>
    <mergeCell ref="V16:Z16"/>
    <mergeCell ref="F14:G14"/>
    <mergeCell ref="H14:I14"/>
    <mergeCell ref="J14:K14"/>
    <mergeCell ref="L14:M14"/>
    <mergeCell ref="N14:O14"/>
    <mergeCell ref="P14:Q14"/>
    <mergeCell ref="R14:S14"/>
    <mergeCell ref="L16:P16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printOptions/>
  <pageMargins bottom="0.75" footer="0.0" header="0.0" left="0.75" right="0.25" top="0.75"/>
  <pageSetup paperSize="9"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0.13"/>
    <col customWidth="1" min="3" max="3" width="25.13"/>
    <col customWidth="1" min="4" max="4" width="5.88"/>
    <col customWidth="1" min="5" max="5" width="3.88"/>
    <col customWidth="1" min="6" max="6" width="5.63"/>
    <col customWidth="1" min="7" max="7" width="3.88"/>
    <col customWidth="1" min="8" max="8" width="6.13"/>
    <col customWidth="1" min="9" max="9" width="4.88"/>
    <col customWidth="1" min="10" max="10" width="7.38"/>
    <col customWidth="1" min="11" max="11" width="3.13"/>
    <col customWidth="1" min="12" max="12" width="6.38"/>
    <col customWidth="1" min="13" max="13" width="3.13"/>
    <col customWidth="1" min="14" max="14" width="4.38"/>
    <col customWidth="1" min="15" max="16" width="5.13"/>
    <col customWidth="1" min="17" max="17" width="4.13"/>
    <col customWidth="1" min="18" max="18" width="5.38"/>
    <col customWidth="1" min="19" max="19" width="3.88"/>
    <col customWidth="1" min="20" max="20" width="6.38"/>
    <col customWidth="1" min="21" max="21" width="3.38"/>
    <col customWidth="1" min="22" max="22" width="6.38"/>
    <col customWidth="1" min="23" max="23" width="4.38"/>
    <col customWidth="1" min="24" max="24" width="6.13"/>
    <col customWidth="1" min="25" max="25" width="5.0"/>
    <col customWidth="1" min="26" max="26" width="4.88"/>
    <col customWidth="1" min="27" max="27" width="7.88"/>
  </cols>
  <sheetData>
    <row r="1" ht="11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64"/>
      <c r="T1" s="1"/>
      <c r="U1" s="7" t="s">
        <v>290</v>
      </c>
    </row>
    <row r="2" ht="11.25" customHeight="1">
      <c r="A2" s="305" t="s">
        <v>274</v>
      </c>
    </row>
    <row r="3" ht="11.25" customHeight="1">
      <c r="A3" s="11" t="s">
        <v>291</v>
      </c>
    </row>
    <row r="4" ht="11.25" customHeight="1">
      <c r="A4" s="11" t="s">
        <v>292</v>
      </c>
    </row>
    <row r="5" ht="11.25" customHeight="1">
      <c r="A5" s="20"/>
      <c r="B5" s="267" t="s">
        <v>293</v>
      </c>
      <c r="D5" s="20"/>
      <c r="E5" s="20"/>
      <c r="F5" s="20"/>
      <c r="G5" s="20"/>
      <c r="H5" s="20"/>
      <c r="I5" s="20"/>
      <c r="J5" s="20"/>
      <c r="K5" s="268"/>
      <c r="L5" s="20"/>
      <c r="M5" s="20"/>
      <c r="N5" s="74"/>
      <c r="O5" s="74"/>
      <c r="P5" s="74"/>
      <c r="Q5" s="74"/>
      <c r="R5" s="74"/>
      <c r="S5" s="269"/>
      <c r="T5" s="21"/>
      <c r="U5" s="270"/>
      <c r="V5" s="21"/>
      <c r="W5" s="21"/>
      <c r="X5" s="271" t="s">
        <v>294</v>
      </c>
    </row>
    <row r="6" ht="11.25" customHeight="1">
      <c r="A6" s="20"/>
      <c r="B6" s="19" t="s">
        <v>295</v>
      </c>
      <c r="C6" s="20"/>
      <c r="D6" s="74"/>
      <c r="E6" s="20"/>
      <c r="F6" s="20"/>
      <c r="G6" s="20"/>
      <c r="H6" s="20"/>
      <c r="I6" s="20"/>
      <c r="J6" s="20"/>
      <c r="K6" s="268"/>
      <c r="L6" s="19" t="s">
        <v>296</v>
      </c>
      <c r="M6" s="20"/>
      <c r="N6" s="20"/>
      <c r="O6" s="19" t="s">
        <v>297</v>
      </c>
      <c r="P6" s="20"/>
      <c r="Q6" s="20"/>
      <c r="R6" s="20"/>
      <c r="S6" s="269"/>
      <c r="T6" s="21" t="s">
        <v>329</v>
      </c>
      <c r="U6" s="270"/>
      <c r="V6" s="21"/>
      <c r="W6" s="21"/>
      <c r="X6" s="21"/>
      <c r="Y6" s="21"/>
      <c r="Z6" s="21"/>
    </row>
    <row r="7" ht="11.25" customHeight="1">
      <c r="A7" s="273" t="s">
        <v>7</v>
      </c>
      <c r="B7" s="274" t="s">
        <v>8</v>
      </c>
      <c r="C7" s="275" t="s">
        <v>9</v>
      </c>
      <c r="D7" s="306">
        <v>20.0</v>
      </c>
      <c r="E7" s="26"/>
      <c r="F7" s="306">
        <v>18.0</v>
      </c>
      <c r="G7" s="26"/>
      <c r="H7" s="306">
        <v>16.0</v>
      </c>
      <c r="I7" s="26"/>
      <c r="J7" s="306">
        <v>16.0</v>
      </c>
      <c r="K7" s="26"/>
      <c r="L7" s="306">
        <v>12.0</v>
      </c>
      <c r="M7" s="26"/>
      <c r="N7" s="306">
        <v>8.0</v>
      </c>
      <c r="O7" s="26"/>
      <c r="P7" s="307"/>
      <c r="Q7" s="26"/>
      <c r="R7" s="306">
        <v>3.0</v>
      </c>
      <c r="S7" s="26"/>
      <c r="T7" s="306"/>
      <c r="U7" s="26"/>
      <c r="V7" s="306">
        <v>4.0</v>
      </c>
      <c r="W7" s="26"/>
      <c r="X7" s="306">
        <v>5.0</v>
      </c>
      <c r="Y7" s="26"/>
      <c r="Z7" s="308" t="s">
        <v>10</v>
      </c>
    </row>
    <row r="8" ht="22.5" customHeight="1">
      <c r="A8" s="32"/>
      <c r="B8" s="32"/>
      <c r="C8" s="275" t="s">
        <v>300</v>
      </c>
      <c r="D8" s="309" t="s">
        <v>301</v>
      </c>
      <c r="E8" s="26"/>
      <c r="F8" s="309" t="s">
        <v>302</v>
      </c>
      <c r="G8" s="26"/>
      <c r="H8" s="309" t="s">
        <v>303</v>
      </c>
      <c r="I8" s="26"/>
      <c r="J8" s="309" t="s">
        <v>304</v>
      </c>
      <c r="K8" s="26"/>
      <c r="L8" s="309" t="s">
        <v>305</v>
      </c>
      <c r="M8" s="26"/>
      <c r="N8" s="309" t="s">
        <v>306</v>
      </c>
      <c r="O8" s="26"/>
      <c r="P8" s="307" t="s">
        <v>307</v>
      </c>
      <c r="Q8" s="26"/>
      <c r="R8" s="309" t="s">
        <v>308</v>
      </c>
      <c r="S8" s="26"/>
      <c r="T8" s="309" t="s">
        <v>309</v>
      </c>
      <c r="U8" s="26"/>
      <c r="V8" s="309" t="s">
        <v>310</v>
      </c>
      <c r="W8" s="26"/>
      <c r="X8" s="309" t="s">
        <v>311</v>
      </c>
      <c r="Y8" s="26"/>
      <c r="Z8" s="32"/>
    </row>
    <row r="9" ht="11.25" customHeight="1">
      <c r="A9" s="32"/>
      <c r="B9" s="32"/>
      <c r="C9" s="273" t="s">
        <v>31</v>
      </c>
      <c r="D9" s="310" t="s">
        <v>32</v>
      </c>
      <c r="E9" s="310" t="s">
        <v>33</v>
      </c>
      <c r="F9" s="310" t="s">
        <v>32</v>
      </c>
      <c r="G9" s="310" t="s">
        <v>33</v>
      </c>
      <c r="H9" s="310" t="s">
        <v>32</v>
      </c>
      <c r="I9" s="311" t="s">
        <v>33</v>
      </c>
      <c r="J9" s="310" t="s">
        <v>32</v>
      </c>
      <c r="K9" s="310" t="s">
        <v>33</v>
      </c>
      <c r="L9" s="310" t="s">
        <v>32</v>
      </c>
      <c r="M9" s="310" t="s">
        <v>33</v>
      </c>
      <c r="N9" s="310" t="s">
        <v>32</v>
      </c>
      <c r="O9" s="310" t="s">
        <v>33</v>
      </c>
      <c r="P9" s="310" t="s">
        <v>32</v>
      </c>
      <c r="Q9" s="311" t="s">
        <v>33</v>
      </c>
      <c r="R9" s="311" t="s">
        <v>32</v>
      </c>
      <c r="S9" s="312" t="s">
        <v>33</v>
      </c>
      <c r="T9" s="311" t="s">
        <v>32</v>
      </c>
      <c r="U9" s="313" t="s">
        <v>33</v>
      </c>
      <c r="V9" s="310" t="s">
        <v>32</v>
      </c>
      <c r="W9" s="310" t="s">
        <v>33</v>
      </c>
      <c r="X9" s="310" t="s">
        <v>32</v>
      </c>
      <c r="Y9" s="310" t="s">
        <v>33</v>
      </c>
      <c r="Z9" s="32"/>
    </row>
    <row r="10" ht="11.2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1.25" customHeight="1">
      <c r="A11" s="44">
        <v>1.0</v>
      </c>
      <c r="B11" s="284" t="s">
        <v>330</v>
      </c>
      <c r="C11" s="314" t="s">
        <v>331</v>
      </c>
      <c r="D11" s="284">
        <v>12.0</v>
      </c>
      <c r="E11" s="315">
        <v>60.0</v>
      </c>
      <c r="F11" s="284">
        <v>15.0</v>
      </c>
      <c r="G11" s="316">
        <v>83.33333333333333</v>
      </c>
      <c r="H11" s="317">
        <v>8.0</v>
      </c>
      <c r="I11" s="317">
        <v>50.0</v>
      </c>
      <c r="J11" s="284">
        <v>11.0</v>
      </c>
      <c r="K11" s="316">
        <v>73.33333333333334</v>
      </c>
      <c r="L11" s="284">
        <v>7.0</v>
      </c>
      <c r="M11" s="316">
        <v>58.333333333333336</v>
      </c>
      <c r="N11" s="284">
        <v>6.0</v>
      </c>
      <c r="O11" s="315">
        <v>75.0</v>
      </c>
      <c r="P11" s="318">
        <v>3.0</v>
      </c>
      <c r="Q11" s="319">
        <v>100.0</v>
      </c>
      <c r="R11" s="320">
        <v>3.0</v>
      </c>
      <c r="S11" s="320">
        <v>100.0</v>
      </c>
      <c r="T11" s="321">
        <v>4.0</v>
      </c>
      <c r="U11" s="317">
        <v>80.0</v>
      </c>
      <c r="V11" s="321">
        <v>2.0</v>
      </c>
      <c r="W11" s="315">
        <v>50.0</v>
      </c>
      <c r="X11" s="321">
        <v>3.0</v>
      </c>
      <c r="Y11" s="315">
        <v>60.0</v>
      </c>
      <c r="Z11" s="322">
        <v>71.81818181818181</v>
      </c>
    </row>
    <row r="12" ht="11.25" customHeight="1">
      <c r="A12" s="44">
        <v>2.0</v>
      </c>
      <c r="B12" s="284" t="s">
        <v>332</v>
      </c>
      <c r="C12" s="314" t="s">
        <v>333</v>
      </c>
      <c r="D12" s="284">
        <v>9.0</v>
      </c>
      <c r="E12" s="315">
        <v>45.0</v>
      </c>
      <c r="F12" s="284">
        <v>12.0</v>
      </c>
      <c r="G12" s="316">
        <v>66.66666666666667</v>
      </c>
      <c r="H12" s="317">
        <v>12.0</v>
      </c>
      <c r="I12" s="317">
        <v>75.0</v>
      </c>
      <c r="J12" s="284">
        <v>4.0</v>
      </c>
      <c r="K12" s="316">
        <v>26.666666666666668</v>
      </c>
      <c r="L12" s="284">
        <v>5.0</v>
      </c>
      <c r="M12" s="316">
        <v>41.66666666666667</v>
      </c>
      <c r="N12" s="284">
        <v>6.0</v>
      </c>
      <c r="O12" s="315">
        <v>75.0</v>
      </c>
      <c r="P12" s="318">
        <v>3.0</v>
      </c>
      <c r="Q12" s="319">
        <v>100.0</v>
      </c>
      <c r="R12" s="320">
        <v>3.0</v>
      </c>
      <c r="S12" s="320">
        <v>100.0</v>
      </c>
      <c r="T12" s="321">
        <v>3.0</v>
      </c>
      <c r="U12" s="317">
        <v>60.0</v>
      </c>
      <c r="V12" s="321">
        <v>1.0</v>
      </c>
      <c r="W12" s="315">
        <v>25.0</v>
      </c>
      <c r="X12" s="321">
        <v>3.0</v>
      </c>
      <c r="Y12" s="315">
        <v>60.0</v>
      </c>
      <c r="Z12" s="322">
        <v>61.36363636363637</v>
      </c>
    </row>
    <row r="13" ht="11.25" customHeight="1">
      <c r="A13" s="44">
        <v>3.0</v>
      </c>
      <c r="B13" s="284" t="s">
        <v>334</v>
      </c>
      <c r="C13" s="314" t="s">
        <v>335</v>
      </c>
      <c r="D13" s="284">
        <v>11.0</v>
      </c>
      <c r="E13" s="315">
        <v>55.00000000000001</v>
      </c>
      <c r="F13" s="284">
        <v>14.0</v>
      </c>
      <c r="G13" s="316">
        <v>77.77777777777777</v>
      </c>
      <c r="H13" s="317">
        <v>16.0</v>
      </c>
      <c r="I13" s="317">
        <v>100.0</v>
      </c>
      <c r="J13" s="284">
        <v>12.0</v>
      </c>
      <c r="K13" s="316">
        <v>80.0</v>
      </c>
      <c r="L13" s="284">
        <v>4.0</v>
      </c>
      <c r="M13" s="316">
        <v>33.33333333333333</v>
      </c>
      <c r="N13" s="284">
        <v>3.0</v>
      </c>
      <c r="O13" s="315">
        <v>38.0</v>
      </c>
      <c r="P13" s="318">
        <v>2.0</v>
      </c>
      <c r="Q13" s="319">
        <v>67.0</v>
      </c>
      <c r="R13" s="320">
        <v>2.0</v>
      </c>
      <c r="S13" s="320">
        <v>66.66666666666666</v>
      </c>
      <c r="T13" s="321">
        <v>3.0</v>
      </c>
      <c r="U13" s="317">
        <v>60.0</v>
      </c>
      <c r="V13" s="321">
        <v>3.0</v>
      </c>
      <c r="W13" s="315">
        <v>75.0</v>
      </c>
      <c r="X13" s="321">
        <v>4.0</v>
      </c>
      <c r="Y13" s="315">
        <v>80.0</v>
      </c>
      <c r="Z13" s="322">
        <v>66.6161616161616</v>
      </c>
    </row>
    <row r="14" ht="11.25" customHeight="1">
      <c r="A14" s="44">
        <v>4.0</v>
      </c>
      <c r="B14" s="284" t="s">
        <v>336</v>
      </c>
      <c r="C14" s="314" t="s">
        <v>337</v>
      </c>
      <c r="D14" s="284">
        <v>13.0</v>
      </c>
      <c r="E14" s="315">
        <v>65.0</v>
      </c>
      <c r="F14" s="284">
        <v>15.0</v>
      </c>
      <c r="G14" s="316">
        <v>83.33333333333333</v>
      </c>
      <c r="H14" s="317">
        <v>8.0</v>
      </c>
      <c r="I14" s="317">
        <v>50.0</v>
      </c>
      <c r="J14" s="284">
        <v>10.0</v>
      </c>
      <c r="K14" s="316">
        <v>66.66666666666667</v>
      </c>
      <c r="L14" s="284">
        <v>7.0</v>
      </c>
      <c r="M14" s="316">
        <v>58.333333333333336</v>
      </c>
      <c r="N14" s="284">
        <v>6.0</v>
      </c>
      <c r="O14" s="315">
        <v>75.0</v>
      </c>
      <c r="P14" s="318">
        <v>3.0</v>
      </c>
      <c r="Q14" s="319">
        <v>100.0</v>
      </c>
      <c r="R14" s="320">
        <v>3.0</v>
      </c>
      <c r="S14" s="320">
        <v>100.0</v>
      </c>
      <c r="T14" s="321">
        <v>4.0</v>
      </c>
      <c r="U14" s="317">
        <v>80.0</v>
      </c>
      <c r="V14" s="321">
        <v>3.0</v>
      </c>
      <c r="W14" s="315">
        <v>75.0</v>
      </c>
      <c r="X14" s="321">
        <v>3.0</v>
      </c>
      <c r="Y14" s="315">
        <v>60.0</v>
      </c>
      <c r="Z14" s="322">
        <v>73.93939393939394</v>
      </c>
    </row>
    <row r="15" ht="11.25" customHeight="1">
      <c r="A15" s="44">
        <v>5.0</v>
      </c>
      <c r="B15" s="284" t="s">
        <v>338</v>
      </c>
      <c r="C15" s="323" t="s">
        <v>339</v>
      </c>
      <c r="D15" s="284">
        <v>11.0</v>
      </c>
      <c r="E15" s="315">
        <v>55.00000000000001</v>
      </c>
      <c r="F15" s="284">
        <v>14.0</v>
      </c>
      <c r="G15" s="316">
        <v>77.77777777777777</v>
      </c>
      <c r="H15" s="317">
        <v>8.0</v>
      </c>
      <c r="I15" s="317">
        <v>50.0</v>
      </c>
      <c r="J15" s="284">
        <v>10.0</v>
      </c>
      <c r="K15" s="316">
        <v>66.66666666666667</v>
      </c>
      <c r="L15" s="284">
        <v>6.0</v>
      </c>
      <c r="M15" s="316">
        <v>50.0</v>
      </c>
      <c r="N15" s="284">
        <v>4.0</v>
      </c>
      <c r="O15" s="315">
        <v>50.0</v>
      </c>
      <c r="P15" s="318">
        <v>3.0</v>
      </c>
      <c r="Q15" s="319">
        <v>100.0</v>
      </c>
      <c r="R15" s="320">
        <v>2.0</v>
      </c>
      <c r="S15" s="320">
        <v>66.66666666666666</v>
      </c>
      <c r="T15" s="321">
        <v>3.0</v>
      </c>
      <c r="U15" s="317">
        <v>60.0</v>
      </c>
      <c r="V15" s="321">
        <v>2.0</v>
      </c>
      <c r="W15" s="315">
        <v>50.0</v>
      </c>
      <c r="X15" s="321">
        <v>2.0</v>
      </c>
      <c r="Y15" s="315">
        <v>40.0</v>
      </c>
      <c r="Z15" s="322">
        <v>60.55555555555555</v>
      </c>
    </row>
    <row r="16" ht="11.25" customHeight="1">
      <c r="A16" s="44">
        <v>6.0</v>
      </c>
      <c r="B16" s="284" t="s">
        <v>340</v>
      </c>
      <c r="C16" s="323" t="s">
        <v>341</v>
      </c>
      <c r="D16" s="284">
        <v>12.0</v>
      </c>
      <c r="E16" s="315">
        <v>60.0</v>
      </c>
      <c r="F16" s="284">
        <v>16.0</v>
      </c>
      <c r="G16" s="316">
        <v>88.88888888888889</v>
      </c>
      <c r="H16" s="317">
        <v>12.0</v>
      </c>
      <c r="I16" s="317">
        <v>75.0</v>
      </c>
      <c r="J16" s="284">
        <v>9.0</v>
      </c>
      <c r="K16" s="316">
        <v>60.0</v>
      </c>
      <c r="L16" s="284">
        <v>9.0</v>
      </c>
      <c r="M16" s="316">
        <v>75.0</v>
      </c>
      <c r="N16" s="284">
        <v>6.0</v>
      </c>
      <c r="O16" s="315">
        <v>75.0</v>
      </c>
      <c r="P16" s="318">
        <v>2.0</v>
      </c>
      <c r="Q16" s="319">
        <v>67.0</v>
      </c>
      <c r="R16" s="320">
        <v>2.0</v>
      </c>
      <c r="S16" s="320">
        <v>66.66666666666666</v>
      </c>
      <c r="T16" s="321">
        <v>4.0</v>
      </c>
      <c r="U16" s="317">
        <v>80.0</v>
      </c>
      <c r="V16" s="321">
        <v>3.0</v>
      </c>
      <c r="W16" s="315">
        <v>75.0</v>
      </c>
      <c r="X16" s="321">
        <v>4.0</v>
      </c>
      <c r="Y16" s="315">
        <v>80.0</v>
      </c>
      <c r="Z16" s="322">
        <v>72.95959595959596</v>
      </c>
    </row>
    <row r="17" ht="11.25" customHeight="1">
      <c r="A17" s="44">
        <v>7.0</v>
      </c>
      <c r="B17" s="284" t="s">
        <v>342</v>
      </c>
      <c r="C17" s="314" t="s">
        <v>343</v>
      </c>
      <c r="D17" s="284">
        <v>13.0</v>
      </c>
      <c r="E17" s="315">
        <v>65.0</v>
      </c>
      <c r="F17" s="284">
        <v>15.0</v>
      </c>
      <c r="G17" s="316">
        <v>83.33333333333333</v>
      </c>
      <c r="H17" s="317">
        <v>8.0</v>
      </c>
      <c r="I17" s="317">
        <v>50.0</v>
      </c>
      <c r="J17" s="321">
        <v>10.0</v>
      </c>
      <c r="K17" s="320">
        <v>66.66666666666667</v>
      </c>
      <c r="L17" s="321">
        <v>7.0</v>
      </c>
      <c r="M17" s="320">
        <v>58.333333333333336</v>
      </c>
      <c r="N17" s="321">
        <v>6.0</v>
      </c>
      <c r="O17" s="317">
        <v>75.0</v>
      </c>
      <c r="P17" s="318">
        <v>3.0</v>
      </c>
      <c r="Q17" s="324">
        <v>100.0</v>
      </c>
      <c r="R17" s="320">
        <v>3.0</v>
      </c>
      <c r="S17" s="320">
        <v>100.0</v>
      </c>
      <c r="T17" s="321">
        <v>3.0</v>
      </c>
      <c r="U17" s="317">
        <v>75.0</v>
      </c>
      <c r="V17" s="321">
        <v>4.0</v>
      </c>
      <c r="W17" s="315">
        <v>80.0</v>
      </c>
      <c r="X17" s="321">
        <v>3.0</v>
      </c>
      <c r="Y17" s="315">
        <v>60.0</v>
      </c>
      <c r="Z17" s="322">
        <v>73.93939393939394</v>
      </c>
    </row>
    <row r="18" ht="11.25" customHeight="1">
      <c r="A18" s="44">
        <v>8.0</v>
      </c>
      <c r="B18" s="284" t="s">
        <v>344</v>
      </c>
      <c r="C18" s="314" t="s">
        <v>345</v>
      </c>
      <c r="D18" s="284">
        <v>14.0</v>
      </c>
      <c r="E18" s="315">
        <v>70.0</v>
      </c>
      <c r="F18" s="284">
        <v>14.0</v>
      </c>
      <c r="G18" s="316">
        <v>77.77777777777777</v>
      </c>
      <c r="H18" s="317">
        <v>8.0</v>
      </c>
      <c r="I18" s="317">
        <v>50.0</v>
      </c>
      <c r="J18" s="321">
        <v>8.0</v>
      </c>
      <c r="K18" s="320">
        <v>53.333333333333336</v>
      </c>
      <c r="L18" s="321">
        <v>7.0</v>
      </c>
      <c r="M18" s="320">
        <v>58.333333333333336</v>
      </c>
      <c r="N18" s="321">
        <v>5.0</v>
      </c>
      <c r="O18" s="317">
        <v>63.0</v>
      </c>
      <c r="P18" s="318">
        <v>3.0</v>
      </c>
      <c r="Q18" s="324">
        <v>100.0</v>
      </c>
      <c r="R18" s="320">
        <v>2.0</v>
      </c>
      <c r="S18" s="320">
        <v>66.66666666666666</v>
      </c>
      <c r="T18" s="321">
        <v>2.0</v>
      </c>
      <c r="U18" s="317">
        <v>50.0</v>
      </c>
      <c r="V18" s="321">
        <v>3.0</v>
      </c>
      <c r="W18" s="315">
        <v>60.0</v>
      </c>
      <c r="X18" s="321">
        <v>4.0</v>
      </c>
      <c r="Y18" s="315">
        <v>80.0</v>
      </c>
      <c r="Z18" s="322">
        <v>66.28282828282828</v>
      </c>
    </row>
    <row r="19" ht="11.25" customHeight="1">
      <c r="A19" s="44">
        <v>9.0</v>
      </c>
      <c r="B19" s="284" t="s">
        <v>346</v>
      </c>
      <c r="C19" s="323" t="s">
        <v>347</v>
      </c>
      <c r="D19" s="284">
        <v>12.0</v>
      </c>
      <c r="E19" s="315">
        <v>60.0</v>
      </c>
      <c r="F19" s="284">
        <v>11.0</v>
      </c>
      <c r="G19" s="316">
        <v>61.111111111111114</v>
      </c>
      <c r="H19" s="317">
        <v>8.0</v>
      </c>
      <c r="I19" s="317">
        <v>50.0</v>
      </c>
      <c r="J19" s="321">
        <v>11.0</v>
      </c>
      <c r="K19" s="320">
        <v>73.33333333333334</v>
      </c>
      <c r="L19" s="321">
        <v>6.0</v>
      </c>
      <c r="M19" s="320">
        <v>50.0</v>
      </c>
      <c r="N19" s="321">
        <v>6.0</v>
      </c>
      <c r="O19" s="317">
        <v>75.0</v>
      </c>
      <c r="P19" s="318">
        <v>3.0</v>
      </c>
      <c r="Q19" s="319">
        <v>100.0</v>
      </c>
      <c r="R19" s="320">
        <v>3.0</v>
      </c>
      <c r="S19" s="320">
        <v>100.0</v>
      </c>
      <c r="T19" s="321">
        <v>3.0</v>
      </c>
      <c r="U19" s="317">
        <v>75.0</v>
      </c>
      <c r="V19" s="321">
        <v>3.0</v>
      </c>
      <c r="W19" s="317">
        <v>60.0</v>
      </c>
      <c r="X19" s="321">
        <v>3.0</v>
      </c>
      <c r="Y19" s="317">
        <v>60.0</v>
      </c>
      <c r="Z19" s="322">
        <v>69.4949494949495</v>
      </c>
    </row>
    <row r="20" ht="11.25" customHeight="1">
      <c r="A20" s="44">
        <v>10.0</v>
      </c>
      <c r="B20" s="284" t="s">
        <v>348</v>
      </c>
      <c r="C20" s="314" t="s">
        <v>349</v>
      </c>
      <c r="D20" s="284">
        <v>13.0</v>
      </c>
      <c r="E20" s="315">
        <v>65.0</v>
      </c>
      <c r="F20" s="284">
        <v>12.0</v>
      </c>
      <c r="G20" s="316">
        <v>66.66666666666667</v>
      </c>
      <c r="H20" s="317">
        <v>12.0</v>
      </c>
      <c r="I20" s="317">
        <v>75.0</v>
      </c>
      <c r="J20" s="321">
        <v>9.0</v>
      </c>
      <c r="K20" s="320">
        <v>60.0</v>
      </c>
      <c r="L20" s="321">
        <v>7.0</v>
      </c>
      <c r="M20" s="320">
        <v>58.333333333333336</v>
      </c>
      <c r="N20" s="321">
        <v>6.0</v>
      </c>
      <c r="O20" s="317">
        <v>75.0</v>
      </c>
      <c r="P20" s="318">
        <v>3.0</v>
      </c>
      <c r="Q20" s="319">
        <v>100.0</v>
      </c>
      <c r="R20" s="320">
        <v>3.0</v>
      </c>
      <c r="S20" s="320">
        <v>100.0</v>
      </c>
      <c r="T20" s="321">
        <v>3.0</v>
      </c>
      <c r="U20" s="317">
        <v>75.0</v>
      </c>
      <c r="V20" s="321">
        <v>3.0</v>
      </c>
      <c r="W20" s="317">
        <v>60.0</v>
      </c>
      <c r="X20" s="321">
        <v>4.0</v>
      </c>
      <c r="Y20" s="317">
        <v>80.0</v>
      </c>
      <c r="Z20" s="322">
        <v>74.0909090909091</v>
      </c>
    </row>
    <row r="21" ht="11.25" customHeight="1">
      <c r="A21" s="44">
        <v>11.0</v>
      </c>
      <c r="B21" s="284" t="s">
        <v>350</v>
      </c>
      <c r="C21" s="314" t="s">
        <v>351</v>
      </c>
      <c r="D21" s="284">
        <v>11.0</v>
      </c>
      <c r="E21" s="315">
        <v>55.00000000000001</v>
      </c>
      <c r="F21" s="284">
        <v>14.0</v>
      </c>
      <c r="G21" s="316">
        <v>77.77777777777777</v>
      </c>
      <c r="H21" s="317">
        <v>12.0</v>
      </c>
      <c r="I21" s="317">
        <v>75.0</v>
      </c>
      <c r="J21" s="321">
        <v>10.0</v>
      </c>
      <c r="K21" s="320">
        <v>66.66666666666667</v>
      </c>
      <c r="L21" s="321">
        <v>5.0</v>
      </c>
      <c r="M21" s="320">
        <v>41.66666666666667</v>
      </c>
      <c r="N21" s="321">
        <v>6.0</v>
      </c>
      <c r="O21" s="317">
        <v>75.0</v>
      </c>
      <c r="P21" s="318">
        <v>3.0</v>
      </c>
      <c r="Q21" s="319">
        <v>100.0</v>
      </c>
      <c r="R21" s="320">
        <v>3.0</v>
      </c>
      <c r="S21" s="320">
        <v>100.0</v>
      </c>
      <c r="T21" s="321">
        <v>1.0</v>
      </c>
      <c r="U21" s="317">
        <v>25.0</v>
      </c>
      <c r="V21" s="321">
        <v>3.0</v>
      </c>
      <c r="W21" s="315">
        <v>60.0</v>
      </c>
      <c r="X21" s="321">
        <v>2.0</v>
      </c>
      <c r="Y21" s="315">
        <v>40.0</v>
      </c>
      <c r="Z21" s="322">
        <v>65.1010101010101</v>
      </c>
    </row>
    <row r="22" ht="24.0" customHeight="1">
      <c r="A22" s="325" t="s">
        <v>139</v>
      </c>
      <c r="B22" s="253"/>
      <c r="C22" s="326"/>
      <c r="D22" s="327" t="s">
        <v>318</v>
      </c>
      <c r="E22" s="326"/>
      <c r="F22" s="328" t="s">
        <v>319</v>
      </c>
      <c r="G22" s="326"/>
      <c r="H22" s="329" t="s">
        <v>320</v>
      </c>
      <c r="I22" s="330"/>
      <c r="J22" s="328" t="s">
        <v>321</v>
      </c>
      <c r="K22" s="326"/>
      <c r="L22" s="328" t="s">
        <v>322</v>
      </c>
      <c r="M22" s="326"/>
      <c r="N22" s="328" t="s">
        <v>323</v>
      </c>
      <c r="O22" s="326"/>
      <c r="P22" s="331" t="s">
        <v>324</v>
      </c>
      <c r="Q22" s="326"/>
      <c r="R22" s="328" t="s">
        <v>325</v>
      </c>
      <c r="S22" s="326"/>
      <c r="T22" s="328" t="s">
        <v>318</v>
      </c>
      <c r="U22" s="326"/>
      <c r="V22" s="328" t="s">
        <v>319</v>
      </c>
      <c r="W22" s="253"/>
      <c r="X22" s="328" t="s">
        <v>322</v>
      </c>
      <c r="Y22" s="326"/>
      <c r="Z22" s="332"/>
    </row>
    <row r="23" ht="11.25" customHeight="1">
      <c r="A23" s="11"/>
      <c r="B23" s="78"/>
      <c r="C23" s="70"/>
      <c r="D23" s="71"/>
      <c r="E23" s="71"/>
      <c r="F23" s="11"/>
      <c r="G23" s="11"/>
      <c r="H23" s="73"/>
      <c r="I23" s="73"/>
      <c r="J23" s="11"/>
      <c r="K23" s="74"/>
      <c r="L23" s="11"/>
      <c r="M23" s="74"/>
      <c r="N23" s="11"/>
      <c r="O23" s="74"/>
      <c r="P23" s="11"/>
      <c r="Q23" s="11"/>
      <c r="R23" s="11"/>
      <c r="S23" s="299"/>
      <c r="T23" s="11"/>
      <c r="U23" s="11"/>
      <c r="V23" s="11"/>
      <c r="W23" s="11"/>
      <c r="X23" s="271"/>
      <c r="Y23" s="74"/>
      <c r="Z23" s="300"/>
    </row>
    <row r="24" ht="29.25" customHeight="1">
      <c r="A24" s="78"/>
      <c r="B24" s="74"/>
      <c r="C24" s="78" t="s">
        <v>326</v>
      </c>
      <c r="D24" s="74"/>
      <c r="E24" s="74"/>
      <c r="F24" s="301"/>
      <c r="G24" s="2"/>
      <c r="H24" s="74"/>
      <c r="I24" s="302"/>
      <c r="J24" s="11"/>
      <c r="K24" s="11"/>
      <c r="L24" s="303" t="s">
        <v>327</v>
      </c>
      <c r="Q24" s="301"/>
      <c r="R24" s="301"/>
      <c r="S24" s="304"/>
      <c r="T24" s="301"/>
      <c r="U24" s="7"/>
      <c r="V24" s="303" t="s">
        <v>328</v>
      </c>
    </row>
    <row r="25" ht="11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</row>
    <row r="26" ht="11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 ht="11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</row>
    <row r="28" ht="11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</row>
    <row r="29" ht="11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 ht="11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 ht="11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 ht="11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 ht="11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 ht="11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 ht="11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 ht="11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 ht="11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 ht="11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 ht="11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 ht="11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ht="11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 ht="11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 ht="11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 ht="11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 ht="11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 ht="11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 ht="11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  <row r="48" ht="11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</row>
    <row r="49" ht="11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 ht="11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</row>
    <row r="51" ht="11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</row>
    <row r="52" ht="11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</row>
    <row r="53" ht="11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 ht="11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ht="11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</row>
    <row r="56" ht="11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</row>
    <row r="57" ht="11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 ht="11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</row>
    <row r="59" ht="11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</row>
    <row r="60" ht="11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</row>
    <row r="61" ht="11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</row>
    <row r="62" ht="11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</row>
    <row r="63" ht="11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 ht="11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 ht="11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</row>
    <row r="66" ht="11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</row>
    <row r="67" ht="11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</row>
    <row r="68" ht="11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 ht="11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</row>
    <row r="70" ht="11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</row>
    <row r="71" ht="11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</row>
    <row r="72" ht="11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</row>
    <row r="73" ht="11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</row>
    <row r="74" ht="11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</row>
    <row r="75" ht="11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 ht="11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 ht="11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 ht="11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 ht="11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 ht="11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 ht="11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 ht="11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 ht="11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 ht="11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 ht="11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 ht="11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 ht="11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 ht="11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 ht="11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 ht="11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 ht="11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 ht="11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 ht="11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 ht="11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 ht="11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 ht="11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 ht="11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 ht="11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 ht="11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 ht="11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 ht="11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 ht="11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 ht="11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 ht="11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 ht="11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 ht="11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 ht="11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 ht="11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 ht="11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 ht="11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 ht="11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 ht="11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 ht="11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 ht="11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 ht="11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 ht="11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 ht="11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 ht="11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 ht="11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 ht="11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 ht="11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 ht="11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 ht="11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 ht="11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 ht="11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 ht="11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 ht="11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 ht="11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 ht="11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  <row r="130" ht="11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</row>
    <row r="131" ht="11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</row>
    <row r="132" ht="11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</row>
    <row r="133" ht="11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</row>
    <row r="134" ht="11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</row>
    <row r="135" ht="11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</row>
    <row r="136" ht="11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</row>
    <row r="137" ht="11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</row>
    <row r="138" ht="11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</row>
    <row r="139" ht="11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</row>
    <row r="140" ht="11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</row>
    <row r="141" ht="11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</row>
    <row r="142" ht="11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</row>
    <row r="143" ht="11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</row>
    <row r="144" ht="11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</row>
    <row r="145" ht="11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</row>
    <row r="146" ht="11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</row>
    <row r="147" ht="11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</row>
    <row r="148" ht="11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:C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F9:F10"/>
    <mergeCell ref="G9:G10"/>
    <mergeCell ref="H9:H10"/>
    <mergeCell ref="I9:I10"/>
    <mergeCell ref="J9:J10"/>
    <mergeCell ref="K9:K10"/>
    <mergeCell ref="U1:Z1"/>
    <mergeCell ref="A2:Z2"/>
    <mergeCell ref="A3:Z3"/>
    <mergeCell ref="A4:Z4"/>
    <mergeCell ref="X5:Z5"/>
    <mergeCell ref="A7:A10"/>
    <mergeCell ref="Z7:Z10"/>
    <mergeCell ref="B7:B10"/>
    <mergeCell ref="D8:E8"/>
    <mergeCell ref="C9:C10"/>
    <mergeCell ref="D9:D10"/>
    <mergeCell ref="E9:E10"/>
    <mergeCell ref="A22:C22"/>
    <mergeCell ref="D22:E22"/>
    <mergeCell ref="T22:U22"/>
    <mergeCell ref="V22:W22"/>
    <mergeCell ref="X22:Y22"/>
    <mergeCell ref="V24:Z24"/>
    <mergeCell ref="F22:G22"/>
    <mergeCell ref="H22:I22"/>
    <mergeCell ref="J22:K22"/>
    <mergeCell ref="L22:M22"/>
    <mergeCell ref="N22:O22"/>
    <mergeCell ref="P22:Q22"/>
    <mergeCell ref="R22:S22"/>
    <mergeCell ref="L24:P24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conditionalFormatting sqref="U21">
    <cfRule type="notContainsBlanks" dxfId="0" priority="1">
      <formula>LEN(TRIM(U21))&gt;0</formula>
    </cfRule>
  </conditionalFormatting>
  <printOptions/>
  <pageMargins bottom="0.0" footer="0.0" header="0.0" left="0.5" right="0.0" top="0.75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0.0"/>
    <col customWidth="1" min="3" max="3" width="17.63"/>
    <col customWidth="1" min="4" max="4" width="5.88"/>
    <col customWidth="1" min="5" max="5" width="3.88"/>
    <col customWidth="1" min="6" max="6" width="5.63"/>
    <col customWidth="1" min="7" max="7" width="3.88"/>
    <col customWidth="1" min="8" max="8" width="4.88"/>
    <col customWidth="1" min="9" max="9" width="3.88"/>
    <col customWidth="1" min="10" max="10" width="6.0"/>
    <col customWidth="1" min="11" max="11" width="4.13"/>
    <col customWidth="1" min="12" max="12" width="5.0"/>
    <col customWidth="1" min="13" max="13" width="3.88"/>
    <col customWidth="1" min="14" max="14" width="4.38"/>
    <col customWidth="1" min="15" max="16" width="5.13"/>
    <col customWidth="1" min="17" max="17" width="4.13"/>
    <col customWidth="1" min="18" max="18" width="4.38"/>
    <col customWidth="1" min="19" max="19" width="3.88"/>
    <col customWidth="1" min="20" max="20" width="5.38"/>
    <col customWidth="1" min="21" max="21" width="3.88"/>
    <col customWidth="1" min="22" max="22" width="5.13"/>
    <col customWidth="1" min="23" max="23" width="3.38"/>
    <col customWidth="1" min="24" max="24" width="6.13"/>
    <col customWidth="1" min="25" max="25" width="3.88"/>
    <col customWidth="1" min="26" max="26" width="6.63"/>
    <col customWidth="1" min="27" max="27" width="7.88"/>
  </cols>
  <sheetData>
    <row r="1" ht="11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64"/>
      <c r="T1" s="1"/>
      <c r="U1" s="7" t="s">
        <v>290</v>
      </c>
    </row>
    <row r="2" ht="11.25" customHeight="1">
      <c r="A2" s="305" t="s">
        <v>274</v>
      </c>
    </row>
    <row r="3" ht="11.25" customHeight="1">
      <c r="A3" s="11" t="s">
        <v>291</v>
      </c>
    </row>
    <row r="4" ht="11.25" customHeight="1">
      <c r="A4" s="11" t="s">
        <v>292</v>
      </c>
    </row>
    <row r="5" ht="11.25" customHeight="1">
      <c r="A5" s="20"/>
      <c r="B5" s="267" t="s">
        <v>293</v>
      </c>
      <c r="D5" s="20"/>
      <c r="E5" s="20"/>
      <c r="F5" s="20"/>
      <c r="G5" s="20"/>
      <c r="H5" s="20"/>
      <c r="I5" s="20"/>
      <c r="J5" s="20"/>
      <c r="K5" s="268"/>
      <c r="L5" s="20"/>
      <c r="M5" s="20"/>
      <c r="N5" s="74"/>
      <c r="O5" s="74"/>
      <c r="P5" s="74"/>
      <c r="Q5" s="74"/>
      <c r="R5" s="74"/>
      <c r="S5" s="269"/>
      <c r="T5" s="21"/>
      <c r="U5" s="270"/>
      <c r="V5" s="21"/>
      <c r="W5" s="21"/>
      <c r="X5" s="271" t="s">
        <v>294</v>
      </c>
    </row>
    <row r="6" ht="11.25" customHeight="1">
      <c r="A6" s="20"/>
      <c r="B6" s="19" t="s">
        <v>295</v>
      </c>
      <c r="C6" s="20"/>
      <c r="D6" s="74"/>
      <c r="E6" s="20"/>
      <c r="F6" s="20"/>
      <c r="G6" s="20"/>
      <c r="H6" s="20"/>
      <c r="I6" s="20"/>
      <c r="J6" s="20"/>
      <c r="K6" s="268"/>
      <c r="L6" s="19" t="s">
        <v>296</v>
      </c>
      <c r="M6" s="20"/>
      <c r="N6" s="20"/>
      <c r="O6" s="19" t="s">
        <v>297</v>
      </c>
      <c r="P6" s="20"/>
      <c r="Q6" s="20"/>
      <c r="R6" s="20"/>
      <c r="S6" s="269"/>
      <c r="T6" s="21" t="s">
        <v>352</v>
      </c>
      <c r="U6" s="270"/>
      <c r="V6" s="21"/>
      <c r="W6" s="21"/>
      <c r="X6" s="21"/>
      <c r="Y6" s="21"/>
      <c r="Z6" s="21"/>
    </row>
    <row r="7" ht="11.25" customHeight="1">
      <c r="A7" s="273" t="s">
        <v>7</v>
      </c>
      <c r="B7" s="274" t="s">
        <v>8</v>
      </c>
      <c r="C7" s="275" t="s">
        <v>9</v>
      </c>
      <c r="D7" s="276">
        <v>20.0</v>
      </c>
      <c r="E7" s="26"/>
      <c r="F7" s="276">
        <v>18.0</v>
      </c>
      <c r="G7" s="26"/>
      <c r="H7" s="276">
        <v>16.0</v>
      </c>
      <c r="I7" s="26"/>
      <c r="J7" s="276">
        <v>16.0</v>
      </c>
      <c r="K7" s="26"/>
      <c r="L7" s="276">
        <v>12.0</v>
      </c>
      <c r="M7" s="26"/>
      <c r="N7" s="276">
        <v>8.0</v>
      </c>
      <c r="O7" s="26"/>
      <c r="P7" s="277"/>
      <c r="Q7" s="26"/>
      <c r="R7" s="276">
        <v>3.0</v>
      </c>
      <c r="S7" s="26"/>
      <c r="T7" s="276"/>
      <c r="U7" s="26"/>
      <c r="V7" s="276">
        <v>4.0</v>
      </c>
      <c r="W7" s="26"/>
      <c r="X7" s="276">
        <v>5.0</v>
      </c>
      <c r="Y7" s="26"/>
      <c r="Z7" s="278" t="s">
        <v>10</v>
      </c>
    </row>
    <row r="8" ht="22.5" customHeight="1">
      <c r="A8" s="32"/>
      <c r="B8" s="32"/>
      <c r="C8" s="275" t="s">
        <v>300</v>
      </c>
      <c r="D8" s="279" t="s">
        <v>301</v>
      </c>
      <c r="E8" s="26"/>
      <c r="F8" s="279" t="s">
        <v>302</v>
      </c>
      <c r="G8" s="26"/>
      <c r="H8" s="279" t="s">
        <v>303</v>
      </c>
      <c r="I8" s="26"/>
      <c r="J8" s="279" t="s">
        <v>304</v>
      </c>
      <c r="K8" s="26"/>
      <c r="L8" s="279" t="s">
        <v>305</v>
      </c>
      <c r="M8" s="26"/>
      <c r="N8" s="279" t="s">
        <v>306</v>
      </c>
      <c r="O8" s="26"/>
      <c r="P8" s="277" t="s">
        <v>307</v>
      </c>
      <c r="Q8" s="26"/>
      <c r="R8" s="279" t="s">
        <v>308</v>
      </c>
      <c r="S8" s="26"/>
      <c r="T8" s="279" t="s">
        <v>309</v>
      </c>
      <c r="U8" s="26"/>
      <c r="V8" s="279" t="s">
        <v>310</v>
      </c>
      <c r="W8" s="26"/>
      <c r="X8" s="279" t="s">
        <v>311</v>
      </c>
      <c r="Y8" s="26"/>
      <c r="Z8" s="32"/>
    </row>
    <row r="9" ht="11.25" customHeight="1">
      <c r="A9" s="32"/>
      <c r="B9" s="32"/>
      <c r="C9" s="273" t="s">
        <v>31</v>
      </c>
      <c r="D9" s="274" t="s">
        <v>32</v>
      </c>
      <c r="E9" s="274" t="s">
        <v>33</v>
      </c>
      <c r="F9" s="274" t="s">
        <v>32</v>
      </c>
      <c r="G9" s="274" t="s">
        <v>33</v>
      </c>
      <c r="H9" s="274" t="s">
        <v>32</v>
      </c>
      <c r="I9" s="280" t="s">
        <v>33</v>
      </c>
      <c r="J9" s="274" t="s">
        <v>32</v>
      </c>
      <c r="K9" s="274" t="s">
        <v>33</v>
      </c>
      <c r="L9" s="274" t="s">
        <v>32</v>
      </c>
      <c r="M9" s="274" t="s">
        <v>33</v>
      </c>
      <c r="N9" s="274" t="s">
        <v>32</v>
      </c>
      <c r="O9" s="274" t="s">
        <v>33</v>
      </c>
      <c r="P9" s="274" t="s">
        <v>32</v>
      </c>
      <c r="Q9" s="333" t="s">
        <v>33</v>
      </c>
      <c r="R9" s="333" t="s">
        <v>32</v>
      </c>
      <c r="S9" s="334" t="s">
        <v>33</v>
      </c>
      <c r="T9" s="333" t="s">
        <v>32</v>
      </c>
      <c r="U9" s="335" t="s">
        <v>33</v>
      </c>
      <c r="V9" s="336" t="s">
        <v>32</v>
      </c>
      <c r="W9" s="274" t="s">
        <v>33</v>
      </c>
      <c r="X9" s="274" t="s">
        <v>32</v>
      </c>
      <c r="Y9" s="274" t="s">
        <v>33</v>
      </c>
      <c r="Z9" s="32"/>
    </row>
    <row r="10" ht="11.2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1.25" customHeight="1">
      <c r="A11" s="283">
        <v>1.0</v>
      </c>
      <c r="B11" s="284" t="s">
        <v>353</v>
      </c>
      <c r="C11" s="285" t="s">
        <v>354</v>
      </c>
      <c r="D11" s="284">
        <v>15.0</v>
      </c>
      <c r="E11" s="315">
        <v>75.0</v>
      </c>
      <c r="F11" s="284">
        <v>12.0</v>
      </c>
      <c r="G11" s="316">
        <v>66.66666666666667</v>
      </c>
      <c r="H11" s="317">
        <v>16.0</v>
      </c>
      <c r="I11" s="317">
        <v>100.0</v>
      </c>
      <c r="J11" s="284">
        <v>9.0</v>
      </c>
      <c r="K11" s="316">
        <v>60.0</v>
      </c>
      <c r="L11" s="284">
        <v>10.0</v>
      </c>
      <c r="M11" s="316">
        <v>83.33333333333334</v>
      </c>
      <c r="N11" s="284">
        <v>7.0</v>
      </c>
      <c r="O11" s="315">
        <v>88.0</v>
      </c>
      <c r="P11" s="318">
        <v>2.0</v>
      </c>
      <c r="Q11" s="319">
        <v>67.0</v>
      </c>
      <c r="R11" s="320">
        <v>2.0</v>
      </c>
      <c r="S11" s="320">
        <v>66.66666666666666</v>
      </c>
      <c r="T11" s="321">
        <v>3.0</v>
      </c>
      <c r="U11" s="317">
        <v>60.0</v>
      </c>
      <c r="V11" s="321">
        <v>3.0</v>
      </c>
      <c r="W11" s="315">
        <v>75.0</v>
      </c>
      <c r="X11" s="321">
        <v>4.0</v>
      </c>
      <c r="Y11" s="315">
        <v>80.0</v>
      </c>
      <c r="Z11" s="322">
        <v>74.69696969696969</v>
      </c>
    </row>
    <row r="12" ht="11.25" customHeight="1">
      <c r="A12" s="283">
        <v>2.0</v>
      </c>
      <c r="B12" s="284" t="s">
        <v>355</v>
      </c>
      <c r="C12" s="285" t="s">
        <v>356</v>
      </c>
      <c r="D12" s="284">
        <v>14.0</v>
      </c>
      <c r="E12" s="315">
        <v>70.0</v>
      </c>
      <c r="F12" s="284">
        <v>14.0</v>
      </c>
      <c r="G12" s="316">
        <v>77.77777777777777</v>
      </c>
      <c r="H12" s="317">
        <v>12.0</v>
      </c>
      <c r="I12" s="317">
        <v>75.0</v>
      </c>
      <c r="J12" s="337">
        <v>11.0</v>
      </c>
      <c r="K12" s="316">
        <v>73.33333333333334</v>
      </c>
      <c r="L12" s="284">
        <v>9.0</v>
      </c>
      <c r="M12" s="316">
        <v>75.0</v>
      </c>
      <c r="N12" s="284">
        <v>7.0</v>
      </c>
      <c r="O12" s="315">
        <v>88.0</v>
      </c>
      <c r="P12" s="318">
        <v>2.0</v>
      </c>
      <c r="Q12" s="319">
        <v>67.0</v>
      </c>
      <c r="R12" s="320">
        <v>3.0</v>
      </c>
      <c r="S12" s="320">
        <v>100.0</v>
      </c>
      <c r="T12" s="321">
        <v>5.0</v>
      </c>
      <c r="U12" s="317">
        <v>100.0</v>
      </c>
      <c r="V12" s="321">
        <v>3.0</v>
      </c>
      <c r="W12" s="315">
        <v>75.0</v>
      </c>
      <c r="X12" s="321">
        <v>3.0</v>
      </c>
      <c r="Y12" s="315">
        <v>60.0</v>
      </c>
      <c r="Z12" s="322">
        <v>78.28282828282828</v>
      </c>
    </row>
    <row r="13" ht="11.25" customHeight="1">
      <c r="A13" s="283">
        <v>3.0</v>
      </c>
      <c r="B13" s="284" t="s">
        <v>357</v>
      </c>
      <c r="C13" s="285" t="s">
        <v>358</v>
      </c>
      <c r="D13" s="284">
        <v>16.0</v>
      </c>
      <c r="E13" s="315">
        <v>80.0</v>
      </c>
      <c r="F13" s="284">
        <v>16.0</v>
      </c>
      <c r="G13" s="316">
        <v>88.88888888888889</v>
      </c>
      <c r="H13" s="317">
        <v>12.0</v>
      </c>
      <c r="I13" s="317">
        <v>75.0</v>
      </c>
      <c r="J13" s="321">
        <v>13.0</v>
      </c>
      <c r="K13" s="320">
        <v>86.66666666666667</v>
      </c>
      <c r="L13" s="321">
        <v>8.0</v>
      </c>
      <c r="M13" s="320">
        <v>66.66666666666666</v>
      </c>
      <c r="N13" s="321">
        <v>6.0</v>
      </c>
      <c r="O13" s="317">
        <v>75.0</v>
      </c>
      <c r="P13" s="318">
        <v>3.0</v>
      </c>
      <c r="Q13" s="324">
        <v>100.0</v>
      </c>
      <c r="R13" s="320">
        <v>3.0</v>
      </c>
      <c r="S13" s="320">
        <v>100.0</v>
      </c>
      <c r="T13" s="321">
        <v>3.0</v>
      </c>
      <c r="U13" s="317">
        <v>75.0</v>
      </c>
      <c r="V13" s="321">
        <v>4.0</v>
      </c>
      <c r="W13" s="315">
        <v>80.0</v>
      </c>
      <c r="X13" s="321">
        <v>4.0</v>
      </c>
      <c r="Y13" s="315">
        <v>80.0</v>
      </c>
      <c r="Z13" s="322">
        <v>82.47474747474747</v>
      </c>
    </row>
    <row r="14" ht="11.25" customHeight="1">
      <c r="A14" s="283">
        <v>4.0</v>
      </c>
      <c r="B14" s="284" t="s">
        <v>359</v>
      </c>
      <c r="C14" s="285" t="s">
        <v>360</v>
      </c>
      <c r="D14" s="284">
        <v>17.0</v>
      </c>
      <c r="E14" s="315">
        <v>85.0</v>
      </c>
      <c r="F14" s="284">
        <v>16.0</v>
      </c>
      <c r="G14" s="316">
        <v>88.88888888888889</v>
      </c>
      <c r="H14" s="317">
        <v>12.0</v>
      </c>
      <c r="I14" s="317">
        <v>75.0</v>
      </c>
      <c r="J14" s="321">
        <v>13.0</v>
      </c>
      <c r="K14" s="320">
        <v>86.66666666666667</v>
      </c>
      <c r="L14" s="321">
        <v>8.0</v>
      </c>
      <c r="M14" s="320">
        <v>66.66666666666666</v>
      </c>
      <c r="N14" s="321">
        <v>7.0</v>
      </c>
      <c r="O14" s="317">
        <v>88.0</v>
      </c>
      <c r="P14" s="318">
        <v>3.0</v>
      </c>
      <c r="Q14" s="319">
        <v>100.0</v>
      </c>
      <c r="R14" s="320">
        <v>3.0</v>
      </c>
      <c r="S14" s="320">
        <v>100.0</v>
      </c>
      <c r="T14" s="321">
        <v>3.0</v>
      </c>
      <c r="U14" s="317">
        <v>75.0</v>
      </c>
      <c r="V14" s="321">
        <v>4.0</v>
      </c>
      <c r="W14" s="317">
        <v>80.0</v>
      </c>
      <c r="X14" s="321">
        <v>2.0</v>
      </c>
      <c r="Y14" s="317">
        <v>40.0</v>
      </c>
      <c r="Z14" s="322">
        <v>80.47474747474747</v>
      </c>
    </row>
    <row r="15" ht="11.25" customHeight="1">
      <c r="A15" s="283">
        <v>5.0</v>
      </c>
      <c r="B15" s="284" t="s">
        <v>361</v>
      </c>
      <c r="C15" s="285" t="s">
        <v>362</v>
      </c>
      <c r="D15" s="284">
        <v>16.0</v>
      </c>
      <c r="E15" s="315">
        <v>80.0</v>
      </c>
      <c r="F15" s="284">
        <v>14.0</v>
      </c>
      <c r="G15" s="316">
        <v>77.77777777777777</v>
      </c>
      <c r="H15" s="317">
        <v>16.0</v>
      </c>
      <c r="I15" s="317">
        <v>100.0</v>
      </c>
      <c r="J15" s="321">
        <v>13.0</v>
      </c>
      <c r="K15" s="320">
        <v>86.66666666666667</v>
      </c>
      <c r="L15" s="321">
        <v>8.0</v>
      </c>
      <c r="M15" s="320">
        <v>66.66666666666666</v>
      </c>
      <c r="N15" s="321">
        <v>6.0</v>
      </c>
      <c r="O15" s="317">
        <v>75.0</v>
      </c>
      <c r="P15" s="318">
        <v>3.0</v>
      </c>
      <c r="Q15" s="319">
        <v>100.0</v>
      </c>
      <c r="R15" s="320">
        <v>3.0</v>
      </c>
      <c r="S15" s="320">
        <v>100.0</v>
      </c>
      <c r="T15" s="321">
        <v>3.0</v>
      </c>
      <c r="U15" s="317">
        <v>75.0</v>
      </c>
      <c r="V15" s="321">
        <v>5.0</v>
      </c>
      <c r="W15" s="317">
        <v>100.0</v>
      </c>
      <c r="X15" s="321">
        <v>3.0</v>
      </c>
      <c r="Y15" s="317">
        <v>60.0</v>
      </c>
      <c r="Z15" s="322">
        <v>83.73737373737373</v>
      </c>
    </row>
    <row r="16" ht="11.25" customHeight="1">
      <c r="A16" s="283">
        <v>6.0</v>
      </c>
      <c r="B16" s="284" t="s">
        <v>363</v>
      </c>
      <c r="C16" s="285" t="s">
        <v>364</v>
      </c>
      <c r="D16" s="284">
        <v>16.0</v>
      </c>
      <c r="E16" s="315">
        <v>80.0</v>
      </c>
      <c r="F16" s="284">
        <v>13.0</v>
      </c>
      <c r="G16" s="316">
        <v>72.22222222222223</v>
      </c>
      <c r="H16" s="317">
        <v>8.0</v>
      </c>
      <c r="I16" s="317">
        <v>50.0</v>
      </c>
      <c r="J16" s="321">
        <v>13.0</v>
      </c>
      <c r="K16" s="320">
        <v>86.66666666666667</v>
      </c>
      <c r="L16" s="321">
        <v>9.0</v>
      </c>
      <c r="M16" s="320">
        <v>75.0</v>
      </c>
      <c r="N16" s="321">
        <v>8.0</v>
      </c>
      <c r="O16" s="317">
        <v>100.0</v>
      </c>
      <c r="P16" s="318">
        <v>3.0</v>
      </c>
      <c r="Q16" s="319">
        <v>100.0</v>
      </c>
      <c r="R16" s="320">
        <v>3.0</v>
      </c>
      <c r="S16" s="320">
        <v>100.0</v>
      </c>
      <c r="T16" s="321">
        <v>4.0</v>
      </c>
      <c r="U16" s="317">
        <v>100.0</v>
      </c>
      <c r="V16" s="321">
        <v>3.0</v>
      </c>
      <c r="W16" s="317">
        <v>60.0</v>
      </c>
      <c r="X16" s="321">
        <v>2.0</v>
      </c>
      <c r="Y16" s="317">
        <v>40.0</v>
      </c>
      <c r="Z16" s="322">
        <v>78.53535353535354</v>
      </c>
    </row>
    <row r="17" ht="11.25" customHeight="1">
      <c r="A17" s="283">
        <v>7.0</v>
      </c>
      <c r="B17" s="284" t="s">
        <v>365</v>
      </c>
      <c r="C17" s="285" t="s">
        <v>366</v>
      </c>
      <c r="D17" s="284">
        <v>15.0</v>
      </c>
      <c r="E17" s="315">
        <v>75.0</v>
      </c>
      <c r="F17" s="284">
        <v>14.0</v>
      </c>
      <c r="G17" s="316">
        <v>77.77777777777777</v>
      </c>
      <c r="H17" s="317">
        <v>12.0</v>
      </c>
      <c r="I17" s="317">
        <v>75.0</v>
      </c>
      <c r="J17" s="321">
        <v>12.0</v>
      </c>
      <c r="K17" s="320">
        <v>80.0</v>
      </c>
      <c r="L17" s="321">
        <v>8.0</v>
      </c>
      <c r="M17" s="320">
        <v>66.66666666666666</v>
      </c>
      <c r="N17" s="321">
        <v>6.0</v>
      </c>
      <c r="O17" s="317">
        <v>75.0</v>
      </c>
      <c r="P17" s="318">
        <v>3.0</v>
      </c>
      <c r="Q17" s="319">
        <v>100.0</v>
      </c>
      <c r="R17" s="320">
        <v>3.0</v>
      </c>
      <c r="S17" s="320">
        <v>100.0</v>
      </c>
      <c r="T17" s="321">
        <v>4.0</v>
      </c>
      <c r="U17" s="317">
        <v>100.0</v>
      </c>
      <c r="V17" s="321">
        <v>3.0</v>
      </c>
      <c r="W17" s="317">
        <v>60.0</v>
      </c>
      <c r="X17" s="321">
        <v>5.0</v>
      </c>
      <c r="Y17" s="317">
        <v>100.0</v>
      </c>
      <c r="Z17" s="322">
        <v>82.67676767676768</v>
      </c>
    </row>
    <row r="18" ht="11.25" customHeight="1">
      <c r="A18" s="283">
        <v>9.0</v>
      </c>
      <c r="B18" s="284" t="s">
        <v>367</v>
      </c>
      <c r="C18" s="285" t="s">
        <v>368</v>
      </c>
      <c r="D18" s="284">
        <v>16.0</v>
      </c>
      <c r="E18" s="315">
        <v>80.0</v>
      </c>
      <c r="F18" s="284">
        <v>16.0</v>
      </c>
      <c r="G18" s="316">
        <v>88.88888888888889</v>
      </c>
      <c r="H18" s="317">
        <v>12.0</v>
      </c>
      <c r="I18" s="317">
        <v>75.0</v>
      </c>
      <c r="J18" s="321">
        <v>13.0</v>
      </c>
      <c r="K18" s="320">
        <v>86.66666666666667</v>
      </c>
      <c r="L18" s="321">
        <v>7.0</v>
      </c>
      <c r="M18" s="320">
        <v>58.333333333333336</v>
      </c>
      <c r="N18" s="321">
        <v>6.0</v>
      </c>
      <c r="O18" s="317">
        <v>75.0</v>
      </c>
      <c r="P18" s="318">
        <v>3.0</v>
      </c>
      <c r="Q18" s="319">
        <v>100.0</v>
      </c>
      <c r="R18" s="320">
        <v>3.0</v>
      </c>
      <c r="S18" s="320">
        <v>100.0</v>
      </c>
      <c r="T18" s="321">
        <v>4.0</v>
      </c>
      <c r="U18" s="317">
        <v>100.0</v>
      </c>
      <c r="V18" s="321">
        <v>3.0</v>
      </c>
      <c r="W18" s="317">
        <v>60.0</v>
      </c>
      <c r="X18" s="321">
        <v>4.0</v>
      </c>
      <c r="Y18" s="317">
        <v>80.0</v>
      </c>
      <c r="Z18" s="322">
        <v>82.17171717171718</v>
      </c>
    </row>
    <row r="19" ht="11.25" customHeight="1">
      <c r="A19" s="283">
        <v>10.0</v>
      </c>
      <c r="B19" s="284" t="s">
        <v>369</v>
      </c>
      <c r="C19" s="285" t="s">
        <v>370</v>
      </c>
      <c r="D19" s="284">
        <v>16.0</v>
      </c>
      <c r="E19" s="315">
        <v>80.0</v>
      </c>
      <c r="F19" s="284">
        <v>14.0</v>
      </c>
      <c r="G19" s="316">
        <v>77.77777777777777</v>
      </c>
      <c r="H19" s="317">
        <v>12.0</v>
      </c>
      <c r="I19" s="317">
        <v>75.0</v>
      </c>
      <c r="J19" s="321">
        <v>15.0</v>
      </c>
      <c r="K19" s="320">
        <v>100.0</v>
      </c>
      <c r="L19" s="321">
        <v>8.0</v>
      </c>
      <c r="M19" s="320">
        <v>66.66666666666666</v>
      </c>
      <c r="N19" s="321">
        <v>7.0</v>
      </c>
      <c r="O19" s="317">
        <v>88.0</v>
      </c>
      <c r="P19" s="318">
        <v>3.0</v>
      </c>
      <c r="Q19" s="319">
        <v>100.0</v>
      </c>
      <c r="R19" s="320">
        <v>3.0</v>
      </c>
      <c r="S19" s="320">
        <v>100.0</v>
      </c>
      <c r="T19" s="321">
        <v>3.0</v>
      </c>
      <c r="U19" s="317">
        <v>75.0</v>
      </c>
      <c r="V19" s="321">
        <v>4.0</v>
      </c>
      <c r="W19" s="317">
        <v>80.0</v>
      </c>
      <c r="X19" s="321">
        <v>4.0</v>
      </c>
      <c r="Y19" s="317">
        <v>80.0</v>
      </c>
      <c r="Z19" s="322">
        <v>83.85858585858585</v>
      </c>
    </row>
    <row r="20" ht="11.25" customHeight="1">
      <c r="A20" s="283">
        <v>11.0</v>
      </c>
      <c r="B20" s="284" t="s">
        <v>371</v>
      </c>
      <c r="C20" s="285" t="s">
        <v>372</v>
      </c>
      <c r="D20" s="284">
        <v>16.0</v>
      </c>
      <c r="E20" s="315">
        <v>80.0</v>
      </c>
      <c r="F20" s="284">
        <v>13.0</v>
      </c>
      <c r="G20" s="316">
        <v>72.22222222222223</v>
      </c>
      <c r="H20" s="317">
        <v>12.0</v>
      </c>
      <c r="I20" s="317">
        <v>75.0</v>
      </c>
      <c r="J20" s="321">
        <v>13.0</v>
      </c>
      <c r="K20" s="320">
        <v>86.66666666666667</v>
      </c>
      <c r="L20" s="321">
        <v>7.0</v>
      </c>
      <c r="M20" s="320">
        <v>58.333333333333336</v>
      </c>
      <c r="N20" s="321">
        <v>5.0</v>
      </c>
      <c r="O20" s="317">
        <v>63.0</v>
      </c>
      <c r="P20" s="318">
        <v>3.0</v>
      </c>
      <c r="Q20" s="319">
        <v>100.0</v>
      </c>
      <c r="R20" s="320">
        <v>2.0</v>
      </c>
      <c r="S20" s="320">
        <v>66.66666666666666</v>
      </c>
      <c r="T20" s="321">
        <v>4.0</v>
      </c>
      <c r="U20" s="317">
        <v>100.0</v>
      </c>
      <c r="V20" s="321">
        <v>3.0</v>
      </c>
      <c r="W20" s="317">
        <v>60.0</v>
      </c>
      <c r="X20" s="321">
        <v>4.0</v>
      </c>
      <c r="Y20" s="317">
        <v>80.0</v>
      </c>
      <c r="Z20" s="322">
        <v>76.53535353535352</v>
      </c>
    </row>
    <row r="21" ht="11.25" customHeight="1">
      <c r="A21" s="283">
        <v>12.0</v>
      </c>
      <c r="B21" s="284" t="s">
        <v>373</v>
      </c>
      <c r="C21" s="285" t="s">
        <v>374</v>
      </c>
      <c r="D21" s="284">
        <v>14.0</v>
      </c>
      <c r="E21" s="315">
        <v>70.0</v>
      </c>
      <c r="F21" s="284">
        <v>17.0</v>
      </c>
      <c r="G21" s="316">
        <v>94.44444444444444</v>
      </c>
      <c r="H21" s="317">
        <v>16.0</v>
      </c>
      <c r="I21" s="317">
        <v>100.0</v>
      </c>
      <c r="J21" s="321">
        <v>12.0</v>
      </c>
      <c r="K21" s="320">
        <v>80.0</v>
      </c>
      <c r="L21" s="321">
        <v>6.0</v>
      </c>
      <c r="M21" s="320">
        <v>50.0</v>
      </c>
      <c r="N21" s="321">
        <v>5.0</v>
      </c>
      <c r="O21" s="317">
        <v>63.0</v>
      </c>
      <c r="P21" s="318">
        <v>3.0</v>
      </c>
      <c r="Q21" s="319">
        <v>100.0</v>
      </c>
      <c r="R21" s="320">
        <v>3.0</v>
      </c>
      <c r="S21" s="320">
        <v>100.0</v>
      </c>
      <c r="T21" s="321">
        <v>4.0</v>
      </c>
      <c r="U21" s="317">
        <v>100.0</v>
      </c>
      <c r="V21" s="321">
        <v>3.0</v>
      </c>
      <c r="W21" s="317">
        <v>60.0</v>
      </c>
      <c r="X21" s="321">
        <v>4.0</v>
      </c>
      <c r="Y21" s="317">
        <v>80.0</v>
      </c>
      <c r="Z21" s="322">
        <v>81.58585858585859</v>
      </c>
    </row>
    <row r="22" ht="11.25" customHeight="1">
      <c r="A22" s="283">
        <v>13.0</v>
      </c>
      <c r="B22" s="284" t="s">
        <v>375</v>
      </c>
      <c r="C22" s="285" t="s">
        <v>376</v>
      </c>
      <c r="D22" s="321">
        <v>11.0</v>
      </c>
      <c r="E22" s="317">
        <v>55.00000000000001</v>
      </c>
      <c r="F22" s="321">
        <v>14.0</v>
      </c>
      <c r="G22" s="320">
        <v>77.77777777777777</v>
      </c>
      <c r="H22" s="317">
        <v>12.0</v>
      </c>
      <c r="I22" s="317">
        <v>75.0</v>
      </c>
      <c r="J22" s="321">
        <v>11.0</v>
      </c>
      <c r="K22" s="320">
        <v>73.33333333333334</v>
      </c>
      <c r="L22" s="321">
        <v>7.0</v>
      </c>
      <c r="M22" s="320">
        <v>58.333333333333336</v>
      </c>
      <c r="N22" s="321">
        <v>6.0</v>
      </c>
      <c r="O22" s="317">
        <v>75.0</v>
      </c>
      <c r="P22" s="318">
        <v>3.0</v>
      </c>
      <c r="Q22" s="319">
        <v>100.0</v>
      </c>
      <c r="R22" s="320">
        <v>3.0</v>
      </c>
      <c r="S22" s="320">
        <v>100.0</v>
      </c>
      <c r="T22" s="321">
        <v>3.0</v>
      </c>
      <c r="U22" s="317">
        <v>75.0</v>
      </c>
      <c r="V22" s="321">
        <v>3.0</v>
      </c>
      <c r="W22" s="317">
        <v>60.0</v>
      </c>
      <c r="X22" s="321">
        <v>4.0</v>
      </c>
      <c r="Y22" s="317">
        <v>80.0</v>
      </c>
      <c r="Z22" s="338">
        <v>75.4040404040404</v>
      </c>
    </row>
    <row r="23" ht="11.25" customHeight="1">
      <c r="A23" s="283">
        <v>14.0</v>
      </c>
      <c r="B23" s="284" t="s">
        <v>377</v>
      </c>
      <c r="C23" s="285" t="s">
        <v>378</v>
      </c>
      <c r="D23" s="321">
        <v>17.0</v>
      </c>
      <c r="E23" s="317">
        <v>85.0</v>
      </c>
      <c r="F23" s="321">
        <v>17.0</v>
      </c>
      <c r="G23" s="320">
        <v>94.44444444444444</v>
      </c>
      <c r="H23" s="317">
        <v>16.0</v>
      </c>
      <c r="I23" s="317">
        <v>100.0</v>
      </c>
      <c r="J23" s="321">
        <v>9.0</v>
      </c>
      <c r="K23" s="320">
        <v>60.0</v>
      </c>
      <c r="L23" s="321">
        <v>7.0</v>
      </c>
      <c r="M23" s="320">
        <v>58.333333333333336</v>
      </c>
      <c r="N23" s="321">
        <v>5.0</v>
      </c>
      <c r="O23" s="317">
        <v>63.0</v>
      </c>
      <c r="P23" s="318">
        <v>3.0</v>
      </c>
      <c r="Q23" s="319">
        <v>100.0</v>
      </c>
      <c r="R23" s="320">
        <v>3.0</v>
      </c>
      <c r="S23" s="320">
        <v>100.0</v>
      </c>
      <c r="T23" s="321">
        <v>4.0</v>
      </c>
      <c r="U23" s="317">
        <v>100.0</v>
      </c>
      <c r="V23" s="321">
        <v>3.0</v>
      </c>
      <c r="W23" s="317">
        <v>60.0</v>
      </c>
      <c r="X23" s="321">
        <v>5.0</v>
      </c>
      <c r="Y23" s="317">
        <v>100.0</v>
      </c>
      <c r="Z23" s="338">
        <v>83.70707070707071</v>
      </c>
    </row>
    <row r="24" ht="10.5" customHeight="1">
      <c r="A24" s="339">
        <v>15.0</v>
      </c>
      <c r="B24" s="340" t="s">
        <v>379</v>
      </c>
      <c r="C24" s="341" t="s">
        <v>380</v>
      </c>
      <c r="D24" s="342">
        <v>14.0</v>
      </c>
      <c r="E24" s="343">
        <v>70.0</v>
      </c>
      <c r="F24" s="342">
        <v>16.0</v>
      </c>
      <c r="G24" s="344">
        <v>88.88888888888889</v>
      </c>
      <c r="H24" s="343">
        <v>16.0</v>
      </c>
      <c r="I24" s="343">
        <v>100.0</v>
      </c>
      <c r="J24" s="342">
        <v>10.0</v>
      </c>
      <c r="K24" s="344">
        <v>66.66666666666667</v>
      </c>
      <c r="L24" s="345">
        <v>7.0</v>
      </c>
      <c r="M24" s="344">
        <v>58.333333333333336</v>
      </c>
      <c r="N24" s="342">
        <v>6.0</v>
      </c>
      <c r="O24" s="343">
        <v>75.0</v>
      </c>
      <c r="P24" s="346">
        <v>3.0</v>
      </c>
      <c r="Q24" s="347">
        <v>100.0</v>
      </c>
      <c r="R24" s="344">
        <v>3.0</v>
      </c>
      <c r="S24" s="344">
        <v>100.0</v>
      </c>
      <c r="T24" s="342">
        <v>2.0</v>
      </c>
      <c r="U24" s="343">
        <v>50.0</v>
      </c>
      <c r="V24" s="342">
        <v>3.0</v>
      </c>
      <c r="W24" s="343">
        <v>60.0</v>
      </c>
      <c r="X24" s="342">
        <v>4.0</v>
      </c>
      <c r="Y24" s="343">
        <v>80.0</v>
      </c>
      <c r="Z24" s="348">
        <v>77.17171717171718</v>
      </c>
    </row>
    <row r="25" ht="24.0" customHeight="1">
      <c r="A25" s="295" t="s">
        <v>139</v>
      </c>
      <c r="B25" s="65"/>
      <c r="C25" s="26"/>
      <c r="D25" s="327" t="s">
        <v>318</v>
      </c>
      <c r="E25" s="326"/>
      <c r="F25" s="328" t="s">
        <v>319</v>
      </c>
      <c r="G25" s="326"/>
      <c r="H25" s="329" t="s">
        <v>320</v>
      </c>
      <c r="I25" s="330"/>
      <c r="J25" s="328" t="s">
        <v>321</v>
      </c>
      <c r="K25" s="326"/>
      <c r="L25" s="328" t="s">
        <v>322</v>
      </c>
      <c r="M25" s="326"/>
      <c r="N25" s="328" t="s">
        <v>323</v>
      </c>
      <c r="O25" s="326"/>
      <c r="P25" s="331" t="s">
        <v>324</v>
      </c>
      <c r="Q25" s="326"/>
      <c r="R25" s="328" t="s">
        <v>325</v>
      </c>
      <c r="S25" s="326"/>
      <c r="T25" s="328" t="s">
        <v>318</v>
      </c>
      <c r="U25" s="326"/>
      <c r="V25" s="328" t="s">
        <v>319</v>
      </c>
      <c r="W25" s="253"/>
      <c r="X25" s="328" t="s">
        <v>322</v>
      </c>
      <c r="Y25" s="326"/>
      <c r="Z25" s="332"/>
    </row>
    <row r="26" ht="11.25" customHeight="1">
      <c r="A26" s="11"/>
      <c r="B26" s="78"/>
      <c r="C26" s="70"/>
      <c r="D26" s="71"/>
      <c r="E26" s="71"/>
      <c r="F26" s="11"/>
      <c r="G26" s="11"/>
      <c r="H26" s="73"/>
      <c r="I26" s="73"/>
      <c r="J26" s="11"/>
      <c r="K26" s="74"/>
      <c r="L26" s="11"/>
      <c r="M26" s="74"/>
      <c r="N26" s="11"/>
      <c r="O26" s="74"/>
      <c r="P26" s="11"/>
      <c r="Q26" s="11"/>
      <c r="R26" s="11"/>
      <c r="S26" s="299"/>
      <c r="T26" s="11"/>
      <c r="U26" s="11"/>
      <c r="V26" s="11"/>
      <c r="W26" s="11"/>
      <c r="X26" s="271"/>
      <c r="Y26" s="74"/>
      <c r="Z26" s="300"/>
    </row>
    <row r="27" ht="29.25" customHeight="1">
      <c r="A27" s="78"/>
      <c r="B27" s="74"/>
      <c r="C27" s="78" t="s">
        <v>326</v>
      </c>
      <c r="D27" s="74"/>
      <c r="E27" s="74"/>
      <c r="F27" s="301"/>
      <c r="G27" s="2"/>
      <c r="H27" s="74"/>
      <c r="I27" s="302"/>
      <c r="J27" s="11"/>
      <c r="K27" s="11"/>
      <c r="L27" s="303" t="s">
        <v>327</v>
      </c>
      <c r="Q27" s="301"/>
      <c r="R27" s="301"/>
      <c r="S27" s="304"/>
      <c r="T27" s="301"/>
      <c r="U27" s="7"/>
      <c r="V27" s="303" t="s">
        <v>328</v>
      </c>
    </row>
    <row r="28" ht="11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</row>
    <row r="29" ht="11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 ht="11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 ht="11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 ht="11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 ht="11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 ht="11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 ht="11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 ht="11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 ht="11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 ht="11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 ht="11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 ht="11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ht="11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 ht="11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 ht="11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 ht="11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 ht="11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 ht="11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 ht="11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  <row r="48" ht="11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</row>
    <row r="49" ht="11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 ht="11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</row>
    <row r="51" ht="11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</row>
    <row r="52" ht="11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</row>
    <row r="53" ht="11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 ht="11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ht="11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</row>
    <row r="56" ht="11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</row>
    <row r="57" ht="11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 ht="11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</row>
    <row r="59" ht="11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</row>
    <row r="60" ht="11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</row>
    <row r="61" ht="11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</row>
    <row r="62" ht="11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</row>
    <row r="63" ht="11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 ht="11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 ht="11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</row>
    <row r="66" ht="11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</row>
    <row r="67" ht="11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</row>
    <row r="68" ht="11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 ht="11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</row>
    <row r="70" ht="11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</row>
    <row r="71" ht="11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</row>
    <row r="72" ht="11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</row>
    <row r="73" ht="11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</row>
    <row r="74" ht="11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</row>
    <row r="75" ht="11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 ht="11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 ht="11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 ht="11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 ht="11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 ht="11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 ht="11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 ht="11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 ht="11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 ht="11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 ht="11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 ht="11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 ht="11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 ht="11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 ht="11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 ht="11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 ht="11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 ht="11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 ht="11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 ht="11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 ht="11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 ht="11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 ht="11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 ht="11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 ht="11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 ht="11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 ht="11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 ht="11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 ht="11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 ht="11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 ht="11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 ht="11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 ht="11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 ht="11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 ht="11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 ht="11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 ht="11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 ht="11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 ht="11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 ht="11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 ht="11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 ht="11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 ht="11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 ht="11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 ht="11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 ht="11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 ht="11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 ht="11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 ht="11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 ht="11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 ht="11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 ht="11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 ht="11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 ht="11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 ht="11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  <row r="130" ht="11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</row>
    <row r="131" ht="11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</row>
    <row r="132" ht="11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</row>
    <row r="133" ht="11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</row>
    <row r="134" ht="11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</row>
    <row r="135" ht="11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</row>
    <row r="136" ht="11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</row>
    <row r="137" ht="11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</row>
    <row r="138" ht="11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</row>
    <row r="139" ht="11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</row>
    <row r="140" ht="11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</row>
    <row r="141" ht="11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</row>
    <row r="142" ht="11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</row>
    <row r="143" ht="11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</row>
    <row r="144" ht="11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</row>
    <row r="145" ht="11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</row>
    <row r="146" ht="11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</row>
    <row r="147" ht="11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</row>
    <row r="148" ht="11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</row>
    <row r="149" ht="11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</row>
    <row r="150" ht="11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</row>
    <row r="151" ht="11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:C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F9:F10"/>
    <mergeCell ref="G9:G10"/>
    <mergeCell ref="H9:H10"/>
    <mergeCell ref="I9:I10"/>
    <mergeCell ref="J9:J10"/>
    <mergeCell ref="K9:K10"/>
    <mergeCell ref="U1:Z1"/>
    <mergeCell ref="A2:Z2"/>
    <mergeCell ref="A3:Z3"/>
    <mergeCell ref="A4:Z4"/>
    <mergeCell ref="X5:Z5"/>
    <mergeCell ref="A7:A10"/>
    <mergeCell ref="Z7:Z10"/>
    <mergeCell ref="B7:B10"/>
    <mergeCell ref="D8:E8"/>
    <mergeCell ref="C9:C10"/>
    <mergeCell ref="D9:D10"/>
    <mergeCell ref="E9:E10"/>
    <mergeCell ref="A25:C25"/>
    <mergeCell ref="D25:E25"/>
    <mergeCell ref="T25:U25"/>
    <mergeCell ref="V25:W25"/>
    <mergeCell ref="X25:Y25"/>
    <mergeCell ref="V27:Z27"/>
    <mergeCell ref="F25:G25"/>
    <mergeCell ref="H25:I25"/>
    <mergeCell ref="J25:K25"/>
    <mergeCell ref="L25:M25"/>
    <mergeCell ref="N25:O25"/>
    <mergeCell ref="P25:Q25"/>
    <mergeCell ref="R25:S25"/>
    <mergeCell ref="L27:P27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conditionalFormatting sqref="U24">
    <cfRule type="notContainsBlanks" dxfId="0" priority="1">
      <formula>LEN(TRIM(U24))&gt;0</formula>
    </cfRule>
  </conditionalFormatting>
  <printOptions/>
  <pageMargins bottom="0.75" footer="0.0" header="0.0" left="0.75" right="0.0" top="0.75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1.13"/>
    <col customWidth="1" min="3" max="3" width="26.38"/>
    <col customWidth="1" min="4" max="8" width="3.88"/>
    <col customWidth="1" min="9" max="9" width="4.88"/>
    <col customWidth="1" min="10" max="16" width="3.88"/>
    <col customWidth="1" min="17" max="17" width="4.63"/>
    <col customWidth="1" min="18" max="22" width="3.88"/>
    <col customWidth="1" min="23" max="23" width="4.0"/>
    <col customWidth="1" min="24" max="24" width="3.88"/>
    <col customWidth="1" min="25" max="25" width="4.88"/>
    <col customWidth="1" min="26" max="26" width="5.38"/>
    <col customWidth="1" min="27" max="27" width="7.88"/>
  </cols>
  <sheetData>
    <row r="1" ht="11.25" customHeight="1">
      <c r="A1" s="349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50"/>
      <c r="T1" s="349"/>
      <c r="U1" s="351" t="s">
        <v>290</v>
      </c>
    </row>
    <row r="2" ht="24.0" customHeight="1">
      <c r="A2" s="352" t="s">
        <v>274</v>
      </c>
    </row>
    <row r="3" ht="15.75" customHeight="1">
      <c r="A3" s="303" t="s">
        <v>291</v>
      </c>
    </row>
    <row r="4" ht="18.0" customHeight="1">
      <c r="A4" s="303" t="s">
        <v>292</v>
      </c>
    </row>
    <row r="5" ht="8.25" customHeight="1">
      <c r="A5" s="353"/>
      <c r="B5" s="354" t="s">
        <v>293</v>
      </c>
      <c r="D5" s="353"/>
      <c r="E5" s="353"/>
      <c r="F5" s="353"/>
      <c r="G5" s="353"/>
      <c r="H5" s="353"/>
      <c r="I5" s="353"/>
      <c r="J5" s="353"/>
      <c r="K5" s="355"/>
      <c r="L5" s="353"/>
      <c r="M5" s="353"/>
      <c r="N5" s="356"/>
      <c r="O5" s="356"/>
      <c r="P5" s="356"/>
      <c r="Q5" s="356"/>
      <c r="R5" s="356"/>
      <c r="S5" s="357"/>
      <c r="T5" s="303"/>
      <c r="U5" s="358"/>
      <c r="V5" s="303"/>
      <c r="W5" s="303"/>
      <c r="X5" s="359" t="s">
        <v>294</v>
      </c>
    </row>
    <row r="6" ht="8.25" customHeight="1">
      <c r="A6" s="353"/>
      <c r="B6" s="360" t="s">
        <v>295</v>
      </c>
      <c r="C6" s="353"/>
      <c r="D6" s="356"/>
      <c r="E6" s="353"/>
      <c r="F6" s="353"/>
      <c r="G6" s="353"/>
      <c r="H6" s="353"/>
      <c r="I6" s="353"/>
      <c r="J6" s="353"/>
      <c r="K6" s="355"/>
      <c r="L6" s="360" t="s">
        <v>296</v>
      </c>
      <c r="M6" s="353"/>
      <c r="N6" s="353"/>
      <c r="O6" s="360" t="s">
        <v>297</v>
      </c>
      <c r="P6" s="353"/>
      <c r="Q6" s="353"/>
      <c r="R6" s="353"/>
      <c r="S6" s="357"/>
      <c r="T6" s="303" t="s">
        <v>381</v>
      </c>
      <c r="U6" s="358"/>
      <c r="V6" s="303"/>
      <c r="W6" s="303"/>
      <c r="X6" s="303"/>
      <c r="Y6" s="303"/>
      <c r="Z6" s="303"/>
    </row>
    <row r="7" ht="11.25" customHeight="1">
      <c r="A7" s="361" t="s">
        <v>7</v>
      </c>
      <c r="B7" s="362" t="s">
        <v>8</v>
      </c>
      <c r="C7" s="363" t="s">
        <v>9</v>
      </c>
      <c r="D7" s="295">
        <v>20.0</v>
      </c>
      <c r="E7" s="26"/>
      <c r="F7" s="295">
        <v>18.0</v>
      </c>
      <c r="G7" s="26"/>
      <c r="H7" s="295">
        <v>16.0</v>
      </c>
      <c r="I7" s="26"/>
      <c r="J7" s="295">
        <v>16.0</v>
      </c>
      <c r="K7" s="26"/>
      <c r="L7" s="295">
        <v>12.0</v>
      </c>
      <c r="M7" s="26"/>
      <c r="N7" s="295">
        <v>8.0</v>
      </c>
      <c r="O7" s="26"/>
      <c r="P7" s="277">
        <v>3.0</v>
      </c>
      <c r="Q7" s="26"/>
      <c r="R7" s="295">
        <v>3.0</v>
      </c>
      <c r="S7" s="26"/>
      <c r="T7" s="295" t="s">
        <v>382</v>
      </c>
      <c r="U7" s="26"/>
      <c r="V7" s="295" t="s">
        <v>383</v>
      </c>
      <c r="W7" s="26"/>
      <c r="X7" s="295" t="s">
        <v>384</v>
      </c>
      <c r="Y7" s="26"/>
      <c r="Z7" s="364" t="s">
        <v>10</v>
      </c>
    </row>
    <row r="8" ht="23.25" customHeight="1">
      <c r="A8" s="32"/>
      <c r="B8" s="32"/>
      <c r="C8" s="363" t="s">
        <v>300</v>
      </c>
      <c r="D8" s="365" t="s">
        <v>301</v>
      </c>
      <c r="E8" s="26"/>
      <c r="F8" s="365" t="s">
        <v>302</v>
      </c>
      <c r="G8" s="26"/>
      <c r="H8" s="365" t="s">
        <v>303</v>
      </c>
      <c r="I8" s="26"/>
      <c r="J8" s="365" t="s">
        <v>304</v>
      </c>
      <c r="K8" s="26"/>
      <c r="L8" s="365" t="s">
        <v>305</v>
      </c>
      <c r="M8" s="26"/>
      <c r="N8" s="365" t="s">
        <v>306</v>
      </c>
      <c r="O8" s="26"/>
      <c r="P8" s="277" t="s">
        <v>307</v>
      </c>
      <c r="Q8" s="26"/>
      <c r="R8" s="365" t="s">
        <v>308</v>
      </c>
      <c r="S8" s="26"/>
      <c r="T8" s="365" t="s">
        <v>309</v>
      </c>
      <c r="U8" s="26"/>
      <c r="V8" s="365" t="s">
        <v>310</v>
      </c>
      <c r="W8" s="26"/>
      <c r="X8" s="365" t="s">
        <v>311</v>
      </c>
      <c r="Y8" s="26"/>
      <c r="Z8" s="32"/>
    </row>
    <row r="9" ht="5.25" customHeight="1">
      <c r="A9" s="32"/>
      <c r="B9" s="32"/>
      <c r="C9" s="361" t="s">
        <v>31</v>
      </c>
      <c r="D9" s="362" t="s">
        <v>32</v>
      </c>
      <c r="E9" s="362" t="s">
        <v>33</v>
      </c>
      <c r="F9" s="362" t="s">
        <v>32</v>
      </c>
      <c r="G9" s="362" t="s">
        <v>33</v>
      </c>
      <c r="H9" s="362" t="s">
        <v>32</v>
      </c>
      <c r="I9" s="366" t="s">
        <v>33</v>
      </c>
      <c r="J9" s="362" t="s">
        <v>32</v>
      </c>
      <c r="K9" s="362" t="s">
        <v>33</v>
      </c>
      <c r="L9" s="362" t="s">
        <v>32</v>
      </c>
      <c r="M9" s="362" t="s">
        <v>33</v>
      </c>
      <c r="N9" s="362" t="s">
        <v>32</v>
      </c>
      <c r="O9" s="362" t="s">
        <v>33</v>
      </c>
      <c r="P9" s="362" t="s">
        <v>32</v>
      </c>
      <c r="Q9" s="366" t="s">
        <v>33</v>
      </c>
      <c r="R9" s="366" t="s">
        <v>32</v>
      </c>
      <c r="S9" s="367" t="s">
        <v>33</v>
      </c>
      <c r="T9" s="366" t="s">
        <v>32</v>
      </c>
      <c r="U9" s="368" t="s">
        <v>33</v>
      </c>
      <c r="V9" s="362" t="s">
        <v>32</v>
      </c>
      <c r="W9" s="362" t="s">
        <v>33</v>
      </c>
      <c r="X9" s="362" t="s">
        <v>32</v>
      </c>
      <c r="Y9" s="362" t="s">
        <v>33</v>
      </c>
      <c r="Z9" s="32"/>
    </row>
    <row r="10" ht="8.2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32"/>
    </row>
    <row r="11" ht="9.75" customHeight="1">
      <c r="A11" s="369">
        <v>1.0</v>
      </c>
      <c r="B11" s="370" t="s">
        <v>385</v>
      </c>
      <c r="C11" s="371" t="s">
        <v>386</v>
      </c>
      <c r="D11" s="284">
        <v>19.0</v>
      </c>
      <c r="E11" s="284">
        <v>95.0</v>
      </c>
      <c r="F11" s="284">
        <v>18.0</v>
      </c>
      <c r="G11" s="372">
        <v>100.0</v>
      </c>
      <c r="H11" s="321">
        <v>16.0</v>
      </c>
      <c r="I11" s="321">
        <v>100.0</v>
      </c>
      <c r="J11" s="284">
        <v>14.0</v>
      </c>
      <c r="K11" s="372">
        <v>93.33333333333334</v>
      </c>
      <c r="L11" s="284">
        <v>11.0</v>
      </c>
      <c r="M11" s="372">
        <v>91.66666666666666</v>
      </c>
      <c r="N11" s="284">
        <v>8.0</v>
      </c>
      <c r="O11" s="284">
        <v>100.0</v>
      </c>
      <c r="P11" s="338">
        <v>3.0</v>
      </c>
      <c r="Q11" s="321">
        <v>100.0</v>
      </c>
      <c r="R11" s="373">
        <v>3.0</v>
      </c>
      <c r="S11" s="373">
        <v>100.0</v>
      </c>
      <c r="T11" s="321">
        <v>5.0</v>
      </c>
      <c r="U11" s="321">
        <v>100.0</v>
      </c>
      <c r="V11" s="321">
        <v>4.0</v>
      </c>
      <c r="W11" s="284">
        <v>100.0</v>
      </c>
      <c r="X11" s="321">
        <v>5.0</v>
      </c>
      <c r="Y11" s="284">
        <v>100.0</v>
      </c>
      <c r="Z11" s="338">
        <v>98.18181818181819</v>
      </c>
    </row>
    <row r="12" ht="9.75" customHeight="1">
      <c r="A12" s="369">
        <v>2.0</v>
      </c>
      <c r="B12" s="370" t="s">
        <v>387</v>
      </c>
      <c r="C12" s="371" t="s">
        <v>388</v>
      </c>
      <c r="D12" s="284">
        <v>18.0</v>
      </c>
      <c r="E12" s="284">
        <v>90.0</v>
      </c>
      <c r="F12" s="284">
        <v>18.0</v>
      </c>
      <c r="G12" s="372">
        <v>100.0</v>
      </c>
      <c r="H12" s="321">
        <v>16.0</v>
      </c>
      <c r="I12" s="321">
        <v>100.0</v>
      </c>
      <c r="J12" s="284">
        <v>14.0</v>
      </c>
      <c r="K12" s="372">
        <v>93.33333333333334</v>
      </c>
      <c r="L12" s="284">
        <v>10.0</v>
      </c>
      <c r="M12" s="372">
        <v>83.33333333333334</v>
      </c>
      <c r="N12" s="284">
        <v>7.0</v>
      </c>
      <c r="O12" s="284">
        <v>88.0</v>
      </c>
      <c r="P12" s="338">
        <v>3.0</v>
      </c>
      <c r="Q12" s="321">
        <v>100.0</v>
      </c>
      <c r="R12" s="373">
        <v>3.0</v>
      </c>
      <c r="S12" s="373">
        <v>100.0</v>
      </c>
      <c r="T12" s="321">
        <v>3.0</v>
      </c>
      <c r="U12" s="321">
        <v>60.0</v>
      </c>
      <c r="V12" s="321">
        <v>4.0</v>
      </c>
      <c r="W12" s="284">
        <v>100.0</v>
      </c>
      <c r="X12" s="321">
        <v>5.0</v>
      </c>
      <c r="Y12" s="284">
        <v>100.0</v>
      </c>
      <c r="Z12" s="338">
        <v>92.24242424242425</v>
      </c>
    </row>
    <row r="13" ht="9.75" customHeight="1">
      <c r="A13" s="369">
        <v>3.0</v>
      </c>
      <c r="B13" s="370" t="s">
        <v>389</v>
      </c>
      <c r="C13" s="371" t="s">
        <v>390</v>
      </c>
      <c r="D13" s="284">
        <v>18.0</v>
      </c>
      <c r="E13" s="284">
        <v>90.0</v>
      </c>
      <c r="F13" s="284">
        <v>17.0</v>
      </c>
      <c r="G13" s="372">
        <v>94.44444444444444</v>
      </c>
      <c r="H13" s="321">
        <v>12.0</v>
      </c>
      <c r="I13" s="321">
        <v>75.0</v>
      </c>
      <c r="J13" s="284">
        <v>14.0</v>
      </c>
      <c r="K13" s="372">
        <v>93.33333333333334</v>
      </c>
      <c r="L13" s="284">
        <v>12.0</v>
      </c>
      <c r="M13" s="372">
        <v>100.0</v>
      </c>
      <c r="N13" s="284">
        <v>7.0</v>
      </c>
      <c r="O13" s="284">
        <v>88.0</v>
      </c>
      <c r="P13" s="338">
        <v>2.0</v>
      </c>
      <c r="Q13" s="321">
        <v>67.0</v>
      </c>
      <c r="R13" s="373">
        <v>3.0</v>
      </c>
      <c r="S13" s="373">
        <v>100.0</v>
      </c>
      <c r="T13" s="321">
        <v>5.0</v>
      </c>
      <c r="U13" s="321">
        <v>100.0</v>
      </c>
      <c r="V13" s="321">
        <v>4.0</v>
      </c>
      <c r="W13" s="284">
        <v>100.0</v>
      </c>
      <c r="X13" s="321">
        <v>5.0</v>
      </c>
      <c r="Y13" s="284">
        <v>100.0</v>
      </c>
      <c r="Z13" s="338">
        <v>91.61616161616162</v>
      </c>
    </row>
    <row r="14" ht="9.75" customHeight="1">
      <c r="A14" s="369">
        <v>4.0</v>
      </c>
      <c r="B14" s="370" t="s">
        <v>391</v>
      </c>
      <c r="C14" s="374" t="s">
        <v>392</v>
      </c>
      <c r="D14" s="284">
        <v>19.0</v>
      </c>
      <c r="E14" s="284">
        <v>95.0</v>
      </c>
      <c r="F14" s="284">
        <v>17.0</v>
      </c>
      <c r="G14" s="372">
        <v>94.44444444444444</v>
      </c>
      <c r="H14" s="321">
        <v>16.0</v>
      </c>
      <c r="I14" s="321">
        <v>100.0</v>
      </c>
      <c r="J14" s="284">
        <v>15.0</v>
      </c>
      <c r="K14" s="372">
        <v>100.0</v>
      </c>
      <c r="L14" s="284">
        <v>10.0</v>
      </c>
      <c r="M14" s="372">
        <v>83.33333333333334</v>
      </c>
      <c r="N14" s="284">
        <v>7.0</v>
      </c>
      <c r="O14" s="284">
        <v>88.0</v>
      </c>
      <c r="P14" s="338">
        <v>3.0</v>
      </c>
      <c r="Q14" s="321">
        <v>100.0</v>
      </c>
      <c r="R14" s="373">
        <v>3.0</v>
      </c>
      <c r="S14" s="373">
        <v>100.0</v>
      </c>
      <c r="T14" s="321">
        <v>4.0</v>
      </c>
      <c r="U14" s="321">
        <v>80.0</v>
      </c>
      <c r="V14" s="321">
        <v>4.0</v>
      </c>
      <c r="W14" s="284">
        <v>100.0</v>
      </c>
      <c r="X14" s="321">
        <v>4.0</v>
      </c>
      <c r="Y14" s="284">
        <v>80.0</v>
      </c>
      <c r="Z14" s="338">
        <v>92.7979797979798</v>
      </c>
    </row>
    <row r="15" ht="9.75" customHeight="1">
      <c r="A15" s="369">
        <v>5.0</v>
      </c>
      <c r="B15" s="370" t="s">
        <v>393</v>
      </c>
      <c r="C15" s="371" t="s">
        <v>394</v>
      </c>
      <c r="D15" s="284">
        <v>16.0</v>
      </c>
      <c r="E15" s="284">
        <v>80.0</v>
      </c>
      <c r="F15" s="284">
        <v>16.0</v>
      </c>
      <c r="G15" s="372">
        <v>88.88888888888889</v>
      </c>
      <c r="H15" s="321">
        <v>16.0</v>
      </c>
      <c r="I15" s="321">
        <v>100.0</v>
      </c>
      <c r="J15" s="284">
        <v>13.0</v>
      </c>
      <c r="K15" s="372">
        <v>86.66666666666667</v>
      </c>
      <c r="L15" s="284">
        <v>11.0</v>
      </c>
      <c r="M15" s="372">
        <v>91.66666666666666</v>
      </c>
      <c r="N15" s="284">
        <v>5.0</v>
      </c>
      <c r="O15" s="284">
        <v>63.0</v>
      </c>
      <c r="P15" s="338">
        <v>3.0</v>
      </c>
      <c r="Q15" s="321">
        <v>100.0</v>
      </c>
      <c r="R15" s="373">
        <v>3.0</v>
      </c>
      <c r="S15" s="373">
        <v>100.0</v>
      </c>
      <c r="T15" s="321">
        <v>5.0</v>
      </c>
      <c r="U15" s="321">
        <v>100.0</v>
      </c>
      <c r="V15" s="321">
        <v>4.0</v>
      </c>
      <c r="W15" s="284">
        <v>100.0</v>
      </c>
      <c r="X15" s="321">
        <v>3.0</v>
      </c>
      <c r="Y15" s="284">
        <v>60.0</v>
      </c>
      <c r="Z15" s="338">
        <v>88.20202020202021</v>
      </c>
    </row>
    <row r="16" ht="9.75" customHeight="1">
      <c r="A16" s="369">
        <v>6.0</v>
      </c>
      <c r="B16" s="370" t="s">
        <v>395</v>
      </c>
      <c r="C16" s="371" t="s">
        <v>396</v>
      </c>
      <c r="D16" s="284">
        <v>17.0</v>
      </c>
      <c r="E16" s="284">
        <v>85.0</v>
      </c>
      <c r="F16" s="284">
        <v>15.0</v>
      </c>
      <c r="G16" s="372">
        <v>83.33333333333333</v>
      </c>
      <c r="H16" s="321">
        <v>12.0</v>
      </c>
      <c r="I16" s="321">
        <v>75.0</v>
      </c>
      <c r="J16" s="284">
        <v>15.0</v>
      </c>
      <c r="K16" s="372">
        <v>100.0</v>
      </c>
      <c r="L16" s="284">
        <v>8.0</v>
      </c>
      <c r="M16" s="372">
        <v>66.66666666666666</v>
      </c>
      <c r="N16" s="284">
        <v>7.0</v>
      </c>
      <c r="O16" s="284">
        <v>88.0</v>
      </c>
      <c r="P16" s="338">
        <v>3.0</v>
      </c>
      <c r="Q16" s="321">
        <v>100.0</v>
      </c>
      <c r="R16" s="373">
        <v>3.0</v>
      </c>
      <c r="S16" s="373">
        <v>100.0</v>
      </c>
      <c r="T16" s="321">
        <v>5.0</v>
      </c>
      <c r="U16" s="321">
        <v>100.0</v>
      </c>
      <c r="V16" s="321">
        <v>4.0</v>
      </c>
      <c r="W16" s="284">
        <v>100.0</v>
      </c>
      <c r="X16" s="321">
        <v>3.0</v>
      </c>
      <c r="Y16" s="284">
        <v>60.0</v>
      </c>
      <c r="Z16" s="338">
        <v>87.0909090909091</v>
      </c>
    </row>
    <row r="17" ht="9.75" customHeight="1">
      <c r="A17" s="369">
        <v>7.0</v>
      </c>
      <c r="B17" s="370" t="s">
        <v>397</v>
      </c>
      <c r="C17" s="371" t="s">
        <v>398</v>
      </c>
      <c r="D17" s="284">
        <v>19.0</v>
      </c>
      <c r="E17" s="284">
        <v>95.0</v>
      </c>
      <c r="F17" s="284">
        <v>17.0</v>
      </c>
      <c r="G17" s="372">
        <v>94.44444444444444</v>
      </c>
      <c r="H17" s="321">
        <v>16.0</v>
      </c>
      <c r="I17" s="321">
        <v>100.0</v>
      </c>
      <c r="J17" s="284">
        <v>16.0</v>
      </c>
      <c r="K17" s="372">
        <v>106.66666666666667</v>
      </c>
      <c r="L17" s="284">
        <v>10.0</v>
      </c>
      <c r="M17" s="372">
        <v>83.33333333333334</v>
      </c>
      <c r="N17" s="284">
        <v>7.0</v>
      </c>
      <c r="O17" s="284">
        <v>88.0</v>
      </c>
      <c r="P17" s="338">
        <v>3.0</v>
      </c>
      <c r="Q17" s="321">
        <v>100.0</v>
      </c>
      <c r="R17" s="373">
        <v>3.0</v>
      </c>
      <c r="S17" s="373">
        <v>100.0</v>
      </c>
      <c r="T17" s="321">
        <v>5.0</v>
      </c>
      <c r="U17" s="321">
        <v>100.0</v>
      </c>
      <c r="V17" s="321">
        <v>3.0</v>
      </c>
      <c r="W17" s="284">
        <v>75.0</v>
      </c>
      <c r="X17" s="321">
        <v>3.0</v>
      </c>
      <c r="Y17" s="284">
        <v>60.0</v>
      </c>
      <c r="Z17" s="338">
        <v>91.13131313131314</v>
      </c>
    </row>
    <row r="18" ht="9.75" customHeight="1">
      <c r="A18" s="369">
        <v>8.0</v>
      </c>
      <c r="B18" s="370" t="s">
        <v>399</v>
      </c>
      <c r="C18" s="371" t="s">
        <v>400</v>
      </c>
      <c r="D18" s="284">
        <v>17.0</v>
      </c>
      <c r="E18" s="284">
        <v>85.0</v>
      </c>
      <c r="F18" s="284">
        <v>18.0</v>
      </c>
      <c r="G18" s="372">
        <v>100.0</v>
      </c>
      <c r="H18" s="321">
        <v>16.0</v>
      </c>
      <c r="I18" s="321">
        <v>100.0</v>
      </c>
      <c r="J18" s="284">
        <v>13.0</v>
      </c>
      <c r="K18" s="372">
        <v>86.66666666666667</v>
      </c>
      <c r="L18" s="284">
        <v>8.0</v>
      </c>
      <c r="M18" s="372">
        <v>66.66666666666666</v>
      </c>
      <c r="N18" s="284">
        <v>6.0</v>
      </c>
      <c r="O18" s="284">
        <v>75.0</v>
      </c>
      <c r="P18" s="338">
        <v>3.0</v>
      </c>
      <c r="Q18" s="321">
        <v>100.0</v>
      </c>
      <c r="R18" s="373">
        <v>3.0</v>
      </c>
      <c r="S18" s="373">
        <v>100.0</v>
      </c>
      <c r="T18" s="321">
        <v>5.0</v>
      </c>
      <c r="U18" s="321">
        <v>100.0</v>
      </c>
      <c r="V18" s="321">
        <v>4.0</v>
      </c>
      <c r="W18" s="284">
        <v>100.0</v>
      </c>
      <c r="X18" s="321">
        <v>3.0</v>
      </c>
      <c r="Y18" s="284">
        <v>60.0</v>
      </c>
      <c r="Z18" s="338">
        <v>88.48484848484848</v>
      </c>
    </row>
    <row r="19" ht="9.75" customHeight="1">
      <c r="A19" s="369">
        <v>9.0</v>
      </c>
      <c r="B19" s="370" t="s">
        <v>401</v>
      </c>
      <c r="C19" s="374" t="s">
        <v>402</v>
      </c>
      <c r="D19" s="284">
        <v>16.0</v>
      </c>
      <c r="E19" s="284">
        <v>80.0</v>
      </c>
      <c r="F19" s="284">
        <v>18.0</v>
      </c>
      <c r="G19" s="372">
        <v>100.0</v>
      </c>
      <c r="H19" s="321">
        <v>16.0</v>
      </c>
      <c r="I19" s="321">
        <v>100.0</v>
      </c>
      <c r="J19" s="284">
        <v>13.0</v>
      </c>
      <c r="K19" s="372">
        <v>86.66666666666667</v>
      </c>
      <c r="L19" s="284">
        <v>8.0</v>
      </c>
      <c r="M19" s="372">
        <v>66.66666666666666</v>
      </c>
      <c r="N19" s="284">
        <v>6.0</v>
      </c>
      <c r="O19" s="284">
        <v>75.0</v>
      </c>
      <c r="P19" s="338">
        <v>3.0</v>
      </c>
      <c r="Q19" s="321">
        <v>100.0</v>
      </c>
      <c r="R19" s="373">
        <v>3.0</v>
      </c>
      <c r="S19" s="372">
        <v>100.0</v>
      </c>
      <c r="T19" s="321">
        <v>5.0</v>
      </c>
      <c r="U19" s="284">
        <v>100.0</v>
      </c>
      <c r="V19" s="321">
        <v>4.0</v>
      </c>
      <c r="W19" s="284">
        <v>100.0</v>
      </c>
      <c r="X19" s="321">
        <v>4.0</v>
      </c>
      <c r="Y19" s="284">
        <v>80.0</v>
      </c>
      <c r="Z19" s="338">
        <v>89.84848484848486</v>
      </c>
    </row>
    <row r="20" ht="9.75" customHeight="1">
      <c r="A20" s="369">
        <v>10.0</v>
      </c>
      <c r="B20" s="375" t="s">
        <v>403</v>
      </c>
      <c r="C20" s="371" t="s">
        <v>404</v>
      </c>
      <c r="D20" s="284">
        <v>17.0</v>
      </c>
      <c r="E20" s="284">
        <v>85.0</v>
      </c>
      <c r="F20" s="284">
        <v>18.0</v>
      </c>
      <c r="G20" s="372">
        <v>100.0</v>
      </c>
      <c r="H20" s="321">
        <v>16.0</v>
      </c>
      <c r="I20" s="321">
        <v>100.0</v>
      </c>
      <c r="J20" s="284">
        <v>13.0</v>
      </c>
      <c r="K20" s="372">
        <v>86.66666666666667</v>
      </c>
      <c r="L20" s="284">
        <v>7.0</v>
      </c>
      <c r="M20" s="372">
        <v>58.333333333333336</v>
      </c>
      <c r="N20" s="284">
        <v>6.0</v>
      </c>
      <c r="O20" s="284">
        <v>75.0</v>
      </c>
      <c r="P20" s="338">
        <v>3.0</v>
      </c>
      <c r="Q20" s="321">
        <v>100.0</v>
      </c>
      <c r="R20" s="373">
        <v>3.0</v>
      </c>
      <c r="S20" s="372">
        <v>100.0</v>
      </c>
      <c r="T20" s="321">
        <v>5.0</v>
      </c>
      <c r="U20" s="284">
        <v>100.0</v>
      </c>
      <c r="V20" s="321">
        <v>4.0</v>
      </c>
      <c r="W20" s="284">
        <v>100.0</v>
      </c>
      <c r="X20" s="321">
        <v>3.0</v>
      </c>
      <c r="Y20" s="284">
        <v>60.0</v>
      </c>
      <c r="Z20" s="338">
        <v>87.72727272727273</v>
      </c>
    </row>
    <row r="21" ht="9.75" customHeight="1">
      <c r="A21" s="376">
        <v>11.0</v>
      </c>
      <c r="B21" s="377" t="s">
        <v>405</v>
      </c>
      <c r="C21" s="371" t="s">
        <v>406</v>
      </c>
      <c r="D21" s="284">
        <v>20.0</v>
      </c>
      <c r="E21" s="284">
        <v>100.0</v>
      </c>
      <c r="F21" s="284">
        <v>18.0</v>
      </c>
      <c r="G21" s="372">
        <v>100.0</v>
      </c>
      <c r="H21" s="321">
        <v>16.0</v>
      </c>
      <c r="I21" s="321">
        <v>100.0</v>
      </c>
      <c r="J21" s="321">
        <v>13.0</v>
      </c>
      <c r="K21" s="373">
        <v>86.66666666666667</v>
      </c>
      <c r="L21" s="321">
        <v>12.0</v>
      </c>
      <c r="M21" s="373">
        <v>100.0</v>
      </c>
      <c r="N21" s="321">
        <v>8.0</v>
      </c>
      <c r="O21" s="321">
        <v>100.0</v>
      </c>
      <c r="P21" s="338">
        <v>3.0</v>
      </c>
      <c r="Q21" s="321">
        <v>100.0</v>
      </c>
      <c r="R21" s="373">
        <v>3.0</v>
      </c>
      <c r="S21" s="373">
        <v>100.0</v>
      </c>
      <c r="T21" s="321">
        <v>4.0</v>
      </c>
      <c r="U21" s="321">
        <v>100.0</v>
      </c>
      <c r="V21" s="321">
        <v>5.0</v>
      </c>
      <c r="W21" s="284">
        <v>100.0</v>
      </c>
      <c r="X21" s="321">
        <v>5.0</v>
      </c>
      <c r="Y21" s="284">
        <v>100.0</v>
      </c>
      <c r="Z21" s="338">
        <v>98.7878787878788</v>
      </c>
    </row>
    <row r="22" ht="9.75" customHeight="1">
      <c r="A22" s="376">
        <v>12.0</v>
      </c>
      <c r="B22" s="377" t="s">
        <v>407</v>
      </c>
      <c r="C22" s="374" t="s">
        <v>408</v>
      </c>
      <c r="D22" s="284">
        <v>15.0</v>
      </c>
      <c r="E22" s="284">
        <v>75.0</v>
      </c>
      <c r="F22" s="284">
        <v>17.0</v>
      </c>
      <c r="G22" s="372">
        <v>94.44444444444444</v>
      </c>
      <c r="H22" s="321">
        <v>16.0</v>
      </c>
      <c r="I22" s="321">
        <v>100.0</v>
      </c>
      <c r="J22" s="321">
        <v>12.0</v>
      </c>
      <c r="K22" s="373">
        <v>80.0</v>
      </c>
      <c r="L22" s="321">
        <v>7.0</v>
      </c>
      <c r="M22" s="373">
        <v>58.333333333333336</v>
      </c>
      <c r="N22" s="321">
        <v>6.0</v>
      </c>
      <c r="O22" s="321">
        <v>75.0</v>
      </c>
      <c r="P22" s="338">
        <v>3.0</v>
      </c>
      <c r="Q22" s="321">
        <v>100.0</v>
      </c>
      <c r="R22" s="373">
        <v>3.0</v>
      </c>
      <c r="S22" s="373">
        <v>100.0</v>
      </c>
      <c r="T22" s="321">
        <v>3.0</v>
      </c>
      <c r="U22" s="321">
        <v>75.0</v>
      </c>
      <c r="V22" s="321">
        <v>5.0</v>
      </c>
      <c r="W22" s="284">
        <v>100.0</v>
      </c>
      <c r="X22" s="321">
        <v>4.0</v>
      </c>
      <c r="Y22" s="284">
        <v>80.0</v>
      </c>
      <c r="Z22" s="338">
        <v>85.25252525252526</v>
      </c>
    </row>
    <row r="23" ht="9.75" customHeight="1">
      <c r="A23" s="376">
        <v>13.0</v>
      </c>
      <c r="B23" s="377" t="s">
        <v>409</v>
      </c>
      <c r="C23" s="371" t="s">
        <v>410</v>
      </c>
      <c r="D23" s="284">
        <v>18.0</v>
      </c>
      <c r="E23" s="284">
        <v>90.0</v>
      </c>
      <c r="F23" s="284">
        <v>15.0</v>
      </c>
      <c r="G23" s="372">
        <v>83.33333333333333</v>
      </c>
      <c r="H23" s="321">
        <v>16.0</v>
      </c>
      <c r="I23" s="321">
        <v>100.0</v>
      </c>
      <c r="J23" s="321">
        <v>14.0</v>
      </c>
      <c r="K23" s="373">
        <v>93.33333333333334</v>
      </c>
      <c r="L23" s="321">
        <v>8.0</v>
      </c>
      <c r="M23" s="373">
        <v>66.66666666666666</v>
      </c>
      <c r="N23" s="321">
        <v>7.0</v>
      </c>
      <c r="O23" s="321">
        <v>88.0</v>
      </c>
      <c r="P23" s="338">
        <v>3.0</v>
      </c>
      <c r="Q23" s="321">
        <v>100.0</v>
      </c>
      <c r="R23" s="373">
        <v>3.0</v>
      </c>
      <c r="S23" s="373">
        <v>100.0</v>
      </c>
      <c r="T23" s="321">
        <v>4.0</v>
      </c>
      <c r="U23" s="321">
        <v>100.0</v>
      </c>
      <c r="V23" s="321">
        <v>4.0</v>
      </c>
      <c r="W23" s="284">
        <v>80.0</v>
      </c>
      <c r="X23" s="321">
        <v>4.0</v>
      </c>
      <c r="Y23" s="284">
        <v>80.0</v>
      </c>
      <c r="Z23" s="338">
        <v>89.2121212121212</v>
      </c>
    </row>
    <row r="24" ht="9.75" customHeight="1">
      <c r="A24" s="376">
        <v>14.0</v>
      </c>
      <c r="B24" s="377" t="s">
        <v>411</v>
      </c>
      <c r="C24" s="371" t="s">
        <v>412</v>
      </c>
      <c r="D24" s="284">
        <v>20.0</v>
      </c>
      <c r="E24" s="284">
        <v>100.0</v>
      </c>
      <c r="F24" s="284">
        <v>18.0</v>
      </c>
      <c r="G24" s="372">
        <v>100.0</v>
      </c>
      <c r="H24" s="321">
        <v>16.0</v>
      </c>
      <c r="I24" s="321">
        <v>100.0</v>
      </c>
      <c r="J24" s="321">
        <v>15.0</v>
      </c>
      <c r="K24" s="373">
        <v>100.0</v>
      </c>
      <c r="L24" s="321">
        <v>12.0</v>
      </c>
      <c r="M24" s="373">
        <v>100.0</v>
      </c>
      <c r="N24" s="321">
        <v>8.0</v>
      </c>
      <c r="O24" s="321">
        <v>100.0</v>
      </c>
      <c r="P24" s="338">
        <v>3.0</v>
      </c>
      <c r="Q24" s="321">
        <v>100.0</v>
      </c>
      <c r="R24" s="373">
        <v>3.0</v>
      </c>
      <c r="S24" s="373">
        <v>100.0</v>
      </c>
      <c r="T24" s="321">
        <v>4.0</v>
      </c>
      <c r="U24" s="321">
        <v>100.0</v>
      </c>
      <c r="V24" s="321">
        <v>5.0</v>
      </c>
      <c r="W24" s="284">
        <v>100.0</v>
      </c>
      <c r="X24" s="321">
        <v>5.0</v>
      </c>
      <c r="Y24" s="284">
        <v>100.0</v>
      </c>
      <c r="Z24" s="338">
        <v>100.0</v>
      </c>
    </row>
    <row r="25" ht="9.75" customHeight="1">
      <c r="A25" s="376">
        <v>15.0</v>
      </c>
      <c r="B25" s="377" t="s">
        <v>413</v>
      </c>
      <c r="C25" s="371" t="s">
        <v>414</v>
      </c>
      <c r="D25" s="284">
        <v>15.0</v>
      </c>
      <c r="E25" s="284">
        <v>75.0</v>
      </c>
      <c r="F25" s="284">
        <v>16.0</v>
      </c>
      <c r="G25" s="372">
        <v>88.88888888888889</v>
      </c>
      <c r="H25" s="321">
        <v>12.0</v>
      </c>
      <c r="I25" s="321">
        <v>75.0</v>
      </c>
      <c r="J25" s="321">
        <v>14.0</v>
      </c>
      <c r="K25" s="373">
        <v>93.33333333333334</v>
      </c>
      <c r="L25" s="321">
        <v>9.0</v>
      </c>
      <c r="M25" s="373">
        <v>75.0</v>
      </c>
      <c r="N25" s="321">
        <v>7.0</v>
      </c>
      <c r="O25" s="321">
        <v>88.0</v>
      </c>
      <c r="P25" s="338">
        <v>3.0</v>
      </c>
      <c r="Q25" s="321">
        <v>100.0</v>
      </c>
      <c r="R25" s="373">
        <v>3.0</v>
      </c>
      <c r="S25" s="373">
        <v>100.0</v>
      </c>
      <c r="T25" s="321">
        <v>4.0</v>
      </c>
      <c r="U25" s="321">
        <v>100.0</v>
      </c>
      <c r="V25" s="321">
        <v>5.0</v>
      </c>
      <c r="W25" s="284">
        <v>100.0</v>
      </c>
      <c r="X25" s="321">
        <v>3.0</v>
      </c>
      <c r="Y25" s="284">
        <v>60.0</v>
      </c>
      <c r="Z25" s="338">
        <v>86.83838383838383</v>
      </c>
    </row>
    <row r="26" ht="9.75" customHeight="1">
      <c r="A26" s="376">
        <v>16.0</v>
      </c>
      <c r="B26" s="377" t="s">
        <v>415</v>
      </c>
      <c r="C26" s="371" t="s">
        <v>416</v>
      </c>
      <c r="D26" s="284">
        <v>17.0</v>
      </c>
      <c r="E26" s="284">
        <v>85.0</v>
      </c>
      <c r="F26" s="284">
        <v>18.0</v>
      </c>
      <c r="G26" s="372">
        <v>100.0</v>
      </c>
      <c r="H26" s="321">
        <v>16.0</v>
      </c>
      <c r="I26" s="321">
        <v>100.0</v>
      </c>
      <c r="J26" s="321">
        <v>13.0</v>
      </c>
      <c r="K26" s="373">
        <v>86.66666666666667</v>
      </c>
      <c r="L26" s="321">
        <v>7.0</v>
      </c>
      <c r="M26" s="373">
        <v>58.333333333333336</v>
      </c>
      <c r="N26" s="321">
        <v>6.0</v>
      </c>
      <c r="O26" s="321">
        <v>75.0</v>
      </c>
      <c r="P26" s="338">
        <v>3.0</v>
      </c>
      <c r="Q26" s="321">
        <v>100.0</v>
      </c>
      <c r="R26" s="373">
        <v>3.0</v>
      </c>
      <c r="S26" s="373">
        <v>100.0</v>
      </c>
      <c r="T26" s="321">
        <v>3.0</v>
      </c>
      <c r="U26" s="321">
        <v>75.0</v>
      </c>
      <c r="V26" s="321">
        <v>5.0</v>
      </c>
      <c r="W26" s="284">
        <v>100.0</v>
      </c>
      <c r="X26" s="321">
        <v>4.0</v>
      </c>
      <c r="Y26" s="284">
        <v>80.0</v>
      </c>
      <c r="Z26" s="338">
        <v>87.27272727272727</v>
      </c>
    </row>
    <row r="27" ht="9.75" customHeight="1">
      <c r="A27" s="376">
        <v>17.0</v>
      </c>
      <c r="B27" s="377" t="s">
        <v>417</v>
      </c>
      <c r="C27" s="371" t="s">
        <v>418</v>
      </c>
      <c r="D27" s="284">
        <v>15.0</v>
      </c>
      <c r="E27" s="284">
        <v>75.0</v>
      </c>
      <c r="F27" s="284">
        <v>17.0</v>
      </c>
      <c r="G27" s="372">
        <v>94.44444444444444</v>
      </c>
      <c r="H27" s="321">
        <v>16.0</v>
      </c>
      <c r="I27" s="321">
        <v>100.0</v>
      </c>
      <c r="J27" s="321">
        <v>13.0</v>
      </c>
      <c r="K27" s="373">
        <v>86.66666666666667</v>
      </c>
      <c r="L27" s="321">
        <v>8.0</v>
      </c>
      <c r="M27" s="373">
        <v>66.66666666666666</v>
      </c>
      <c r="N27" s="321">
        <v>6.0</v>
      </c>
      <c r="O27" s="321">
        <v>75.0</v>
      </c>
      <c r="P27" s="338">
        <v>3.0</v>
      </c>
      <c r="Q27" s="321">
        <v>100.0</v>
      </c>
      <c r="R27" s="373">
        <v>3.0</v>
      </c>
      <c r="S27" s="373">
        <v>100.0</v>
      </c>
      <c r="T27" s="321">
        <v>3.0</v>
      </c>
      <c r="U27" s="321">
        <v>75.0</v>
      </c>
      <c r="V27" s="321">
        <v>5.0</v>
      </c>
      <c r="W27" s="284">
        <v>100.0</v>
      </c>
      <c r="X27" s="321">
        <v>4.0</v>
      </c>
      <c r="Y27" s="284">
        <v>80.0</v>
      </c>
      <c r="Z27" s="338">
        <v>86.61616161616162</v>
      </c>
    </row>
    <row r="28" ht="9.75" customHeight="1">
      <c r="A28" s="376">
        <v>18.0</v>
      </c>
      <c r="B28" s="377" t="s">
        <v>419</v>
      </c>
      <c r="C28" s="371" t="s">
        <v>420</v>
      </c>
      <c r="D28" s="284">
        <v>18.0</v>
      </c>
      <c r="E28" s="284">
        <v>90.0</v>
      </c>
      <c r="F28" s="284">
        <v>17.0</v>
      </c>
      <c r="G28" s="372">
        <v>94.44444444444444</v>
      </c>
      <c r="H28" s="321">
        <v>16.0</v>
      </c>
      <c r="I28" s="321">
        <v>100.0</v>
      </c>
      <c r="J28" s="321">
        <v>15.0</v>
      </c>
      <c r="K28" s="373">
        <v>100.0</v>
      </c>
      <c r="L28" s="321">
        <v>10.0</v>
      </c>
      <c r="M28" s="373">
        <v>83.33333333333334</v>
      </c>
      <c r="N28" s="321">
        <v>7.0</v>
      </c>
      <c r="O28" s="321">
        <v>88.0</v>
      </c>
      <c r="P28" s="338">
        <v>3.0</v>
      </c>
      <c r="Q28" s="321">
        <v>100.0</v>
      </c>
      <c r="R28" s="373">
        <v>3.0</v>
      </c>
      <c r="S28" s="373">
        <v>100.0</v>
      </c>
      <c r="T28" s="321">
        <v>4.0</v>
      </c>
      <c r="U28" s="321">
        <v>100.0</v>
      </c>
      <c r="V28" s="321">
        <v>5.0</v>
      </c>
      <c r="W28" s="321">
        <v>100.0</v>
      </c>
      <c r="X28" s="321">
        <v>5.0</v>
      </c>
      <c r="Y28" s="321">
        <v>100.0</v>
      </c>
      <c r="Z28" s="338">
        <v>95.97979797979798</v>
      </c>
    </row>
    <row r="29" ht="9.75" customHeight="1">
      <c r="A29" s="378">
        <v>19.0</v>
      </c>
      <c r="B29" s="379" t="s">
        <v>421</v>
      </c>
      <c r="C29" s="380" t="s">
        <v>422</v>
      </c>
      <c r="D29" s="284">
        <v>18.0</v>
      </c>
      <c r="E29" s="284">
        <v>90.0</v>
      </c>
      <c r="F29" s="284">
        <v>16.0</v>
      </c>
      <c r="G29" s="372">
        <v>88.88888888888889</v>
      </c>
      <c r="H29" s="321">
        <v>16.0</v>
      </c>
      <c r="I29" s="321">
        <v>100.0</v>
      </c>
      <c r="J29" s="321">
        <v>14.0</v>
      </c>
      <c r="K29" s="373">
        <v>93.33333333333334</v>
      </c>
      <c r="L29" s="321">
        <v>9.0</v>
      </c>
      <c r="M29" s="373">
        <v>75.0</v>
      </c>
      <c r="N29" s="321">
        <v>7.0</v>
      </c>
      <c r="O29" s="321">
        <v>88.0</v>
      </c>
      <c r="P29" s="338">
        <v>3.0</v>
      </c>
      <c r="Q29" s="321">
        <v>100.0</v>
      </c>
      <c r="R29" s="373">
        <v>3.0</v>
      </c>
      <c r="S29" s="373">
        <v>100.0</v>
      </c>
      <c r="T29" s="321">
        <v>4.0</v>
      </c>
      <c r="U29" s="321">
        <v>100.0</v>
      </c>
      <c r="V29" s="321">
        <v>5.0</v>
      </c>
      <c r="W29" s="321">
        <v>100.0</v>
      </c>
      <c r="X29" s="321">
        <v>4.0</v>
      </c>
      <c r="Y29" s="321">
        <v>80.0</v>
      </c>
      <c r="Z29" s="338">
        <v>92.2929292929293</v>
      </c>
    </row>
    <row r="30" ht="9.75" customHeight="1">
      <c r="A30" s="369">
        <v>20.0</v>
      </c>
      <c r="B30" s="370" t="s">
        <v>423</v>
      </c>
      <c r="C30" s="371" t="s">
        <v>424</v>
      </c>
      <c r="D30" s="284">
        <v>17.0</v>
      </c>
      <c r="E30" s="284">
        <v>85.0</v>
      </c>
      <c r="F30" s="284">
        <v>16.0</v>
      </c>
      <c r="G30" s="372">
        <v>88.88888888888889</v>
      </c>
      <c r="H30" s="321">
        <v>16.0</v>
      </c>
      <c r="I30" s="321">
        <v>100.0</v>
      </c>
      <c r="J30" s="321">
        <v>15.0</v>
      </c>
      <c r="K30" s="373">
        <v>100.0</v>
      </c>
      <c r="L30" s="321">
        <v>9.0</v>
      </c>
      <c r="M30" s="373">
        <v>75.0</v>
      </c>
      <c r="N30" s="321">
        <v>7.0</v>
      </c>
      <c r="O30" s="321">
        <v>88.0</v>
      </c>
      <c r="P30" s="338">
        <v>3.0</v>
      </c>
      <c r="Q30" s="321">
        <v>100.0</v>
      </c>
      <c r="R30" s="373">
        <v>3.0</v>
      </c>
      <c r="S30" s="373">
        <v>100.0</v>
      </c>
      <c r="T30" s="321">
        <v>4.0</v>
      </c>
      <c r="U30" s="321">
        <v>100.0</v>
      </c>
      <c r="V30" s="321">
        <v>5.0</v>
      </c>
      <c r="W30" s="321">
        <v>100.0</v>
      </c>
      <c r="X30" s="321">
        <v>4.0</v>
      </c>
      <c r="Y30" s="321">
        <v>80.0</v>
      </c>
      <c r="Z30" s="338">
        <v>92.44444444444444</v>
      </c>
    </row>
    <row r="31" ht="9.75" customHeight="1">
      <c r="A31" s="369">
        <v>21.0</v>
      </c>
      <c r="B31" s="370" t="s">
        <v>425</v>
      </c>
      <c r="C31" s="371" t="s">
        <v>426</v>
      </c>
      <c r="D31" s="284">
        <v>16.0</v>
      </c>
      <c r="E31" s="284">
        <v>80.0</v>
      </c>
      <c r="F31" s="284">
        <v>14.0</v>
      </c>
      <c r="G31" s="372">
        <v>77.77777777777777</v>
      </c>
      <c r="H31" s="321">
        <v>16.0</v>
      </c>
      <c r="I31" s="321">
        <v>100.0</v>
      </c>
      <c r="J31" s="321">
        <v>12.0</v>
      </c>
      <c r="K31" s="373">
        <v>80.0</v>
      </c>
      <c r="L31" s="321">
        <v>9.0</v>
      </c>
      <c r="M31" s="373">
        <v>75.0</v>
      </c>
      <c r="N31" s="321">
        <v>7.0</v>
      </c>
      <c r="O31" s="321">
        <v>88.0</v>
      </c>
      <c r="P31" s="338">
        <v>3.0</v>
      </c>
      <c r="Q31" s="321">
        <v>100.0</v>
      </c>
      <c r="R31" s="373">
        <v>3.0</v>
      </c>
      <c r="S31" s="373">
        <v>100.0</v>
      </c>
      <c r="T31" s="321">
        <v>4.0</v>
      </c>
      <c r="U31" s="321">
        <v>100.0</v>
      </c>
      <c r="V31" s="321">
        <v>4.0</v>
      </c>
      <c r="W31" s="321">
        <v>80.0</v>
      </c>
      <c r="X31" s="321">
        <v>4.0</v>
      </c>
      <c r="Y31" s="321">
        <v>80.0</v>
      </c>
      <c r="Z31" s="338">
        <v>87.34343434343435</v>
      </c>
    </row>
    <row r="32" ht="9.75" customHeight="1">
      <c r="A32" s="369">
        <v>22.0</v>
      </c>
      <c r="B32" s="370" t="s">
        <v>427</v>
      </c>
      <c r="C32" s="374" t="s">
        <v>428</v>
      </c>
      <c r="D32" s="284">
        <v>17.0</v>
      </c>
      <c r="E32" s="284">
        <v>85.0</v>
      </c>
      <c r="F32" s="284">
        <v>17.0</v>
      </c>
      <c r="G32" s="372">
        <v>94.44444444444444</v>
      </c>
      <c r="H32" s="321">
        <v>16.0</v>
      </c>
      <c r="I32" s="321">
        <v>100.0</v>
      </c>
      <c r="J32" s="321">
        <v>16.0</v>
      </c>
      <c r="K32" s="373">
        <v>106.66666666666667</v>
      </c>
      <c r="L32" s="321">
        <v>10.0</v>
      </c>
      <c r="M32" s="373">
        <v>83.33333333333334</v>
      </c>
      <c r="N32" s="321">
        <v>7.0</v>
      </c>
      <c r="O32" s="321">
        <v>88.0</v>
      </c>
      <c r="P32" s="338">
        <v>3.0</v>
      </c>
      <c r="Q32" s="321">
        <v>100.0</v>
      </c>
      <c r="R32" s="373">
        <v>3.0</v>
      </c>
      <c r="S32" s="373">
        <v>100.0</v>
      </c>
      <c r="T32" s="321">
        <v>4.0</v>
      </c>
      <c r="U32" s="321">
        <v>100.0</v>
      </c>
      <c r="V32" s="321">
        <v>4.0</v>
      </c>
      <c r="W32" s="321">
        <v>80.0</v>
      </c>
      <c r="X32" s="321">
        <v>4.0</v>
      </c>
      <c r="Y32" s="321">
        <v>80.0</v>
      </c>
      <c r="Z32" s="338">
        <v>92.4949494949495</v>
      </c>
    </row>
    <row r="33" ht="9.75" customHeight="1">
      <c r="A33" s="369">
        <v>23.0</v>
      </c>
      <c r="B33" s="370" t="s">
        <v>429</v>
      </c>
      <c r="C33" s="371" t="s">
        <v>430</v>
      </c>
      <c r="D33" s="284">
        <v>17.0</v>
      </c>
      <c r="E33" s="284">
        <v>85.0</v>
      </c>
      <c r="F33" s="284">
        <v>15.0</v>
      </c>
      <c r="G33" s="372">
        <v>83.33333333333333</v>
      </c>
      <c r="H33" s="321">
        <v>16.0</v>
      </c>
      <c r="I33" s="321">
        <v>100.0</v>
      </c>
      <c r="J33" s="321">
        <v>13.0</v>
      </c>
      <c r="K33" s="373">
        <v>86.66666666666667</v>
      </c>
      <c r="L33" s="321">
        <v>9.0</v>
      </c>
      <c r="M33" s="373">
        <v>75.0</v>
      </c>
      <c r="N33" s="321">
        <v>7.0</v>
      </c>
      <c r="O33" s="321">
        <v>88.0</v>
      </c>
      <c r="P33" s="338">
        <v>3.0</v>
      </c>
      <c r="Q33" s="321">
        <v>100.0</v>
      </c>
      <c r="R33" s="373">
        <v>3.0</v>
      </c>
      <c r="S33" s="373">
        <v>100.0</v>
      </c>
      <c r="T33" s="321">
        <v>4.0</v>
      </c>
      <c r="U33" s="321">
        <v>100.0</v>
      </c>
      <c r="V33" s="321">
        <v>4.0</v>
      </c>
      <c r="W33" s="321">
        <v>80.0</v>
      </c>
      <c r="X33" s="321">
        <v>3.0</v>
      </c>
      <c r="Y33" s="321">
        <v>60.0</v>
      </c>
      <c r="Z33" s="338">
        <v>87.0909090909091</v>
      </c>
    </row>
    <row r="34" ht="9.75" customHeight="1">
      <c r="A34" s="369">
        <v>24.0</v>
      </c>
      <c r="B34" s="370" t="s">
        <v>431</v>
      </c>
      <c r="C34" s="371" t="s">
        <v>432</v>
      </c>
      <c r="D34" s="284">
        <v>15.0</v>
      </c>
      <c r="E34" s="284">
        <v>75.0</v>
      </c>
      <c r="F34" s="284">
        <v>16.0</v>
      </c>
      <c r="G34" s="372">
        <v>88.88888888888889</v>
      </c>
      <c r="H34" s="321">
        <v>16.0</v>
      </c>
      <c r="I34" s="321">
        <v>100.0</v>
      </c>
      <c r="J34" s="321">
        <v>14.0</v>
      </c>
      <c r="K34" s="373">
        <v>93.33333333333334</v>
      </c>
      <c r="L34" s="321">
        <v>9.0</v>
      </c>
      <c r="M34" s="373">
        <v>75.0</v>
      </c>
      <c r="N34" s="321">
        <v>7.0</v>
      </c>
      <c r="O34" s="321">
        <v>88.0</v>
      </c>
      <c r="P34" s="338">
        <v>3.0</v>
      </c>
      <c r="Q34" s="321">
        <v>100.0</v>
      </c>
      <c r="R34" s="373">
        <v>3.0</v>
      </c>
      <c r="S34" s="373">
        <v>100.0</v>
      </c>
      <c r="T34" s="321">
        <v>4.0</v>
      </c>
      <c r="U34" s="321">
        <v>100.0</v>
      </c>
      <c r="V34" s="321">
        <v>5.0</v>
      </c>
      <c r="W34" s="321">
        <v>100.0</v>
      </c>
      <c r="X34" s="321">
        <v>4.0</v>
      </c>
      <c r="Y34" s="321">
        <v>80.0</v>
      </c>
      <c r="Z34" s="338">
        <v>90.92929292929294</v>
      </c>
    </row>
    <row r="35" ht="9.75" customHeight="1">
      <c r="A35" s="369">
        <v>25.0</v>
      </c>
      <c r="B35" s="370" t="s">
        <v>433</v>
      </c>
      <c r="C35" s="371" t="s">
        <v>434</v>
      </c>
      <c r="D35" s="284">
        <v>19.0</v>
      </c>
      <c r="E35" s="284">
        <v>95.0</v>
      </c>
      <c r="F35" s="284">
        <v>17.0</v>
      </c>
      <c r="G35" s="372">
        <v>94.44444444444444</v>
      </c>
      <c r="H35" s="321">
        <v>16.0</v>
      </c>
      <c r="I35" s="321">
        <v>100.0</v>
      </c>
      <c r="J35" s="321">
        <v>16.0</v>
      </c>
      <c r="K35" s="373">
        <v>106.66666666666667</v>
      </c>
      <c r="L35" s="321">
        <v>10.0</v>
      </c>
      <c r="M35" s="373">
        <v>83.33333333333334</v>
      </c>
      <c r="N35" s="321">
        <v>7.0</v>
      </c>
      <c r="O35" s="321">
        <v>88.0</v>
      </c>
      <c r="P35" s="338">
        <v>3.0</v>
      </c>
      <c r="Q35" s="321">
        <v>100.0</v>
      </c>
      <c r="R35" s="373">
        <v>3.0</v>
      </c>
      <c r="S35" s="373">
        <v>100.0</v>
      </c>
      <c r="T35" s="321">
        <v>4.0</v>
      </c>
      <c r="U35" s="321">
        <v>100.0</v>
      </c>
      <c r="V35" s="321">
        <v>4.0</v>
      </c>
      <c r="W35" s="321">
        <v>80.0</v>
      </c>
      <c r="X35" s="321">
        <v>5.0</v>
      </c>
      <c r="Y35" s="321">
        <v>100.0</v>
      </c>
      <c r="Z35" s="338">
        <v>95.22222222222221</v>
      </c>
    </row>
    <row r="36" ht="9.75" customHeight="1">
      <c r="A36" s="369">
        <v>26.0</v>
      </c>
      <c r="B36" s="370" t="s">
        <v>435</v>
      </c>
      <c r="C36" s="371" t="s">
        <v>436</v>
      </c>
      <c r="D36" s="284">
        <v>19.0</v>
      </c>
      <c r="E36" s="284">
        <v>95.0</v>
      </c>
      <c r="F36" s="284">
        <v>17.0</v>
      </c>
      <c r="G36" s="372">
        <v>94.44444444444444</v>
      </c>
      <c r="H36" s="321">
        <v>16.0</v>
      </c>
      <c r="I36" s="321">
        <v>100.0</v>
      </c>
      <c r="J36" s="321">
        <v>13.0</v>
      </c>
      <c r="K36" s="373">
        <v>86.66666666666667</v>
      </c>
      <c r="L36" s="321">
        <v>10.0</v>
      </c>
      <c r="M36" s="373">
        <v>83.33333333333334</v>
      </c>
      <c r="N36" s="321">
        <v>8.0</v>
      </c>
      <c r="O36" s="321">
        <v>100.0</v>
      </c>
      <c r="P36" s="338">
        <v>3.0</v>
      </c>
      <c r="Q36" s="321">
        <v>100.0</v>
      </c>
      <c r="R36" s="373">
        <v>3.0</v>
      </c>
      <c r="S36" s="373">
        <v>100.0</v>
      </c>
      <c r="T36" s="321">
        <v>4.0</v>
      </c>
      <c r="U36" s="321">
        <v>100.0</v>
      </c>
      <c r="V36" s="321">
        <v>5.0</v>
      </c>
      <c r="W36" s="321">
        <v>100.0</v>
      </c>
      <c r="X36" s="321">
        <v>4.0</v>
      </c>
      <c r="Y36" s="321">
        <v>80.0</v>
      </c>
      <c r="Z36" s="338">
        <v>94.49494949494948</v>
      </c>
    </row>
    <row r="37" ht="9.75" customHeight="1">
      <c r="A37" s="369">
        <v>27.0</v>
      </c>
      <c r="B37" s="370" t="s">
        <v>437</v>
      </c>
      <c r="C37" s="374" t="s">
        <v>438</v>
      </c>
      <c r="D37" s="284">
        <v>19.0</v>
      </c>
      <c r="E37" s="284">
        <v>95.0</v>
      </c>
      <c r="F37" s="284">
        <v>17.0</v>
      </c>
      <c r="G37" s="372">
        <v>94.44444444444444</v>
      </c>
      <c r="H37" s="321">
        <v>16.0</v>
      </c>
      <c r="I37" s="321">
        <v>100.0</v>
      </c>
      <c r="J37" s="321">
        <v>15.0</v>
      </c>
      <c r="K37" s="373">
        <v>100.0</v>
      </c>
      <c r="L37" s="321">
        <v>10.0</v>
      </c>
      <c r="M37" s="373">
        <v>83.33333333333334</v>
      </c>
      <c r="N37" s="321">
        <v>6.0</v>
      </c>
      <c r="O37" s="321">
        <v>75.0</v>
      </c>
      <c r="P37" s="338">
        <v>3.0</v>
      </c>
      <c r="Q37" s="321">
        <v>100.0</v>
      </c>
      <c r="R37" s="373">
        <v>3.0</v>
      </c>
      <c r="S37" s="373">
        <v>100.0</v>
      </c>
      <c r="T37" s="321">
        <v>4.0</v>
      </c>
      <c r="U37" s="321">
        <v>100.0</v>
      </c>
      <c r="V37" s="321">
        <v>4.0</v>
      </c>
      <c r="W37" s="321">
        <v>80.0</v>
      </c>
      <c r="X37" s="321">
        <v>5.0</v>
      </c>
      <c r="Y37" s="321">
        <v>100.0</v>
      </c>
      <c r="Z37" s="338">
        <v>93.43434343434343</v>
      </c>
    </row>
    <row r="38" ht="9.75" customHeight="1">
      <c r="A38" s="369">
        <v>28.0</v>
      </c>
      <c r="B38" s="370" t="s">
        <v>439</v>
      </c>
      <c r="C38" s="371" t="s">
        <v>440</v>
      </c>
      <c r="D38" s="284">
        <v>19.0</v>
      </c>
      <c r="E38" s="284">
        <v>95.0</v>
      </c>
      <c r="F38" s="284">
        <v>17.0</v>
      </c>
      <c r="G38" s="372">
        <v>94.44444444444444</v>
      </c>
      <c r="H38" s="321">
        <v>16.0</v>
      </c>
      <c r="I38" s="321">
        <v>100.0</v>
      </c>
      <c r="J38" s="321">
        <v>15.0</v>
      </c>
      <c r="K38" s="373">
        <v>100.0</v>
      </c>
      <c r="L38" s="321">
        <v>12.0</v>
      </c>
      <c r="M38" s="373">
        <v>100.0</v>
      </c>
      <c r="N38" s="321">
        <v>8.0</v>
      </c>
      <c r="O38" s="321">
        <v>100.0</v>
      </c>
      <c r="P38" s="338">
        <v>3.0</v>
      </c>
      <c r="Q38" s="321">
        <v>100.0</v>
      </c>
      <c r="R38" s="373">
        <v>3.0</v>
      </c>
      <c r="S38" s="373">
        <v>100.0</v>
      </c>
      <c r="T38" s="321">
        <v>4.0</v>
      </c>
      <c r="U38" s="321">
        <v>100.0</v>
      </c>
      <c r="V38" s="321">
        <v>5.0</v>
      </c>
      <c r="W38" s="321">
        <v>100.0</v>
      </c>
      <c r="X38" s="321">
        <v>5.0</v>
      </c>
      <c r="Y38" s="321">
        <v>100.0</v>
      </c>
      <c r="Z38" s="338">
        <v>99.04040404040403</v>
      </c>
    </row>
    <row r="39" ht="9.75" customHeight="1">
      <c r="A39" s="369">
        <v>29.0</v>
      </c>
      <c r="B39" s="370" t="s">
        <v>441</v>
      </c>
      <c r="C39" s="374" t="s">
        <v>442</v>
      </c>
      <c r="D39" s="284">
        <v>17.0</v>
      </c>
      <c r="E39" s="284">
        <v>85.0</v>
      </c>
      <c r="F39" s="284">
        <v>17.0</v>
      </c>
      <c r="G39" s="372">
        <v>94.44444444444444</v>
      </c>
      <c r="H39" s="321">
        <v>12.0</v>
      </c>
      <c r="I39" s="321">
        <v>75.0</v>
      </c>
      <c r="J39" s="321">
        <v>15.0</v>
      </c>
      <c r="K39" s="373">
        <v>100.0</v>
      </c>
      <c r="L39" s="321">
        <v>10.0</v>
      </c>
      <c r="M39" s="373">
        <v>83.33333333333334</v>
      </c>
      <c r="N39" s="321">
        <v>6.0</v>
      </c>
      <c r="O39" s="321">
        <v>75.0</v>
      </c>
      <c r="P39" s="338">
        <v>3.0</v>
      </c>
      <c r="Q39" s="321">
        <v>100.0</v>
      </c>
      <c r="R39" s="373">
        <v>3.0</v>
      </c>
      <c r="S39" s="373">
        <v>100.0</v>
      </c>
      <c r="T39" s="321">
        <v>4.0</v>
      </c>
      <c r="U39" s="321">
        <v>100.0</v>
      </c>
      <c r="V39" s="321">
        <v>4.0</v>
      </c>
      <c r="W39" s="321">
        <v>80.0</v>
      </c>
      <c r="X39" s="321">
        <v>5.0</v>
      </c>
      <c r="Y39" s="321">
        <v>100.0</v>
      </c>
      <c r="Z39" s="338">
        <v>90.25252525252526</v>
      </c>
    </row>
    <row r="40" ht="9.75" customHeight="1">
      <c r="A40" s="369">
        <v>30.0</v>
      </c>
      <c r="B40" s="370" t="s">
        <v>443</v>
      </c>
      <c r="C40" s="371" t="s">
        <v>444</v>
      </c>
      <c r="D40" s="284">
        <v>19.0</v>
      </c>
      <c r="E40" s="284">
        <v>95.0</v>
      </c>
      <c r="F40" s="284">
        <v>17.0</v>
      </c>
      <c r="G40" s="372">
        <v>94.44444444444444</v>
      </c>
      <c r="H40" s="321">
        <v>16.0</v>
      </c>
      <c r="I40" s="321">
        <v>100.0</v>
      </c>
      <c r="J40" s="321">
        <v>15.0</v>
      </c>
      <c r="K40" s="373">
        <v>100.0</v>
      </c>
      <c r="L40" s="321">
        <v>11.0</v>
      </c>
      <c r="M40" s="373">
        <v>91.66666666666666</v>
      </c>
      <c r="N40" s="321">
        <v>8.0</v>
      </c>
      <c r="O40" s="321">
        <v>100.0</v>
      </c>
      <c r="P40" s="338">
        <v>3.0</v>
      </c>
      <c r="Q40" s="321">
        <v>100.0</v>
      </c>
      <c r="R40" s="373">
        <v>3.0</v>
      </c>
      <c r="S40" s="373">
        <v>100.0</v>
      </c>
      <c r="T40" s="321">
        <v>4.0</v>
      </c>
      <c r="U40" s="321">
        <v>100.0</v>
      </c>
      <c r="V40" s="321">
        <v>5.0</v>
      </c>
      <c r="W40" s="321">
        <v>100.0</v>
      </c>
      <c r="X40" s="321">
        <v>4.0</v>
      </c>
      <c r="Y40" s="321">
        <v>80.0</v>
      </c>
      <c r="Z40" s="338">
        <v>96.46464646464646</v>
      </c>
    </row>
    <row r="41" ht="9.75" customHeight="1">
      <c r="A41" s="369">
        <v>31.0</v>
      </c>
      <c r="B41" s="370" t="s">
        <v>445</v>
      </c>
      <c r="C41" s="371" t="s">
        <v>446</v>
      </c>
      <c r="D41" s="284">
        <v>20.0</v>
      </c>
      <c r="E41" s="284">
        <v>100.0</v>
      </c>
      <c r="F41" s="284">
        <v>18.0</v>
      </c>
      <c r="G41" s="372">
        <v>100.0</v>
      </c>
      <c r="H41" s="321">
        <v>16.0</v>
      </c>
      <c r="I41" s="321">
        <v>100.0</v>
      </c>
      <c r="J41" s="321">
        <v>13.0</v>
      </c>
      <c r="K41" s="373">
        <v>86.66666666666667</v>
      </c>
      <c r="L41" s="321">
        <v>12.0</v>
      </c>
      <c r="M41" s="373">
        <v>100.0</v>
      </c>
      <c r="N41" s="321">
        <v>8.0</v>
      </c>
      <c r="O41" s="321">
        <v>100.0</v>
      </c>
      <c r="P41" s="338">
        <v>3.0</v>
      </c>
      <c r="Q41" s="321">
        <v>100.0</v>
      </c>
      <c r="R41" s="373">
        <v>3.0</v>
      </c>
      <c r="S41" s="373">
        <v>100.0</v>
      </c>
      <c r="T41" s="321">
        <v>4.0</v>
      </c>
      <c r="U41" s="321">
        <v>100.0</v>
      </c>
      <c r="V41" s="321">
        <v>5.0</v>
      </c>
      <c r="W41" s="321">
        <v>100.0</v>
      </c>
      <c r="X41" s="321">
        <v>5.0</v>
      </c>
      <c r="Y41" s="321">
        <v>100.0</v>
      </c>
      <c r="Z41" s="338">
        <v>98.7878787878788</v>
      </c>
    </row>
    <row r="42" ht="9.75" customHeight="1">
      <c r="A42" s="369">
        <v>32.0</v>
      </c>
      <c r="B42" s="370" t="s">
        <v>447</v>
      </c>
      <c r="C42" s="371" t="s">
        <v>448</v>
      </c>
      <c r="D42" s="284">
        <v>16.0</v>
      </c>
      <c r="E42" s="284">
        <v>80.0</v>
      </c>
      <c r="F42" s="284">
        <v>15.0</v>
      </c>
      <c r="G42" s="372">
        <v>83.33333333333333</v>
      </c>
      <c r="H42" s="321">
        <v>16.0</v>
      </c>
      <c r="I42" s="321">
        <v>100.0</v>
      </c>
      <c r="J42" s="321">
        <v>10.0</v>
      </c>
      <c r="K42" s="373">
        <v>66.66666666666667</v>
      </c>
      <c r="L42" s="321">
        <v>9.0</v>
      </c>
      <c r="M42" s="373">
        <v>75.0</v>
      </c>
      <c r="N42" s="321">
        <v>8.0</v>
      </c>
      <c r="O42" s="321">
        <v>100.0</v>
      </c>
      <c r="P42" s="338">
        <v>3.0</v>
      </c>
      <c r="Q42" s="321">
        <v>100.0</v>
      </c>
      <c r="R42" s="373">
        <v>2.0</v>
      </c>
      <c r="S42" s="373">
        <v>66.66666666666666</v>
      </c>
      <c r="T42" s="321">
        <v>4.0</v>
      </c>
      <c r="U42" s="321">
        <v>100.0</v>
      </c>
      <c r="V42" s="321">
        <v>4.0</v>
      </c>
      <c r="W42" s="321">
        <v>80.0</v>
      </c>
      <c r="X42" s="321">
        <v>4.0</v>
      </c>
      <c r="Y42" s="321">
        <v>80.0</v>
      </c>
      <c r="Z42" s="338">
        <v>84.69696969696969</v>
      </c>
    </row>
    <row r="43" ht="9.75" customHeight="1">
      <c r="A43" s="369">
        <v>33.0</v>
      </c>
      <c r="B43" s="370" t="s">
        <v>449</v>
      </c>
      <c r="C43" s="371" t="s">
        <v>450</v>
      </c>
      <c r="D43" s="284">
        <v>20.0</v>
      </c>
      <c r="E43" s="284">
        <v>100.0</v>
      </c>
      <c r="F43" s="284">
        <v>18.0</v>
      </c>
      <c r="G43" s="372">
        <v>100.0</v>
      </c>
      <c r="H43" s="321">
        <v>16.0</v>
      </c>
      <c r="I43" s="321">
        <v>100.0</v>
      </c>
      <c r="J43" s="321">
        <v>15.0</v>
      </c>
      <c r="K43" s="373">
        <v>100.0</v>
      </c>
      <c r="L43" s="321">
        <v>12.0</v>
      </c>
      <c r="M43" s="373">
        <v>100.0</v>
      </c>
      <c r="N43" s="321">
        <v>8.0</v>
      </c>
      <c r="O43" s="321">
        <v>100.0</v>
      </c>
      <c r="P43" s="338">
        <v>3.0</v>
      </c>
      <c r="Q43" s="321">
        <v>100.0</v>
      </c>
      <c r="R43" s="373">
        <v>3.0</v>
      </c>
      <c r="S43" s="373">
        <v>100.0</v>
      </c>
      <c r="T43" s="321">
        <v>4.0</v>
      </c>
      <c r="U43" s="321">
        <v>100.0</v>
      </c>
      <c r="V43" s="321">
        <v>5.0</v>
      </c>
      <c r="W43" s="321">
        <v>100.0</v>
      </c>
      <c r="X43" s="321">
        <v>5.0</v>
      </c>
      <c r="Y43" s="321">
        <v>100.0</v>
      </c>
      <c r="Z43" s="338">
        <v>100.0</v>
      </c>
    </row>
    <row r="44" ht="9.75" customHeight="1">
      <c r="A44" s="369">
        <v>34.0</v>
      </c>
      <c r="B44" s="370" t="s">
        <v>451</v>
      </c>
      <c r="C44" s="371" t="s">
        <v>452</v>
      </c>
      <c r="D44" s="284">
        <v>19.0</v>
      </c>
      <c r="E44" s="284">
        <v>95.0</v>
      </c>
      <c r="F44" s="284">
        <v>17.0</v>
      </c>
      <c r="G44" s="372">
        <v>94.44444444444444</v>
      </c>
      <c r="H44" s="321">
        <v>16.0</v>
      </c>
      <c r="I44" s="321">
        <v>100.0</v>
      </c>
      <c r="J44" s="321">
        <v>14.0</v>
      </c>
      <c r="K44" s="373">
        <v>93.33333333333334</v>
      </c>
      <c r="L44" s="321">
        <v>11.0</v>
      </c>
      <c r="M44" s="373">
        <v>91.66666666666666</v>
      </c>
      <c r="N44" s="321">
        <v>8.0</v>
      </c>
      <c r="O44" s="321">
        <v>100.0</v>
      </c>
      <c r="P44" s="338">
        <v>3.0</v>
      </c>
      <c r="Q44" s="321">
        <v>100.0</v>
      </c>
      <c r="R44" s="373">
        <v>3.0</v>
      </c>
      <c r="S44" s="373">
        <v>100.0</v>
      </c>
      <c r="T44" s="321">
        <v>4.0</v>
      </c>
      <c r="U44" s="321">
        <v>100.0</v>
      </c>
      <c r="V44" s="321">
        <v>4.0</v>
      </c>
      <c r="W44" s="284">
        <v>80.0</v>
      </c>
      <c r="X44" s="321">
        <v>5.0</v>
      </c>
      <c r="Y44" s="284">
        <v>100.0</v>
      </c>
      <c r="Z44" s="338">
        <v>95.85858585858585</v>
      </c>
    </row>
    <row r="45" ht="9.75" customHeight="1">
      <c r="A45" s="381">
        <v>35.0</v>
      </c>
      <c r="B45" s="375" t="s">
        <v>453</v>
      </c>
      <c r="C45" s="382" t="s">
        <v>454</v>
      </c>
      <c r="D45" s="284">
        <v>18.0</v>
      </c>
      <c r="E45" s="284">
        <v>90.0</v>
      </c>
      <c r="F45" s="284">
        <v>16.0</v>
      </c>
      <c r="G45" s="372">
        <v>88.88888888888889</v>
      </c>
      <c r="H45" s="321">
        <v>16.0</v>
      </c>
      <c r="I45" s="321">
        <v>100.0</v>
      </c>
      <c r="J45" s="321">
        <v>13.0</v>
      </c>
      <c r="K45" s="373">
        <v>86.66666666666667</v>
      </c>
      <c r="L45" s="321">
        <v>9.0</v>
      </c>
      <c r="M45" s="373">
        <v>75.0</v>
      </c>
      <c r="N45" s="321">
        <v>7.0</v>
      </c>
      <c r="O45" s="321">
        <v>88.0</v>
      </c>
      <c r="P45" s="338">
        <v>3.0</v>
      </c>
      <c r="Q45" s="321">
        <v>100.0</v>
      </c>
      <c r="R45" s="373">
        <v>3.0</v>
      </c>
      <c r="S45" s="373">
        <v>100.0</v>
      </c>
      <c r="T45" s="321">
        <v>4.0</v>
      </c>
      <c r="U45" s="321">
        <v>100.0</v>
      </c>
      <c r="V45" s="321">
        <v>4.0</v>
      </c>
      <c r="W45" s="284">
        <v>80.0</v>
      </c>
      <c r="X45" s="321">
        <v>5.0</v>
      </c>
      <c r="Y45" s="284">
        <v>100.0</v>
      </c>
      <c r="Z45" s="338">
        <v>91.68686868686869</v>
      </c>
    </row>
    <row r="46" ht="16.5" customHeight="1">
      <c r="A46" s="295" t="s">
        <v>139</v>
      </c>
      <c r="B46" s="65"/>
      <c r="C46" s="26"/>
      <c r="D46" s="383" t="s">
        <v>318</v>
      </c>
      <c r="E46" s="326"/>
      <c r="F46" s="384" t="s">
        <v>319</v>
      </c>
      <c r="G46" s="326"/>
      <c r="H46" s="385" t="s">
        <v>320</v>
      </c>
      <c r="I46" s="330"/>
      <c r="J46" s="384" t="s">
        <v>321</v>
      </c>
      <c r="K46" s="326"/>
      <c r="L46" s="384" t="s">
        <v>322</v>
      </c>
      <c r="M46" s="326"/>
      <c r="N46" s="384" t="s">
        <v>323</v>
      </c>
      <c r="O46" s="326"/>
      <c r="P46" s="386" t="s">
        <v>324</v>
      </c>
      <c r="Q46" s="326"/>
      <c r="R46" s="384" t="s">
        <v>325</v>
      </c>
      <c r="S46" s="326"/>
      <c r="T46" s="384" t="s">
        <v>318</v>
      </c>
      <c r="U46" s="326"/>
      <c r="V46" s="384" t="s">
        <v>319</v>
      </c>
      <c r="W46" s="253"/>
      <c r="X46" s="384" t="s">
        <v>322</v>
      </c>
      <c r="Y46" s="326"/>
      <c r="Z46" s="332"/>
    </row>
    <row r="47" ht="11.25" customHeight="1">
      <c r="A47" s="303"/>
      <c r="B47" s="78"/>
      <c r="C47" s="70"/>
      <c r="D47" s="387"/>
      <c r="E47" s="387"/>
      <c r="F47" s="303"/>
      <c r="G47" s="303"/>
      <c r="H47" s="388"/>
      <c r="I47" s="388"/>
      <c r="J47" s="303"/>
      <c r="K47" s="356"/>
      <c r="L47" s="303"/>
      <c r="M47" s="356"/>
      <c r="N47" s="303"/>
      <c r="O47" s="356"/>
      <c r="P47" s="303"/>
      <c r="Q47" s="303"/>
      <c r="R47" s="303"/>
      <c r="S47" s="357"/>
      <c r="T47" s="303"/>
      <c r="U47" s="303"/>
      <c r="V47" s="303"/>
      <c r="W47" s="303"/>
      <c r="X47" s="359"/>
      <c r="Y47" s="356"/>
      <c r="Z47" s="389"/>
    </row>
    <row r="48" ht="29.25" customHeight="1">
      <c r="A48" s="78"/>
      <c r="B48" s="356"/>
      <c r="C48" s="78" t="s">
        <v>326</v>
      </c>
      <c r="D48" s="356"/>
      <c r="E48" s="356"/>
      <c r="F48" s="359"/>
      <c r="G48" s="349"/>
      <c r="H48" s="356"/>
      <c r="I48" s="390"/>
      <c r="J48" s="303"/>
      <c r="K48" s="303"/>
      <c r="L48" s="303" t="s">
        <v>327</v>
      </c>
      <c r="Q48" s="359"/>
      <c r="R48" s="359"/>
      <c r="S48" s="391"/>
      <c r="T48" s="359"/>
      <c r="U48" s="351"/>
      <c r="V48" s="303" t="s">
        <v>328</v>
      </c>
    </row>
    <row r="49" ht="11.25" customHeight="1">
      <c r="A49" s="356"/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356"/>
      <c r="O49" s="356"/>
      <c r="P49" s="356"/>
      <c r="Q49" s="356"/>
      <c r="R49" s="356"/>
      <c r="S49" s="356"/>
      <c r="T49" s="356"/>
      <c r="U49" s="356"/>
      <c r="V49" s="356"/>
      <c r="W49" s="356"/>
      <c r="X49" s="356"/>
      <c r="Y49" s="356"/>
      <c r="Z49" s="356"/>
      <c r="AA49" s="356"/>
    </row>
    <row r="50" ht="11.25" customHeight="1">
      <c r="A50" s="356"/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  <c r="N50" s="356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356"/>
    </row>
    <row r="51" ht="11.25" customHeight="1">
      <c r="A51" s="356"/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</row>
    <row r="52" ht="11.25" customHeight="1">
      <c r="A52" s="356"/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356"/>
    </row>
    <row r="53" ht="11.25" customHeight="1">
      <c r="A53" s="356"/>
      <c r="B53" s="356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356"/>
    </row>
    <row r="54" ht="11.25" customHeight="1">
      <c r="A54" s="356"/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6"/>
      <c r="P54" s="356"/>
      <c r="Q54" s="356"/>
      <c r="R54" s="356"/>
      <c r="S54" s="356"/>
      <c r="T54" s="356"/>
      <c r="U54" s="356"/>
      <c r="V54" s="356"/>
      <c r="W54" s="356"/>
      <c r="X54" s="356"/>
      <c r="Y54" s="356"/>
      <c r="Z54" s="356"/>
      <c r="AA54" s="356"/>
    </row>
    <row r="55" ht="11.25" customHeight="1">
      <c r="A55" s="356"/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</row>
    <row r="56" ht="11.25" customHeight="1">
      <c r="A56" s="356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6"/>
      <c r="P56" s="356"/>
      <c r="Q56" s="356"/>
      <c r="R56" s="356"/>
      <c r="S56" s="356"/>
      <c r="T56" s="356"/>
      <c r="U56" s="356"/>
      <c r="V56" s="356"/>
      <c r="W56" s="356"/>
      <c r="X56" s="356"/>
      <c r="Y56" s="356"/>
      <c r="Z56" s="356"/>
      <c r="AA56" s="356"/>
    </row>
    <row r="57" ht="11.25" customHeight="1">
      <c r="A57" s="356"/>
      <c r="B57" s="356"/>
      <c r="C57" s="356"/>
      <c r="D57" s="356"/>
      <c r="E57" s="356"/>
      <c r="F57" s="356"/>
      <c r="G57" s="356"/>
      <c r="H57" s="356"/>
      <c r="I57" s="356"/>
      <c r="J57" s="356"/>
      <c r="K57" s="356"/>
      <c r="L57" s="356"/>
      <c r="M57" s="356"/>
      <c r="N57" s="356"/>
      <c r="O57" s="356"/>
      <c r="P57" s="356"/>
      <c r="Q57" s="356"/>
      <c r="R57" s="356"/>
      <c r="S57" s="356"/>
      <c r="T57" s="356"/>
      <c r="U57" s="356"/>
      <c r="V57" s="356"/>
      <c r="W57" s="356"/>
      <c r="X57" s="356"/>
      <c r="Y57" s="356"/>
      <c r="Z57" s="356"/>
      <c r="AA57" s="356"/>
    </row>
    <row r="58" ht="11.25" customHeight="1">
      <c r="A58" s="356"/>
      <c r="B58" s="356"/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</row>
    <row r="59" ht="11.25" customHeight="1">
      <c r="A59" s="356"/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</row>
    <row r="60" ht="11.25" customHeight="1">
      <c r="A60" s="356"/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</row>
    <row r="61" ht="11.25" customHeight="1">
      <c r="A61" s="356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</row>
    <row r="62" ht="11.25" customHeight="1">
      <c r="A62" s="356"/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</row>
    <row r="63" ht="11.25" customHeight="1">
      <c r="A63" s="356"/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</row>
    <row r="64" ht="11.25" customHeight="1">
      <c r="A64" s="356"/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356"/>
    </row>
    <row r="65" ht="11.25" customHeight="1">
      <c r="A65" s="356"/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356"/>
    </row>
    <row r="66" ht="11.25" customHeight="1">
      <c r="A66" s="356"/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6"/>
      <c r="P66" s="356"/>
      <c r="Q66" s="356"/>
      <c r="R66" s="356"/>
      <c r="S66" s="356"/>
      <c r="T66" s="356"/>
      <c r="U66" s="356"/>
      <c r="V66" s="356"/>
      <c r="W66" s="356"/>
      <c r="X66" s="356"/>
      <c r="Y66" s="356"/>
      <c r="Z66" s="356"/>
      <c r="AA66" s="356"/>
    </row>
    <row r="67" ht="11.25" customHeight="1">
      <c r="A67" s="356"/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</row>
    <row r="68" ht="11.25" customHeight="1">
      <c r="A68" s="356"/>
      <c r="B68" s="356"/>
      <c r="C68" s="356"/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6"/>
      <c r="Q68" s="356"/>
      <c r="R68" s="356"/>
      <c r="S68" s="356"/>
      <c r="T68" s="356"/>
      <c r="U68" s="356"/>
      <c r="V68" s="356"/>
      <c r="W68" s="356"/>
      <c r="X68" s="356"/>
      <c r="Y68" s="356"/>
      <c r="Z68" s="356"/>
      <c r="AA68" s="356"/>
    </row>
    <row r="69" ht="11.25" customHeight="1">
      <c r="A69" s="356"/>
      <c r="B69" s="356"/>
      <c r="C69" s="356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356"/>
    </row>
    <row r="70" ht="11.25" customHeight="1">
      <c r="A70" s="356"/>
      <c r="B70" s="356"/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6"/>
      <c r="Z70" s="356"/>
      <c r="AA70" s="356"/>
    </row>
    <row r="71" ht="11.25" customHeight="1">
      <c r="A71" s="356"/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</row>
    <row r="72" ht="11.25" customHeight="1">
      <c r="A72" s="356"/>
      <c r="B72" s="356"/>
      <c r="C72" s="356"/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  <c r="Z72" s="356"/>
      <c r="AA72" s="356"/>
    </row>
    <row r="73" ht="11.25" customHeight="1">
      <c r="A73" s="356"/>
      <c r="B73" s="356"/>
      <c r="C73" s="356"/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356"/>
    </row>
    <row r="74" ht="11.25" customHeight="1">
      <c r="A74" s="356"/>
      <c r="B74" s="356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356"/>
    </row>
    <row r="75" ht="11.25" customHeight="1">
      <c r="A75" s="356"/>
      <c r="B75" s="356"/>
      <c r="C75" s="356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</row>
    <row r="76" ht="11.25" customHeight="1">
      <c r="A76" s="356"/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</row>
    <row r="77" ht="11.25" customHeight="1">
      <c r="A77" s="356"/>
      <c r="B77" s="356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</row>
    <row r="78" ht="11.25" customHeight="1">
      <c r="A78" s="356"/>
      <c r="B78" s="356"/>
      <c r="C78" s="356"/>
      <c r="D78" s="356"/>
      <c r="E78" s="356"/>
      <c r="F78" s="356"/>
      <c r="G78" s="356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</row>
    <row r="79" ht="11.25" customHeight="1">
      <c r="A79" s="356"/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</row>
    <row r="80" ht="11.25" customHeight="1">
      <c r="A80" s="356"/>
      <c r="B80" s="356"/>
      <c r="C80" s="356"/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356"/>
    </row>
    <row r="81" ht="11.25" customHeight="1">
      <c r="A81" s="356"/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356"/>
    </row>
    <row r="82" ht="11.25" customHeight="1">
      <c r="A82" s="356"/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  <c r="Z82" s="356"/>
      <c r="AA82" s="356"/>
    </row>
    <row r="83" ht="11.25" customHeight="1">
      <c r="A83" s="356"/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</row>
    <row r="84" ht="11.25" customHeight="1">
      <c r="A84" s="356"/>
      <c r="B84" s="356"/>
      <c r="C84" s="356"/>
      <c r="D84" s="356"/>
      <c r="E84" s="356"/>
      <c r="F84" s="356"/>
      <c r="G84" s="356"/>
      <c r="H84" s="356"/>
      <c r="I84" s="356"/>
      <c r="J84" s="356"/>
      <c r="K84" s="356"/>
      <c r="L84" s="356"/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56"/>
      <c r="Z84" s="356"/>
      <c r="AA84" s="356"/>
    </row>
    <row r="85" ht="11.25" customHeight="1">
      <c r="A85" s="356"/>
      <c r="B85" s="356"/>
      <c r="C85" s="356"/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  <c r="Z85" s="356"/>
      <c r="AA85" s="356"/>
    </row>
    <row r="86" ht="11.25" customHeight="1">
      <c r="A86" s="356"/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356"/>
    </row>
    <row r="87" ht="11.25" customHeight="1">
      <c r="A87" s="356"/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</row>
    <row r="88" ht="11.25" customHeight="1">
      <c r="A88" s="356"/>
      <c r="B88" s="356"/>
      <c r="C88" s="356"/>
      <c r="D88" s="356"/>
      <c r="E88" s="356"/>
      <c r="F88" s="356"/>
      <c r="G88" s="356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56"/>
      <c r="Z88" s="356"/>
      <c r="AA88" s="356"/>
    </row>
    <row r="89" ht="11.25" customHeight="1">
      <c r="A89" s="356"/>
      <c r="B89" s="356"/>
      <c r="C89" s="356"/>
      <c r="D89" s="356"/>
      <c r="E89" s="356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56"/>
      <c r="Z89" s="356"/>
      <c r="AA89" s="356"/>
    </row>
    <row r="90" ht="11.25" customHeight="1">
      <c r="A90" s="356"/>
      <c r="B90" s="356"/>
      <c r="C90" s="356"/>
      <c r="D90" s="356"/>
      <c r="E90" s="356"/>
      <c r="F90" s="356"/>
      <c r="G90" s="356"/>
      <c r="H90" s="356"/>
      <c r="I90" s="356"/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56"/>
      <c r="Z90" s="356"/>
      <c r="AA90" s="356"/>
    </row>
    <row r="91" ht="11.25" customHeight="1">
      <c r="A91" s="356"/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</row>
    <row r="92" ht="11.25" customHeight="1">
      <c r="A92" s="356"/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356"/>
    </row>
    <row r="93" ht="11.25" customHeight="1">
      <c r="A93" s="356"/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356"/>
    </row>
    <row r="94" ht="11.25" customHeight="1">
      <c r="A94" s="356"/>
      <c r="B94" s="356"/>
      <c r="C94" s="356"/>
      <c r="D94" s="356"/>
      <c r="E94" s="356"/>
      <c r="F94" s="356"/>
      <c r="G94" s="356"/>
      <c r="H94" s="356"/>
      <c r="I94" s="356"/>
      <c r="J94" s="356"/>
      <c r="K94" s="356"/>
      <c r="L94" s="356"/>
      <c r="M94" s="356"/>
      <c r="N94" s="356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56"/>
      <c r="Z94" s="356"/>
      <c r="AA94" s="356"/>
    </row>
    <row r="95" ht="11.25" customHeight="1">
      <c r="A95" s="356"/>
      <c r="B95" s="356"/>
      <c r="C95" s="356"/>
      <c r="D95" s="356"/>
      <c r="E95" s="356"/>
      <c r="F95" s="356"/>
      <c r="G95" s="356"/>
      <c r="H95" s="356"/>
      <c r="I95" s="356"/>
      <c r="J95" s="356"/>
      <c r="K95" s="356"/>
      <c r="L95" s="356"/>
      <c r="M95" s="356"/>
      <c r="N95" s="356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56"/>
      <c r="Z95" s="356"/>
      <c r="AA95" s="356"/>
    </row>
    <row r="96" ht="11.25" customHeight="1">
      <c r="A96" s="356"/>
      <c r="B96" s="356"/>
      <c r="C96" s="356"/>
      <c r="D96" s="356"/>
      <c r="E96" s="356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6"/>
      <c r="R96" s="356"/>
      <c r="S96" s="356"/>
      <c r="T96" s="356"/>
      <c r="U96" s="356"/>
      <c r="V96" s="356"/>
      <c r="W96" s="356"/>
      <c r="X96" s="356"/>
      <c r="Y96" s="356"/>
      <c r="Z96" s="356"/>
      <c r="AA96" s="356"/>
    </row>
    <row r="97" ht="11.25" customHeight="1">
      <c r="A97" s="356"/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6"/>
      <c r="AA97" s="356"/>
    </row>
    <row r="98" ht="11.25" customHeight="1">
      <c r="A98" s="356"/>
      <c r="B98" s="356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56"/>
      <c r="X98" s="356"/>
      <c r="Y98" s="356"/>
      <c r="Z98" s="356"/>
      <c r="AA98" s="356"/>
    </row>
    <row r="99" ht="11.25" customHeight="1">
      <c r="A99" s="356"/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</row>
    <row r="100" ht="11.25" customHeight="1">
      <c r="A100" s="356"/>
      <c r="B100" s="356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56"/>
      <c r="X100" s="356"/>
      <c r="Y100" s="356"/>
      <c r="Z100" s="356"/>
      <c r="AA100" s="356"/>
    </row>
    <row r="101" ht="11.25" customHeight="1">
      <c r="A101" s="356"/>
      <c r="B101" s="356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56"/>
      <c r="X101" s="356"/>
      <c r="Y101" s="356"/>
      <c r="Z101" s="356"/>
      <c r="AA101" s="356"/>
    </row>
    <row r="102" ht="11.25" customHeight="1">
      <c r="A102" s="356"/>
      <c r="B102" s="356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356"/>
    </row>
    <row r="103" ht="11.25" customHeight="1">
      <c r="A103" s="356"/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</row>
    <row r="104" ht="11.25" customHeight="1">
      <c r="A104" s="356"/>
      <c r="B104" s="356"/>
      <c r="C104" s="356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56"/>
      <c r="X104" s="356"/>
      <c r="Y104" s="356"/>
      <c r="Z104" s="356"/>
      <c r="AA104" s="356"/>
    </row>
    <row r="105" ht="11.25" customHeight="1">
      <c r="A105" s="356"/>
      <c r="B105" s="356"/>
      <c r="C105" s="356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56"/>
      <c r="X105" s="356"/>
      <c r="Y105" s="356"/>
      <c r="Z105" s="356"/>
      <c r="AA105" s="356"/>
    </row>
    <row r="106" ht="11.25" customHeight="1">
      <c r="A106" s="356"/>
      <c r="B106" s="356"/>
      <c r="C106" s="356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356"/>
    </row>
    <row r="107" ht="11.25" customHeight="1">
      <c r="A107" s="356"/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</row>
    <row r="108" ht="11.25" customHeight="1">
      <c r="A108" s="356"/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356"/>
    </row>
    <row r="109" ht="11.25" customHeight="1">
      <c r="A109" s="356"/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  <c r="Z109" s="356"/>
      <c r="AA109" s="356"/>
    </row>
    <row r="110" ht="11.25" customHeight="1">
      <c r="A110" s="356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6"/>
      <c r="P110" s="356"/>
      <c r="Q110" s="356"/>
      <c r="R110" s="356"/>
      <c r="S110" s="356"/>
      <c r="T110" s="356"/>
      <c r="U110" s="356"/>
      <c r="V110" s="356"/>
      <c r="W110" s="356"/>
      <c r="X110" s="356"/>
      <c r="Y110" s="356"/>
      <c r="Z110" s="356"/>
      <c r="AA110" s="356"/>
    </row>
    <row r="111" ht="11.25" customHeight="1">
      <c r="A111" s="356"/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</row>
    <row r="112" ht="11.25" customHeight="1">
      <c r="A112" s="356"/>
      <c r="B112" s="356"/>
      <c r="C112" s="356"/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356"/>
      <c r="O112" s="356"/>
      <c r="P112" s="356"/>
      <c r="Q112" s="356"/>
      <c r="R112" s="356"/>
      <c r="S112" s="356"/>
      <c r="T112" s="356"/>
      <c r="U112" s="356"/>
      <c r="V112" s="356"/>
      <c r="W112" s="356"/>
      <c r="X112" s="356"/>
      <c r="Y112" s="356"/>
      <c r="Z112" s="356"/>
      <c r="AA112" s="356"/>
    </row>
    <row r="113" ht="11.25" customHeight="1">
      <c r="A113" s="356"/>
      <c r="B113" s="356"/>
      <c r="C113" s="356"/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356"/>
    </row>
    <row r="114" ht="11.25" customHeight="1">
      <c r="A114" s="356"/>
      <c r="B114" s="356"/>
      <c r="C114" s="356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356"/>
    </row>
    <row r="115" ht="11.25" customHeight="1">
      <c r="A115" s="356"/>
      <c r="B115" s="356"/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  <c r="V115" s="356"/>
      <c r="W115" s="356"/>
      <c r="X115" s="356"/>
      <c r="Y115" s="356"/>
      <c r="Z115" s="356"/>
      <c r="AA115" s="356"/>
    </row>
    <row r="116" ht="11.25" customHeight="1">
      <c r="A116" s="356"/>
      <c r="B116" s="356"/>
      <c r="C116" s="356"/>
      <c r="D116" s="356"/>
      <c r="E116" s="356"/>
      <c r="F116" s="35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6"/>
      <c r="Q116" s="356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6"/>
    </row>
    <row r="117" ht="11.25" customHeight="1">
      <c r="A117" s="356"/>
      <c r="B117" s="356"/>
      <c r="C117" s="356"/>
      <c r="D117" s="356"/>
      <c r="E117" s="356"/>
      <c r="F117" s="356"/>
      <c r="G117" s="356"/>
      <c r="H117" s="356"/>
      <c r="I117" s="356"/>
      <c r="J117" s="356"/>
      <c r="K117" s="356"/>
      <c r="L117" s="356"/>
      <c r="M117" s="356"/>
      <c r="N117" s="356"/>
      <c r="O117" s="356"/>
      <c r="P117" s="356"/>
      <c r="Q117" s="356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6"/>
    </row>
    <row r="118" ht="11.25" customHeight="1">
      <c r="A118" s="356"/>
      <c r="B118" s="356"/>
      <c r="C118" s="356"/>
      <c r="D118" s="356"/>
      <c r="E118" s="356"/>
      <c r="F118" s="356"/>
      <c r="G118" s="356"/>
      <c r="H118" s="356"/>
      <c r="I118" s="356"/>
      <c r="J118" s="356"/>
      <c r="K118" s="356"/>
      <c r="L118" s="356"/>
      <c r="M118" s="356"/>
      <c r="N118" s="356"/>
      <c r="O118" s="356"/>
      <c r="P118" s="356"/>
      <c r="Q118" s="356"/>
      <c r="R118" s="356"/>
      <c r="S118" s="356"/>
      <c r="T118" s="356"/>
      <c r="U118" s="356"/>
      <c r="V118" s="356"/>
      <c r="W118" s="356"/>
      <c r="X118" s="356"/>
      <c r="Y118" s="356"/>
      <c r="Z118" s="356"/>
      <c r="AA118" s="356"/>
    </row>
    <row r="119" ht="11.25" customHeight="1">
      <c r="A119" s="356"/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</row>
    <row r="120" ht="11.25" customHeight="1">
      <c r="A120" s="356"/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356"/>
    </row>
    <row r="121" ht="11.25" customHeight="1">
      <c r="A121" s="356"/>
      <c r="B121" s="356"/>
      <c r="C121" s="356"/>
      <c r="D121" s="356"/>
      <c r="E121" s="356"/>
      <c r="F121" s="356"/>
      <c r="G121" s="356"/>
      <c r="H121" s="356"/>
      <c r="I121" s="356"/>
      <c r="J121" s="356"/>
      <c r="K121" s="356"/>
      <c r="L121" s="356"/>
      <c r="M121" s="356"/>
      <c r="N121" s="356"/>
      <c r="O121" s="356"/>
      <c r="P121" s="356"/>
      <c r="Q121" s="356"/>
      <c r="R121" s="356"/>
      <c r="S121" s="356"/>
      <c r="T121" s="356"/>
      <c r="U121" s="356"/>
      <c r="V121" s="356"/>
      <c r="W121" s="356"/>
      <c r="X121" s="356"/>
      <c r="Y121" s="356"/>
      <c r="Z121" s="356"/>
      <c r="AA121" s="356"/>
    </row>
    <row r="122" ht="11.25" customHeight="1">
      <c r="A122" s="356"/>
      <c r="B122" s="356"/>
      <c r="C122" s="356"/>
      <c r="D122" s="356"/>
      <c r="E122" s="356"/>
      <c r="F122" s="356"/>
      <c r="G122" s="356"/>
      <c r="H122" s="356"/>
      <c r="I122" s="356"/>
      <c r="J122" s="356"/>
      <c r="K122" s="356"/>
      <c r="L122" s="356"/>
      <c r="M122" s="356"/>
      <c r="N122" s="356"/>
      <c r="O122" s="356"/>
      <c r="P122" s="356"/>
      <c r="Q122" s="356"/>
      <c r="R122" s="356"/>
      <c r="S122" s="356"/>
      <c r="T122" s="356"/>
      <c r="U122" s="356"/>
      <c r="V122" s="356"/>
      <c r="W122" s="356"/>
      <c r="X122" s="356"/>
      <c r="Y122" s="356"/>
      <c r="Z122" s="356"/>
      <c r="AA122" s="356"/>
    </row>
    <row r="123" ht="11.25" customHeight="1">
      <c r="A123" s="356"/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</row>
    <row r="124" ht="11.25" customHeight="1">
      <c r="A124" s="356"/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6"/>
      <c r="P124" s="356"/>
      <c r="Q124" s="356"/>
      <c r="R124" s="356"/>
      <c r="S124" s="356"/>
      <c r="T124" s="356"/>
      <c r="U124" s="356"/>
      <c r="V124" s="356"/>
      <c r="W124" s="356"/>
      <c r="X124" s="356"/>
      <c r="Y124" s="356"/>
      <c r="Z124" s="356"/>
      <c r="AA124" s="356"/>
    </row>
    <row r="125" ht="11.25" customHeight="1">
      <c r="A125" s="356"/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  <c r="AA125" s="356"/>
    </row>
    <row r="126" ht="11.25" customHeight="1">
      <c r="A126" s="356"/>
      <c r="B126" s="356"/>
      <c r="C126" s="356"/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6"/>
      <c r="Q126" s="356"/>
      <c r="R126" s="356"/>
      <c r="S126" s="356"/>
      <c r="T126" s="356"/>
      <c r="U126" s="356"/>
      <c r="V126" s="356"/>
      <c r="W126" s="356"/>
      <c r="X126" s="356"/>
      <c r="Y126" s="356"/>
      <c r="Z126" s="356"/>
      <c r="AA126" s="356"/>
    </row>
    <row r="127" ht="11.25" customHeight="1">
      <c r="A127" s="356"/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</row>
    <row r="128" ht="11.25" customHeight="1">
      <c r="A128" s="356"/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356"/>
    </row>
    <row r="129" ht="11.25" customHeight="1">
      <c r="A129" s="356"/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356"/>
    </row>
    <row r="130" ht="11.25" customHeight="1">
      <c r="A130" s="356"/>
      <c r="B130" s="356"/>
      <c r="C130" s="356"/>
      <c r="D130" s="356"/>
      <c r="E130" s="356"/>
      <c r="F130" s="356"/>
      <c r="G130" s="356"/>
      <c r="H130" s="356"/>
      <c r="I130" s="356"/>
      <c r="J130" s="356"/>
      <c r="K130" s="356"/>
      <c r="L130" s="356"/>
      <c r="M130" s="356"/>
      <c r="N130" s="356"/>
      <c r="O130" s="356"/>
      <c r="P130" s="356"/>
      <c r="Q130" s="356"/>
      <c r="R130" s="356"/>
      <c r="S130" s="356"/>
      <c r="T130" s="356"/>
      <c r="U130" s="356"/>
      <c r="V130" s="356"/>
      <c r="W130" s="356"/>
      <c r="X130" s="356"/>
      <c r="Y130" s="356"/>
      <c r="Z130" s="356"/>
      <c r="AA130" s="356"/>
    </row>
    <row r="131" ht="11.25" customHeight="1">
      <c r="A131" s="356"/>
      <c r="B131" s="356"/>
      <c r="C131" s="356"/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6"/>
      <c r="Q131" s="356"/>
      <c r="R131" s="356"/>
      <c r="S131" s="356"/>
      <c r="T131" s="356"/>
      <c r="U131" s="356"/>
      <c r="V131" s="356"/>
      <c r="W131" s="356"/>
      <c r="X131" s="356"/>
      <c r="Y131" s="356"/>
      <c r="Z131" s="356"/>
      <c r="AA131" s="356"/>
    </row>
    <row r="132" ht="11.25" customHeight="1">
      <c r="A132" s="356"/>
      <c r="B132" s="356"/>
      <c r="C132" s="356"/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6"/>
      <c r="Q132" s="356"/>
      <c r="R132" s="356"/>
      <c r="S132" s="356"/>
      <c r="T132" s="356"/>
      <c r="U132" s="356"/>
      <c r="V132" s="356"/>
      <c r="W132" s="356"/>
      <c r="X132" s="356"/>
      <c r="Y132" s="356"/>
      <c r="Z132" s="356"/>
      <c r="AA132" s="356"/>
    </row>
    <row r="133" ht="11.25" customHeight="1">
      <c r="A133" s="356"/>
      <c r="B133" s="356"/>
      <c r="C133" s="356"/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6"/>
      <c r="Q133" s="356"/>
      <c r="R133" s="356"/>
      <c r="S133" s="356"/>
      <c r="T133" s="356"/>
      <c r="U133" s="356"/>
      <c r="V133" s="356"/>
      <c r="W133" s="356"/>
      <c r="X133" s="356"/>
      <c r="Y133" s="356"/>
      <c r="Z133" s="356"/>
      <c r="AA133" s="356"/>
    </row>
    <row r="134" ht="11.25" customHeight="1">
      <c r="A134" s="356"/>
      <c r="B134" s="356"/>
      <c r="C134" s="356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  <c r="Z134" s="356"/>
      <c r="AA134" s="356"/>
    </row>
    <row r="135" ht="11.25" customHeight="1">
      <c r="A135" s="356"/>
      <c r="B135" s="356"/>
      <c r="C135" s="356"/>
      <c r="D135" s="356"/>
      <c r="E135" s="356"/>
      <c r="F135" s="356"/>
      <c r="G135" s="356"/>
      <c r="H135" s="356"/>
      <c r="I135" s="356"/>
      <c r="J135" s="356"/>
      <c r="K135" s="356"/>
      <c r="L135" s="356"/>
      <c r="M135" s="356"/>
      <c r="N135" s="356"/>
      <c r="O135" s="356"/>
      <c r="P135" s="356"/>
      <c r="Q135" s="356"/>
      <c r="R135" s="356"/>
      <c r="S135" s="356"/>
      <c r="T135" s="356"/>
      <c r="U135" s="356"/>
      <c r="V135" s="356"/>
      <c r="W135" s="356"/>
      <c r="X135" s="356"/>
      <c r="Y135" s="356"/>
      <c r="Z135" s="356"/>
      <c r="AA135" s="356"/>
    </row>
    <row r="136" ht="11.25" customHeight="1">
      <c r="A136" s="356"/>
      <c r="B136" s="356"/>
      <c r="C136" s="356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  <c r="Z136" s="356"/>
      <c r="AA136" s="356"/>
    </row>
    <row r="137" ht="11.25" customHeight="1">
      <c r="A137" s="356"/>
      <c r="B137" s="356"/>
      <c r="C137" s="356"/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6"/>
      <c r="Q137" s="356"/>
      <c r="R137" s="356"/>
      <c r="S137" s="356"/>
      <c r="T137" s="356"/>
      <c r="U137" s="356"/>
      <c r="V137" s="356"/>
      <c r="W137" s="356"/>
      <c r="X137" s="356"/>
      <c r="Y137" s="356"/>
      <c r="Z137" s="356"/>
      <c r="AA137" s="356"/>
    </row>
    <row r="138" ht="11.25" customHeight="1">
      <c r="A138" s="356"/>
      <c r="B138" s="356"/>
      <c r="C138" s="356"/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6"/>
      <c r="Q138" s="356"/>
      <c r="R138" s="356"/>
      <c r="S138" s="356"/>
      <c r="T138" s="356"/>
      <c r="U138" s="356"/>
      <c r="V138" s="356"/>
      <c r="W138" s="356"/>
      <c r="X138" s="356"/>
      <c r="Y138" s="356"/>
      <c r="Z138" s="356"/>
      <c r="AA138" s="356"/>
    </row>
    <row r="139" ht="11.25" customHeight="1">
      <c r="A139" s="356"/>
      <c r="B139" s="356"/>
      <c r="C139" s="356"/>
      <c r="D139" s="356"/>
      <c r="E139" s="356"/>
      <c r="F139" s="356"/>
      <c r="G139" s="356"/>
      <c r="H139" s="356"/>
      <c r="I139" s="356"/>
      <c r="J139" s="356"/>
      <c r="K139" s="356"/>
      <c r="L139" s="356"/>
      <c r="M139" s="356"/>
      <c r="N139" s="356"/>
      <c r="O139" s="356"/>
      <c r="P139" s="356"/>
      <c r="Q139" s="356"/>
      <c r="R139" s="356"/>
      <c r="S139" s="356"/>
      <c r="T139" s="356"/>
      <c r="U139" s="356"/>
      <c r="V139" s="356"/>
      <c r="W139" s="356"/>
      <c r="X139" s="356"/>
      <c r="Y139" s="356"/>
      <c r="Z139" s="356"/>
      <c r="AA139" s="356"/>
    </row>
    <row r="140" ht="11.25" customHeight="1">
      <c r="A140" s="356"/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  <c r="Z140" s="356"/>
      <c r="AA140" s="356"/>
    </row>
    <row r="141" ht="11.25" customHeight="1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6"/>
      <c r="Q141" s="356"/>
      <c r="R141" s="356"/>
      <c r="S141" s="356"/>
      <c r="T141" s="356"/>
      <c r="U141" s="356"/>
      <c r="V141" s="356"/>
      <c r="W141" s="356"/>
      <c r="X141" s="356"/>
      <c r="Y141" s="356"/>
      <c r="Z141" s="356"/>
      <c r="AA141" s="356"/>
    </row>
    <row r="142" ht="11.25" customHeight="1">
      <c r="A142" s="356"/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  <c r="Z142" s="356"/>
      <c r="AA142" s="356"/>
    </row>
    <row r="143" ht="11.25" customHeight="1">
      <c r="A143" s="356"/>
      <c r="B143" s="356"/>
      <c r="C143" s="356"/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  <c r="Z143" s="356"/>
      <c r="AA143" s="356"/>
    </row>
    <row r="144" ht="11.25" customHeight="1">
      <c r="A144" s="356"/>
      <c r="B144" s="356"/>
      <c r="C144" s="356"/>
      <c r="D144" s="356"/>
      <c r="E144" s="356"/>
      <c r="F144" s="356"/>
      <c r="G144" s="356"/>
      <c r="H144" s="356"/>
      <c r="I144" s="356"/>
      <c r="J144" s="356"/>
      <c r="K144" s="356"/>
      <c r="L144" s="356"/>
      <c r="M144" s="356"/>
      <c r="N144" s="356"/>
      <c r="O144" s="356"/>
      <c r="P144" s="356"/>
      <c r="Q144" s="356"/>
      <c r="R144" s="356"/>
      <c r="S144" s="356"/>
      <c r="T144" s="356"/>
      <c r="U144" s="356"/>
      <c r="V144" s="356"/>
      <c r="W144" s="356"/>
      <c r="X144" s="356"/>
      <c r="Y144" s="356"/>
      <c r="Z144" s="356"/>
      <c r="AA144" s="356"/>
    </row>
    <row r="145" ht="11.25" customHeight="1">
      <c r="A145" s="356"/>
      <c r="B145" s="356"/>
      <c r="C145" s="356"/>
      <c r="D145" s="356"/>
      <c r="E145" s="356"/>
      <c r="F145" s="356"/>
      <c r="G145" s="356"/>
      <c r="H145" s="356"/>
      <c r="I145" s="356"/>
      <c r="J145" s="356"/>
      <c r="K145" s="356"/>
      <c r="L145" s="356"/>
      <c r="M145" s="356"/>
      <c r="N145" s="356"/>
      <c r="O145" s="356"/>
      <c r="P145" s="356"/>
      <c r="Q145" s="356"/>
      <c r="R145" s="356"/>
      <c r="S145" s="356"/>
      <c r="T145" s="356"/>
      <c r="U145" s="356"/>
      <c r="V145" s="356"/>
      <c r="W145" s="356"/>
      <c r="X145" s="356"/>
      <c r="Y145" s="356"/>
      <c r="Z145" s="356"/>
      <c r="AA145" s="356"/>
    </row>
    <row r="146" ht="11.25" customHeight="1">
      <c r="A146" s="356"/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6"/>
      <c r="P146" s="356"/>
      <c r="Q146" s="356"/>
      <c r="R146" s="356"/>
      <c r="S146" s="356"/>
      <c r="T146" s="356"/>
      <c r="U146" s="356"/>
      <c r="V146" s="356"/>
      <c r="W146" s="356"/>
      <c r="X146" s="356"/>
      <c r="Y146" s="356"/>
      <c r="Z146" s="356"/>
      <c r="AA146" s="356"/>
    </row>
    <row r="147" ht="11.25" customHeight="1">
      <c r="A147" s="356"/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356"/>
    </row>
    <row r="148" ht="11.25" customHeight="1">
      <c r="A148" s="356"/>
      <c r="B148" s="356"/>
      <c r="C148" s="356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56"/>
      <c r="AA148" s="356"/>
    </row>
    <row r="149" ht="11.25" customHeight="1">
      <c r="A149" s="356"/>
      <c r="B149" s="356"/>
      <c r="C149" s="356"/>
      <c r="D149" s="356"/>
      <c r="E149" s="356"/>
      <c r="F149" s="356"/>
      <c r="G149" s="356"/>
      <c r="H149" s="356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356"/>
    </row>
    <row r="150" ht="11.25" customHeight="1">
      <c r="A150" s="356"/>
      <c r="B150" s="356"/>
      <c r="C150" s="356"/>
      <c r="D150" s="356"/>
      <c r="E150" s="356"/>
      <c r="F150" s="356"/>
      <c r="G150" s="356"/>
      <c r="H150" s="356"/>
      <c r="I150" s="356"/>
      <c r="J150" s="356"/>
      <c r="K150" s="356"/>
      <c r="L150" s="356"/>
      <c r="M150" s="356"/>
      <c r="N150" s="356"/>
      <c r="O150" s="356"/>
      <c r="P150" s="356"/>
      <c r="Q150" s="356"/>
      <c r="R150" s="356"/>
      <c r="S150" s="356"/>
      <c r="T150" s="356"/>
      <c r="U150" s="356"/>
      <c r="V150" s="356"/>
      <c r="W150" s="356"/>
      <c r="X150" s="356"/>
      <c r="Y150" s="356"/>
      <c r="Z150" s="356"/>
      <c r="AA150" s="356"/>
    </row>
    <row r="151" ht="11.25" customHeight="1">
      <c r="A151" s="356"/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6"/>
      <c r="P151" s="356"/>
      <c r="Q151" s="356"/>
      <c r="R151" s="356"/>
      <c r="S151" s="356"/>
      <c r="T151" s="356"/>
      <c r="U151" s="356"/>
      <c r="V151" s="356"/>
      <c r="W151" s="356"/>
      <c r="X151" s="356"/>
      <c r="Y151" s="356"/>
      <c r="Z151" s="356"/>
      <c r="AA151" s="356"/>
    </row>
    <row r="152" ht="11.25" customHeight="1">
      <c r="A152" s="356"/>
      <c r="B152" s="356"/>
      <c r="C152" s="356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6"/>
      <c r="P152" s="356"/>
      <c r="Q152" s="356"/>
      <c r="R152" s="356"/>
      <c r="S152" s="356"/>
      <c r="T152" s="356"/>
      <c r="U152" s="356"/>
      <c r="V152" s="356"/>
      <c r="W152" s="356"/>
      <c r="X152" s="356"/>
      <c r="Y152" s="356"/>
      <c r="Z152" s="356"/>
      <c r="AA152" s="356"/>
    </row>
    <row r="153" ht="11.25" customHeight="1">
      <c r="A153" s="356"/>
      <c r="B153" s="356"/>
      <c r="C153" s="356"/>
      <c r="D153" s="356"/>
      <c r="E153" s="356"/>
      <c r="F153" s="356"/>
      <c r="G153" s="356"/>
      <c r="H153" s="356"/>
      <c r="I153" s="356"/>
      <c r="J153" s="356"/>
      <c r="K153" s="356"/>
      <c r="L153" s="356"/>
      <c r="M153" s="356"/>
      <c r="N153" s="356"/>
      <c r="O153" s="356"/>
      <c r="P153" s="356"/>
      <c r="Q153" s="356"/>
      <c r="R153" s="356"/>
      <c r="S153" s="356"/>
      <c r="T153" s="356"/>
      <c r="U153" s="356"/>
      <c r="V153" s="356"/>
      <c r="W153" s="356"/>
      <c r="X153" s="356"/>
      <c r="Y153" s="356"/>
      <c r="Z153" s="356"/>
      <c r="AA153" s="356"/>
    </row>
    <row r="154" ht="11.25" customHeight="1">
      <c r="A154" s="356"/>
      <c r="B154" s="356"/>
      <c r="C154" s="356"/>
      <c r="D154" s="356"/>
      <c r="E154" s="356"/>
      <c r="F154" s="356"/>
      <c r="G154" s="356"/>
      <c r="H154" s="356"/>
      <c r="I154" s="356"/>
      <c r="J154" s="356"/>
      <c r="K154" s="356"/>
      <c r="L154" s="356"/>
      <c r="M154" s="356"/>
      <c r="N154" s="356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  <c r="Z154" s="356"/>
      <c r="AA154" s="356"/>
    </row>
    <row r="155" ht="11.25" customHeight="1">
      <c r="A155" s="356"/>
      <c r="B155" s="356"/>
      <c r="C155" s="356"/>
      <c r="D155" s="356"/>
      <c r="E155" s="356"/>
      <c r="F155" s="356"/>
      <c r="G155" s="356"/>
      <c r="H155" s="356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/>
      <c r="S155" s="356"/>
      <c r="T155" s="356"/>
      <c r="U155" s="356"/>
      <c r="V155" s="356"/>
      <c r="W155" s="356"/>
      <c r="X155" s="356"/>
      <c r="Y155" s="356"/>
      <c r="Z155" s="356"/>
      <c r="AA155" s="356"/>
    </row>
    <row r="156" ht="11.25" customHeight="1">
      <c r="A156" s="356"/>
      <c r="B156" s="356"/>
      <c r="C156" s="356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6"/>
      <c r="P156" s="356"/>
      <c r="Q156" s="356"/>
      <c r="R156" s="356"/>
      <c r="S156" s="356"/>
      <c r="T156" s="356"/>
      <c r="U156" s="356"/>
      <c r="V156" s="356"/>
      <c r="W156" s="356"/>
      <c r="X156" s="356"/>
      <c r="Y156" s="356"/>
      <c r="Z156" s="356"/>
      <c r="AA156" s="356"/>
    </row>
    <row r="157" ht="11.25" customHeight="1">
      <c r="A157" s="356"/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  <c r="AA157" s="356"/>
    </row>
    <row r="158" ht="11.25" customHeight="1">
      <c r="A158" s="356"/>
      <c r="B158" s="356"/>
      <c r="C158" s="356"/>
      <c r="D158" s="356"/>
      <c r="E158" s="356"/>
      <c r="F158" s="356"/>
      <c r="G158" s="356"/>
      <c r="H158" s="356"/>
      <c r="I158" s="356"/>
      <c r="J158" s="356"/>
      <c r="K158" s="356"/>
      <c r="L158" s="356"/>
      <c r="M158" s="356"/>
      <c r="N158" s="356"/>
      <c r="O158" s="356"/>
      <c r="P158" s="356"/>
      <c r="Q158" s="356"/>
      <c r="R158" s="356"/>
      <c r="S158" s="356"/>
      <c r="T158" s="356"/>
      <c r="U158" s="356"/>
      <c r="V158" s="356"/>
      <c r="W158" s="356"/>
      <c r="X158" s="356"/>
      <c r="Y158" s="356"/>
      <c r="Z158" s="356"/>
      <c r="AA158" s="356"/>
    </row>
    <row r="159" ht="11.25" customHeight="1">
      <c r="A159" s="356"/>
      <c r="B159" s="356"/>
      <c r="C159" s="356"/>
      <c r="D159" s="356"/>
      <c r="E159" s="356"/>
      <c r="F159" s="356"/>
      <c r="G159" s="356"/>
      <c r="H159" s="356"/>
      <c r="I159" s="356"/>
      <c r="J159" s="356"/>
      <c r="K159" s="356"/>
      <c r="L159" s="356"/>
      <c r="M159" s="356"/>
      <c r="N159" s="356"/>
      <c r="O159" s="356"/>
      <c r="P159" s="356"/>
      <c r="Q159" s="356"/>
      <c r="R159" s="356"/>
      <c r="S159" s="356"/>
      <c r="T159" s="356"/>
      <c r="U159" s="356"/>
      <c r="V159" s="356"/>
      <c r="W159" s="356"/>
      <c r="X159" s="356"/>
      <c r="Y159" s="356"/>
      <c r="Z159" s="356"/>
      <c r="AA159" s="356"/>
    </row>
    <row r="160" ht="11.25" customHeight="1">
      <c r="A160" s="356"/>
      <c r="B160" s="356"/>
      <c r="C160" s="356"/>
      <c r="D160" s="356"/>
      <c r="E160" s="356"/>
      <c r="F160" s="356"/>
      <c r="G160" s="356"/>
      <c r="H160" s="356"/>
      <c r="I160" s="356"/>
      <c r="J160" s="356"/>
      <c r="K160" s="356"/>
      <c r="L160" s="356"/>
      <c r="M160" s="356"/>
      <c r="N160" s="356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  <c r="Z160" s="356"/>
      <c r="AA160" s="356"/>
    </row>
    <row r="161" ht="11.25" customHeight="1">
      <c r="A161" s="356"/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6"/>
      <c r="P161" s="356"/>
      <c r="Q161" s="356"/>
      <c r="R161" s="356"/>
      <c r="S161" s="356"/>
      <c r="T161" s="356"/>
      <c r="U161" s="356"/>
      <c r="V161" s="356"/>
      <c r="W161" s="356"/>
      <c r="X161" s="356"/>
      <c r="Y161" s="356"/>
      <c r="Z161" s="356"/>
      <c r="AA161" s="356"/>
    </row>
    <row r="162" ht="11.25" customHeight="1">
      <c r="A162" s="356"/>
      <c r="B162" s="356"/>
      <c r="C162" s="356"/>
      <c r="D162" s="356"/>
      <c r="E162" s="356"/>
      <c r="F162" s="356"/>
      <c r="G162" s="356"/>
      <c r="H162" s="356"/>
      <c r="I162" s="356"/>
      <c r="J162" s="356"/>
      <c r="K162" s="356"/>
      <c r="L162" s="356"/>
      <c r="M162" s="356"/>
      <c r="N162" s="356"/>
      <c r="O162" s="356"/>
      <c r="P162" s="356"/>
      <c r="Q162" s="356"/>
      <c r="R162" s="356"/>
      <c r="S162" s="356"/>
      <c r="T162" s="356"/>
      <c r="U162" s="356"/>
      <c r="V162" s="356"/>
      <c r="W162" s="356"/>
      <c r="X162" s="356"/>
      <c r="Y162" s="356"/>
      <c r="Z162" s="356"/>
      <c r="AA162" s="356"/>
    </row>
    <row r="163" ht="11.25" customHeight="1">
      <c r="A163" s="356"/>
      <c r="B163" s="356"/>
      <c r="C163" s="356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6"/>
      <c r="P163" s="356"/>
      <c r="Q163" s="356"/>
      <c r="R163" s="356"/>
      <c r="S163" s="356"/>
      <c r="T163" s="356"/>
      <c r="U163" s="356"/>
      <c r="V163" s="356"/>
      <c r="W163" s="356"/>
      <c r="X163" s="356"/>
      <c r="Y163" s="356"/>
      <c r="Z163" s="356"/>
      <c r="AA163" s="356"/>
    </row>
    <row r="164" ht="11.25" customHeight="1">
      <c r="A164" s="356"/>
      <c r="B164" s="356"/>
      <c r="C164" s="356"/>
      <c r="D164" s="356"/>
      <c r="E164" s="356"/>
      <c r="F164" s="356"/>
      <c r="G164" s="356"/>
      <c r="H164" s="356"/>
      <c r="I164" s="356"/>
      <c r="J164" s="356"/>
      <c r="K164" s="356"/>
      <c r="L164" s="356"/>
      <c r="M164" s="356"/>
      <c r="N164" s="356"/>
      <c r="O164" s="356"/>
      <c r="P164" s="356"/>
      <c r="Q164" s="356"/>
      <c r="R164" s="356"/>
      <c r="S164" s="356"/>
      <c r="T164" s="356"/>
      <c r="U164" s="356"/>
      <c r="V164" s="356"/>
      <c r="W164" s="356"/>
      <c r="X164" s="356"/>
      <c r="Y164" s="356"/>
      <c r="Z164" s="356"/>
      <c r="AA164" s="356"/>
    </row>
    <row r="165" ht="11.25" customHeight="1">
      <c r="A165" s="356"/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356"/>
    </row>
    <row r="166" ht="11.25" customHeight="1">
      <c r="A166" s="356"/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  <c r="Z166" s="356"/>
      <c r="AA166" s="356"/>
    </row>
    <row r="167" ht="11.25" customHeight="1">
      <c r="A167" s="356"/>
      <c r="B167" s="356"/>
      <c r="C167" s="356"/>
      <c r="D167" s="356"/>
      <c r="E167" s="356"/>
      <c r="F167" s="356"/>
      <c r="G167" s="356"/>
      <c r="H167" s="356"/>
      <c r="I167" s="356"/>
      <c r="J167" s="356"/>
      <c r="K167" s="356"/>
      <c r="L167" s="356"/>
      <c r="M167" s="356"/>
      <c r="N167" s="356"/>
      <c r="O167" s="356"/>
      <c r="P167" s="356"/>
      <c r="Q167" s="356"/>
      <c r="R167" s="356"/>
      <c r="S167" s="356"/>
      <c r="T167" s="356"/>
      <c r="U167" s="356"/>
      <c r="V167" s="356"/>
      <c r="W167" s="356"/>
      <c r="X167" s="356"/>
      <c r="Y167" s="356"/>
      <c r="Z167" s="356"/>
      <c r="AA167" s="356"/>
    </row>
    <row r="168" ht="11.25" customHeight="1">
      <c r="A168" s="356"/>
      <c r="B168" s="356"/>
      <c r="C168" s="356"/>
      <c r="D168" s="356"/>
      <c r="E168" s="356"/>
      <c r="F168" s="356"/>
      <c r="G168" s="356"/>
      <c r="H168" s="356"/>
      <c r="I168" s="356"/>
      <c r="J168" s="356"/>
      <c r="K168" s="356"/>
      <c r="L168" s="356"/>
      <c r="M168" s="356"/>
      <c r="N168" s="356"/>
      <c r="O168" s="356"/>
      <c r="P168" s="356"/>
      <c r="Q168" s="356"/>
      <c r="R168" s="356"/>
      <c r="S168" s="356"/>
      <c r="T168" s="356"/>
      <c r="U168" s="356"/>
      <c r="V168" s="356"/>
      <c r="W168" s="356"/>
      <c r="X168" s="356"/>
      <c r="Y168" s="356"/>
      <c r="Z168" s="356"/>
      <c r="AA168" s="356"/>
    </row>
    <row r="169" ht="11.25" customHeight="1">
      <c r="A169" s="356"/>
      <c r="B169" s="356"/>
      <c r="C169" s="356"/>
      <c r="D169" s="356"/>
      <c r="E169" s="356"/>
      <c r="F169" s="356"/>
      <c r="G169" s="356"/>
      <c r="H169" s="356"/>
      <c r="I169" s="356"/>
      <c r="J169" s="356"/>
      <c r="K169" s="356"/>
      <c r="L169" s="356"/>
      <c r="M169" s="356"/>
      <c r="N169" s="356"/>
      <c r="O169" s="356"/>
      <c r="P169" s="356"/>
      <c r="Q169" s="356"/>
      <c r="R169" s="356"/>
      <c r="S169" s="356"/>
      <c r="T169" s="356"/>
      <c r="U169" s="356"/>
      <c r="V169" s="356"/>
      <c r="W169" s="356"/>
      <c r="X169" s="356"/>
      <c r="Y169" s="356"/>
      <c r="Z169" s="356"/>
      <c r="AA169" s="356"/>
    </row>
    <row r="170" ht="11.25" customHeight="1">
      <c r="A170" s="356"/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356"/>
    </row>
    <row r="171" ht="11.25" customHeight="1">
      <c r="A171" s="356"/>
      <c r="B171" s="356"/>
      <c r="C171" s="356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6"/>
      <c r="P171" s="356"/>
      <c r="Q171" s="356"/>
      <c r="R171" s="356"/>
      <c r="S171" s="356"/>
      <c r="T171" s="356"/>
      <c r="U171" s="356"/>
      <c r="V171" s="356"/>
      <c r="W171" s="356"/>
      <c r="X171" s="356"/>
      <c r="Y171" s="356"/>
      <c r="Z171" s="356"/>
      <c r="AA171" s="356"/>
    </row>
    <row r="172" ht="11.25" customHeight="1">
      <c r="A172" s="356"/>
      <c r="B172" s="356"/>
      <c r="C172" s="356"/>
      <c r="D172" s="356"/>
      <c r="E172" s="356"/>
      <c r="F172" s="356"/>
      <c r="G172" s="356"/>
      <c r="H172" s="356"/>
      <c r="I172" s="356"/>
      <c r="J172" s="356"/>
      <c r="K172" s="356"/>
      <c r="L172" s="356"/>
      <c r="M172" s="356"/>
      <c r="N172" s="356"/>
      <c r="O172" s="356"/>
      <c r="P172" s="356"/>
      <c r="Q172" s="356"/>
      <c r="R172" s="356"/>
      <c r="S172" s="356"/>
      <c r="T172" s="356"/>
      <c r="U172" s="356"/>
      <c r="V172" s="356"/>
      <c r="W172" s="356"/>
      <c r="X172" s="356"/>
      <c r="Y172" s="356"/>
      <c r="Z172" s="356"/>
      <c r="AA172" s="356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:C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F9:F10"/>
    <mergeCell ref="G9:G10"/>
    <mergeCell ref="A46:C46"/>
    <mergeCell ref="D46:E46"/>
    <mergeCell ref="F46:G46"/>
    <mergeCell ref="H9:H10"/>
    <mergeCell ref="I9:I10"/>
    <mergeCell ref="H46:I46"/>
    <mergeCell ref="T46:U46"/>
    <mergeCell ref="V46:W46"/>
    <mergeCell ref="X46:Y46"/>
    <mergeCell ref="V48:Z48"/>
    <mergeCell ref="J9:J10"/>
    <mergeCell ref="K9:K10"/>
    <mergeCell ref="J46:K46"/>
    <mergeCell ref="L46:M46"/>
    <mergeCell ref="N46:O46"/>
    <mergeCell ref="P46:Q46"/>
    <mergeCell ref="R46:S46"/>
    <mergeCell ref="L48:P48"/>
    <mergeCell ref="B7:B10"/>
    <mergeCell ref="D8:E8"/>
    <mergeCell ref="C9:C10"/>
    <mergeCell ref="D9:D10"/>
    <mergeCell ref="E9:E10"/>
    <mergeCell ref="U1:Z1"/>
    <mergeCell ref="A2:Z2"/>
    <mergeCell ref="A3:Z3"/>
    <mergeCell ref="A4:Z4"/>
    <mergeCell ref="X5:Z5"/>
    <mergeCell ref="A7:A10"/>
    <mergeCell ref="Z7:Z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printOptions/>
  <pageMargins bottom="0.75" footer="0.0" header="0.0" left="0.7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2026-03-04T08:59:36Z</dcterms:created>
  <dc:creator>dell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fdd4c496d5e74676835be0324670c69f</vt:lpwstr>
  </property>
</Properties>
</file>