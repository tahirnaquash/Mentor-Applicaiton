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1 Attendance" sheetId="1" r:id="rId4"/>
    <sheet state="visible" name="IA1 ATTENDANCE &lt;75%" sheetId="2" r:id="rId5"/>
    <sheet state="visible" name="GRACE PROOF" sheetId="3" r:id="rId6"/>
    <sheet state="visible" name="Work done sheet" sheetId="4" r:id="rId7"/>
    <sheet state="visible" name="IA1 Marks" sheetId="5" r:id="rId8"/>
    <sheet state="visible" name="Mentor Report" sheetId="6" r:id="rId9"/>
    <sheet state="hidden" name="&lt; = 49 %" sheetId="7" r:id="rId10"/>
    <sheet state="hidden" name="50% - 74%" sheetId="8" r:id="rId11"/>
    <sheet state="hidden" name="&gt;74 -&lt;=84" sheetId="9" r:id="rId12"/>
    <sheet state="hidden" name="&gt;=85" sheetId="10" r:id="rId13"/>
  </sheets>
  <definedNames/>
  <calcPr/>
  <extLst>
    <ext uri="GoogleSheetsCustomDataVersion2">
      <go:sheetsCustomData xmlns:go="http://customooxmlschemas.google.com/" r:id="rId14" roundtripDataChecksum="AFwCk+Y1IhvX9BVDSF4RlL8Z+yxnCU1zf9u3WXPc5Gw="/>
    </ext>
  </extLst>
</workbook>
</file>

<file path=xl/sharedStrings.xml><?xml version="1.0" encoding="utf-8"?>
<sst xmlns="http://schemas.openxmlformats.org/spreadsheetml/2006/main" count="1143" uniqueCount="428">
  <si>
    <t>HKBK/TL/022/2025-26</t>
  </si>
  <si>
    <t xml:space="preserve">                                                     HKBK College of Engineering</t>
  </si>
  <si>
    <t xml:space="preserve">                                            Department of Computer Science Engineering</t>
  </si>
  <si>
    <t xml:space="preserve">                                                                    STATEMENT OF ATTENDANCE - IA1               </t>
  </si>
  <si>
    <t>Till : 09/04/2026</t>
  </si>
  <si>
    <t xml:space="preserve">Sem : 4th </t>
  </si>
  <si>
    <t xml:space="preserve">Section : B                     </t>
  </si>
  <si>
    <t>Sl No</t>
  </si>
  <si>
    <t>USN</t>
  </si>
  <si>
    <t>No of classes taken</t>
  </si>
  <si>
    <t>Avg</t>
  </si>
  <si>
    <t>Subject Name</t>
  </si>
  <si>
    <t>ADA</t>
  </si>
  <si>
    <t>Microcontr.</t>
  </si>
  <si>
    <t>DBMS</t>
  </si>
  <si>
    <t>DMS</t>
  </si>
  <si>
    <t>UI/UX</t>
  </si>
  <si>
    <t>Biology</t>
  </si>
  <si>
    <t>Micro. Lab</t>
  </si>
  <si>
    <t>ADA Lab</t>
  </si>
  <si>
    <t>Subject Code</t>
  </si>
  <si>
    <t>BCS401</t>
  </si>
  <si>
    <t xml:space="preserve">  BCS402</t>
  </si>
  <si>
    <t>BCS403</t>
  </si>
  <si>
    <t>BCS405A</t>
  </si>
  <si>
    <t xml:space="preserve">BCS456C      </t>
  </si>
  <si>
    <t>BBOC407</t>
  </si>
  <si>
    <t>BCS402L</t>
  </si>
  <si>
    <t>BCSL404</t>
  </si>
  <si>
    <t>Name of student</t>
  </si>
  <si>
    <t>Atnd</t>
  </si>
  <si>
    <t>%</t>
  </si>
  <si>
    <t>1HK24CS056</t>
  </si>
  <si>
    <t>Chandana N</t>
  </si>
  <si>
    <t>1HK24CS057</t>
  </si>
  <si>
    <t>1HK24CS058</t>
  </si>
  <si>
    <t>Chandana R</t>
  </si>
  <si>
    <t>1HK24CS059</t>
  </si>
  <si>
    <t>Channaveer</t>
  </si>
  <si>
    <t>1HK24CS060</t>
  </si>
  <si>
    <t>Charan Kumar M</t>
  </si>
  <si>
    <t>1HK24CS061</t>
  </si>
  <si>
    <t>Chethan B T</t>
  </si>
  <si>
    <t>1HK24CS062</t>
  </si>
  <si>
    <t>Chethana J</t>
  </si>
  <si>
    <t>1HK24CS063</t>
  </si>
  <si>
    <t>Chirag M</t>
  </si>
  <si>
    <t>1HK24CS064</t>
  </si>
  <si>
    <t>D Darshan</t>
  </si>
  <si>
    <t>1HK24CS065</t>
  </si>
  <si>
    <t>Daksheesh</t>
  </si>
  <si>
    <t>1HK24CS066</t>
  </si>
  <si>
    <t>Daniya Mehran</t>
  </si>
  <si>
    <t>1HK24CS067</t>
  </si>
  <si>
    <t>Darshan D</t>
  </si>
  <si>
    <t>1HK24CS068</t>
  </si>
  <si>
    <t>Darshan Ganapati Tolanur</t>
  </si>
  <si>
    <t>1HK24CS069</t>
  </si>
  <si>
    <t>Darshan Talageri</t>
  </si>
  <si>
    <t>1HK24CS070</t>
  </si>
  <si>
    <t>Deeksha M H</t>
  </si>
  <si>
    <t>1HK24CS071</t>
  </si>
  <si>
    <t>Dhanush R</t>
  </si>
  <si>
    <t>1HK24CS075</t>
  </si>
  <si>
    <t>Enam Ul Haque</t>
  </si>
  <si>
    <t>1HK24CS076</t>
  </si>
  <si>
    <t>Farheen Naaz Didagur</t>
  </si>
  <si>
    <t>1HK24CS077</t>
  </si>
  <si>
    <t>Faris Tasaduq Makhdoomi</t>
  </si>
  <si>
    <t>1HK24CS078</t>
  </si>
  <si>
    <t>G Manjunath</t>
  </si>
  <si>
    <t>1HK24CS079</t>
  </si>
  <si>
    <t>G V Viveka</t>
  </si>
  <si>
    <t>1HK24CS080</t>
  </si>
  <si>
    <t>Gagan Giri Mallappa Hadpad</t>
  </si>
  <si>
    <t>1HK24CS081</t>
  </si>
  <si>
    <t>Ganavi H</t>
  </si>
  <si>
    <t>1HK24CS082</t>
  </si>
  <si>
    <t>Gowtham C</t>
  </si>
  <si>
    <t>1HK24CS083</t>
  </si>
  <si>
    <t>Gulzar Warsi</t>
  </si>
  <si>
    <t>1HK24CS084</t>
  </si>
  <si>
    <t>Habeebah Sultana</t>
  </si>
  <si>
    <t>1HK24CS085</t>
  </si>
  <si>
    <t>Harika Lakshmi S</t>
  </si>
  <si>
    <t>1HK24CS087</t>
  </si>
  <si>
    <t>Harsh K Gowda</t>
  </si>
  <si>
    <t>1HK24CS088</t>
  </si>
  <si>
    <t>Harsha H</t>
  </si>
  <si>
    <t>1HK24CS090</t>
  </si>
  <si>
    <t>Harshitha N</t>
  </si>
  <si>
    <t>1HK24CS091</t>
  </si>
  <si>
    <t>Harshitha V</t>
  </si>
  <si>
    <t>1HK24CS092</t>
  </si>
  <si>
    <t>Hassaan Ahmed S A</t>
  </si>
  <si>
    <t>1HK24CS093</t>
  </si>
  <si>
    <t>Hema R</t>
  </si>
  <si>
    <t>1HK24CS094</t>
  </si>
  <si>
    <t>Hithesh Chandra</t>
  </si>
  <si>
    <t>1HK24CS095</t>
  </si>
  <si>
    <t>J Kailash</t>
  </si>
  <si>
    <t>1HK24CS096</t>
  </si>
  <si>
    <t>Janhavi A</t>
  </si>
  <si>
    <t>1HK24CS097</t>
  </si>
  <si>
    <t>Jayant Kumar</t>
  </si>
  <si>
    <t>1HK24CS098</t>
  </si>
  <si>
    <t>Jeevan B</t>
  </si>
  <si>
    <t>1HK24CS099</t>
  </si>
  <si>
    <t>Jeevan Chaudhary</t>
  </si>
  <si>
    <t>1HK24CS100</t>
  </si>
  <si>
    <t>Jeevanandan R</t>
  </si>
  <si>
    <t>1HK24CS101</t>
  </si>
  <si>
    <t>Jessica J Gomes</t>
  </si>
  <si>
    <t>1HK24CS103</t>
  </si>
  <si>
    <t>Jyotsna Choudhary</t>
  </si>
  <si>
    <t>1HK24CS104</t>
  </si>
  <si>
    <t>K Hudha</t>
  </si>
  <si>
    <t>1HK24CS105</t>
  </si>
  <si>
    <t>K V Suhan</t>
  </si>
  <si>
    <t>1HK24CS106</t>
  </si>
  <si>
    <t>Kalpitha A J</t>
  </si>
  <si>
    <t>1HK24CS107</t>
  </si>
  <si>
    <t>Kamalesh Chhaju Rathod</t>
  </si>
  <si>
    <t>1HK24CS108</t>
  </si>
  <si>
    <t>Kanchana</t>
  </si>
  <si>
    <t>1HK24CS109</t>
  </si>
  <si>
    <t>Karan Kumar M</t>
  </si>
  <si>
    <t>1HK24CS110</t>
  </si>
  <si>
    <t>Karthik Kumar M</t>
  </si>
  <si>
    <t>1HK24CS111</t>
  </si>
  <si>
    <t>Keerthana C</t>
  </si>
  <si>
    <t>1HK24CS112</t>
  </si>
  <si>
    <t>Krishika S</t>
  </si>
  <si>
    <t>1HK24CS113</t>
  </si>
  <si>
    <t>Krishna Rawal</t>
  </si>
  <si>
    <t>1HK24CS114</t>
  </si>
  <si>
    <t>Kushagra Singh</t>
  </si>
  <si>
    <t>SIGNATURE OF FACULTIES</t>
  </si>
  <si>
    <t>SK</t>
  </si>
  <si>
    <t>VM</t>
  </si>
  <si>
    <t>MK</t>
  </si>
  <si>
    <t>NR</t>
  </si>
  <si>
    <t>KM</t>
  </si>
  <si>
    <t>SD</t>
  </si>
  <si>
    <t>SMT</t>
  </si>
  <si>
    <t>AM/BS</t>
  </si>
  <si>
    <t xml:space="preserve">                   Class Teacher Signature                                       HOD Signature                                            Principal Signature</t>
  </si>
  <si>
    <t>SL NO</t>
  </si>
  <si>
    <t>NAME</t>
  </si>
  <si>
    <t>MC</t>
  </si>
  <si>
    <t xml:space="preserve"> Coordinatership</t>
  </si>
  <si>
    <t>Remarks</t>
  </si>
  <si>
    <t>23rd Feb to 28th Feb, 9th March to 11th March, 30th March to 1st April</t>
  </si>
  <si>
    <t>Participated in Sports Event</t>
  </si>
  <si>
    <t>26th March 2025 (10.20 to 12.50 pm)</t>
  </si>
  <si>
    <t>Oracle Center Inaguration</t>
  </si>
  <si>
    <t>08th April 2026</t>
  </si>
  <si>
    <t>Participated in Chess</t>
  </si>
  <si>
    <t>1st April 2026 (10.00 to 12.30 pm)</t>
  </si>
  <si>
    <t>Technical Quiz Participation</t>
  </si>
  <si>
    <t>31-03-2026,  01-04-2026,    02-04-2026,   06-04-2026,  07-04-2026 , 08-04-2026</t>
  </si>
  <si>
    <t>Mental Health Awareness Program</t>
  </si>
  <si>
    <t>25th March 2026  to 9th April 2026</t>
  </si>
  <si>
    <t>Travelling to Saudi Arabia</t>
  </si>
  <si>
    <t>2nd April 2026</t>
  </si>
  <si>
    <t>Leg Injury</t>
  </si>
  <si>
    <t>31-03-2026 , 02-04-2026</t>
  </si>
  <si>
    <t>Samshodhana Event</t>
  </si>
  <si>
    <t>17th March 2026,                                        26th March 2026 (10.20 to 12.50 pm)</t>
  </si>
  <si>
    <t>Foss Cell,                                                 Oracle Center Inaguration</t>
  </si>
  <si>
    <t>10th April 2026</t>
  </si>
  <si>
    <t>College Cricket Practice</t>
  </si>
  <si>
    <t>17th March 2026</t>
  </si>
  <si>
    <t>FOSS Event</t>
  </si>
  <si>
    <r>
      <rPr>
        <rFont val="Times New Roman"/>
        <b/>
        <color rgb="FF000000"/>
        <sz val="20.0"/>
      </rPr>
      <t>HKBK College of Engineering</t>
    </r>
    <r>
      <rPr>
        <rFont val="Times New Roman"/>
        <b/>
        <color rgb="FF000000"/>
        <sz val="16.0"/>
      </rPr>
      <t xml:space="preserve">  </t>
    </r>
  </si>
  <si>
    <t xml:space="preserve">     Department of Computer Science and Engineering</t>
  </si>
  <si>
    <t>EVEN Semester</t>
  </si>
  <si>
    <t xml:space="preserve">          MONTHLY SYLLABUS COVERAGE AND CLASS-TAKEN REPORT</t>
  </si>
  <si>
    <t xml:space="preserve">AY-2025-2026           SEM: IV              Sec: B                          Student Strength: 53               AS 0N   09-04-2026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</si>
  <si>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</t>
  </si>
  <si>
    <t>#</t>
  </si>
  <si>
    <t>Subject code</t>
  </si>
  <si>
    <t>Batches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</si>
  <si>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</si>
  <si>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</si>
  <si>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</si>
  <si>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</si>
  <si>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</si>
  <si>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</si>
  <si>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Signature</t>
  </si>
  <si>
    <t>Planned</t>
  </si>
  <si>
    <t>Taken</t>
  </si>
  <si>
    <t>Issued</t>
  </si>
  <si>
    <t>Valued</t>
  </si>
  <si>
    <t xml:space="preserve">BCS401        </t>
  </si>
  <si>
    <t>-</t>
  </si>
  <si>
    <t>2,5</t>
  </si>
  <si>
    <t>Dr Smitha Kurian</t>
  </si>
  <si>
    <t xml:space="preserve">BCS402        </t>
  </si>
  <si>
    <t>Dr Vilasini M</t>
  </si>
  <si>
    <t>B1/B2</t>
  </si>
  <si>
    <t>Minal Khandare</t>
  </si>
  <si>
    <t xml:space="preserve">Naresh M K </t>
  </si>
  <si>
    <t>BCS456C</t>
  </si>
  <si>
    <t xml:space="preserve">K. Manohar </t>
  </si>
  <si>
    <t>Dr. Sujitha</t>
  </si>
  <si>
    <t>Sushmita</t>
  </si>
  <si>
    <t>Anju Mariam/ Bhagyashree</t>
  </si>
  <si>
    <t xml:space="preserve">Observation by Class Teacher: </t>
  </si>
  <si>
    <t>Observation by HOD:</t>
  </si>
  <si>
    <t>CLASS TEACHER</t>
  </si>
  <si>
    <t>HOD</t>
  </si>
  <si>
    <r>
      <rPr>
        <rFont val="Times New Roman"/>
        <b/>
        <color rgb="FF000000"/>
        <sz val="11.0"/>
      </rPr>
      <t xml:space="preserve">            Observation by Principal:</t>
    </r>
    <r>
      <rPr>
        <rFont val="Times New Roman"/>
        <b/>
        <color rgb="FF000000"/>
        <sz val="12.0"/>
      </rPr>
      <t xml:space="preserve"> </t>
    </r>
  </si>
  <si>
    <t>PRINCIPAL</t>
  </si>
  <si>
    <t xml:space="preserve">                                                                                                                     </t>
  </si>
  <si>
    <t xml:space="preserve">    HKBK College of Engineering                                                                                                             </t>
  </si>
  <si>
    <t xml:space="preserve">Nagawara, Bengaluru-560045                   </t>
  </si>
  <si>
    <t>Department of Computer Science and Engineering</t>
  </si>
  <si>
    <t xml:space="preserve">                                         AY-2023-24</t>
  </si>
  <si>
    <t xml:space="preserve">AY 2025-26 </t>
  </si>
  <si>
    <t xml:space="preserve">                                                      CONSOLIDATED STATEMENT OF FIRST IA MARKS                                                                  </t>
  </si>
  <si>
    <t xml:space="preserve">        Sem 4th/EVEN </t>
  </si>
  <si>
    <t>SEC: B</t>
  </si>
  <si>
    <t>Sno</t>
  </si>
  <si>
    <t>Name</t>
  </si>
  <si>
    <t xml:space="preserve">BCS403        </t>
  </si>
  <si>
    <t xml:space="preserve">BCS405A      </t>
  </si>
  <si>
    <t>BCS456A</t>
  </si>
  <si>
    <t>#of Subs &lt; 50% of IA</t>
  </si>
  <si>
    <t>Max 50</t>
  </si>
  <si>
    <t>AB</t>
  </si>
  <si>
    <t>No of Students Present</t>
  </si>
  <si>
    <t>No of Students Absent</t>
  </si>
  <si>
    <t>No of Students secured less than Passing Mark</t>
  </si>
  <si>
    <t xml:space="preserve">  Signature of Class Teacher</t>
  </si>
  <si>
    <t xml:space="preserve"> Signature of HOD</t>
  </si>
  <si>
    <t xml:space="preserve"> Signature of Principal</t>
  </si>
  <si>
    <t xml:space="preserve">         </t>
  </si>
  <si>
    <t>HKBK College of Engineering</t>
  </si>
  <si>
    <t xml:space="preserve"> MENTOR REPORT for Students &lt;75% Attendance</t>
  </si>
  <si>
    <t>AY-2025-26                            SEM &amp; SEC - 4B</t>
  </si>
  <si>
    <t>Attendenace %</t>
  </si>
  <si>
    <t>IA1 Performance</t>
  </si>
  <si>
    <t>Mentor Name</t>
  </si>
  <si>
    <t>Mentor Comments</t>
  </si>
  <si>
    <t>Failed in 1 Subject</t>
  </si>
  <si>
    <t>Prof Sushmitha</t>
  </si>
  <si>
    <t xml:space="preserve">He was not well and not able to understand 1 subject </t>
  </si>
  <si>
    <t>ABSENT for 3 Subjects, Failed in 2</t>
  </si>
  <si>
    <t>He was unwell, but he will ensure that he scores good marks in the next internals</t>
  </si>
  <si>
    <t>Passed in all Subjects</t>
  </si>
  <si>
    <t>Prof Naresh</t>
  </si>
  <si>
    <t>She went to abroad with permisstion</t>
  </si>
  <si>
    <t>Failed in all  6 Subjects</t>
  </si>
  <si>
    <t>irregular to the classes, he use stay in the hostel not coming to the classes</t>
  </si>
  <si>
    <t>ABSENT for 4 Subjects, Failed in 2</t>
  </si>
  <si>
    <t>ABSENT</t>
  </si>
  <si>
    <t>he reported to the classes late</t>
  </si>
  <si>
    <t>Prof Krushika</t>
  </si>
  <si>
    <t>His contact number is not reachable</t>
  </si>
  <si>
    <t>He reported late after exams, he will be regular here after</t>
  </si>
  <si>
    <t>Class Teacher</t>
  </si>
  <si>
    <t>HOD-CSE</t>
  </si>
  <si>
    <t>HKBK/TL/022/2022-23</t>
  </si>
  <si>
    <t>Department of Computer Science Engineering</t>
  </si>
  <si>
    <t xml:space="preserve">STATEMENT OF ATTENDANCE                  </t>
  </si>
  <si>
    <t xml:space="preserve">AY-2022-23             </t>
  </si>
  <si>
    <t>Till Date:  28/06/23</t>
  </si>
  <si>
    <t>Semester: II</t>
  </si>
  <si>
    <t>Section : F</t>
  </si>
  <si>
    <t>IA 1</t>
  </si>
  <si>
    <t>&lt; 50%</t>
  </si>
  <si>
    <t/>
  </si>
  <si>
    <t>Subject</t>
  </si>
  <si>
    <t>BMATS201</t>
  </si>
  <si>
    <t xml:space="preserve">  BCHES202</t>
  </si>
  <si>
    <t>BCED203</t>
  </si>
  <si>
    <t>BESCK204B</t>
  </si>
  <si>
    <t>BPLCK205B</t>
  </si>
  <si>
    <t xml:space="preserve">BPWSK206 </t>
  </si>
  <si>
    <t>BKSKK207/BKBKK207</t>
  </si>
  <si>
    <t>BKIDTK258</t>
  </si>
  <si>
    <t>BMATS201P</t>
  </si>
  <si>
    <t>BCHES202P</t>
  </si>
  <si>
    <t>BPLCK205BP</t>
  </si>
  <si>
    <t>1HK20CS025</t>
  </si>
  <si>
    <t>AMITH S</t>
  </si>
  <si>
    <t>1HK22CS001</t>
  </si>
  <si>
    <t>AADARSH PRADHAN</t>
  </si>
  <si>
    <t>1HK22CS011</t>
  </si>
  <si>
    <t>AKSHAY K S</t>
  </si>
  <si>
    <t>SL</t>
  </si>
  <si>
    <t>DVG</t>
  </si>
  <si>
    <t>YP</t>
  </si>
  <si>
    <t>YMR</t>
  </si>
  <si>
    <t>LM</t>
  </si>
  <si>
    <t>PC</t>
  </si>
  <si>
    <t>KN/MP</t>
  </si>
  <si>
    <t>AA</t>
  </si>
  <si>
    <t>Class Teacher Signature</t>
  </si>
  <si>
    <t>HOD Signature</t>
  </si>
  <si>
    <t>Principal Signature</t>
  </si>
  <si>
    <t>50% -74%</t>
  </si>
  <si>
    <t>1HK22CS003</t>
  </si>
  <si>
    <t>ABHAY VIJAY</t>
  </si>
  <si>
    <t>1HK22CS004</t>
  </si>
  <si>
    <t>ABHINAV NARAYANAN</t>
  </si>
  <si>
    <t>1HK22CS013</t>
  </si>
  <si>
    <t>ALFIYA REHMAN</t>
  </si>
  <si>
    <t>1HK22CS014</t>
  </si>
  <si>
    <t>AMAL MUHAMMED</t>
  </si>
  <si>
    <t>1HK22CS016</t>
  </si>
  <si>
    <t>ANANYA RAMACHANDRA NAIK</t>
  </si>
  <si>
    <t>1HK22CS017</t>
  </si>
  <si>
    <t>ANKIT SHAMUWEL AKHADE</t>
  </si>
  <si>
    <t>1HK22CS023</t>
  </si>
  <si>
    <t>AWAID CHANDRA M</t>
  </si>
  <si>
    <t>1HK22CS025</t>
  </si>
  <si>
    <t>B RADHA</t>
  </si>
  <si>
    <t>1HK22CS036</t>
  </si>
  <si>
    <t>D PRASANNA KUMAR NADAGOUDA</t>
  </si>
  <si>
    <t>1HK22CS045</t>
  </si>
  <si>
    <t>HARSH TEBRIWAL</t>
  </si>
  <si>
    <t>1HK22CS062</t>
  </si>
  <si>
    <t>LAVANYA G L</t>
  </si>
  <si>
    <t>74% -84%</t>
  </si>
  <si>
    <t>1HK22CS005</t>
  </si>
  <si>
    <t>ABHISHEK MOHANTY</t>
  </si>
  <si>
    <t>1HK22CS015</t>
  </si>
  <si>
    <t>AMRA FIRDOSE SHAIKH</t>
  </si>
  <si>
    <t>1HK22CS021</t>
  </si>
  <si>
    <t>ASHWINI</t>
  </si>
  <si>
    <t>1HK22CS031</t>
  </si>
  <si>
    <t>CHAITRA B</t>
  </si>
  <si>
    <t>1HK22CS037</t>
  </si>
  <si>
    <t>DHANUSH C G</t>
  </si>
  <si>
    <t>1HK22CS039</t>
  </si>
  <si>
    <t>ESHRATHA AZIZ</t>
  </si>
  <si>
    <t>1HK22CS044</t>
  </si>
  <si>
    <t>GOKUL E</t>
  </si>
  <si>
    <t>1HK22CS046</t>
  </si>
  <si>
    <t>HARSHITHA S</t>
  </si>
  <si>
    <t>1HK22CS047</t>
  </si>
  <si>
    <t>HIMANSHISHARMA</t>
  </si>
  <si>
    <t>1HK22CS049</t>
  </si>
  <si>
    <t>IBAD KHAN SOUDAGAR</t>
  </si>
  <si>
    <t>1HK22CS050</t>
  </si>
  <si>
    <t>IFRA MAHIN</t>
  </si>
  <si>
    <t>1HK22CS054</t>
  </si>
  <si>
    <t>JAYANTH KISHORE</t>
  </si>
  <si>
    <t>1HK22CS060</t>
  </si>
  <si>
    <t>KIRAN</t>
  </si>
  <si>
    <t>1HK22CS063</t>
  </si>
  <si>
    <t>LIKITHA M B</t>
  </si>
  <si>
    <t>&gt;=85%</t>
  </si>
  <si>
    <t>5,4,4</t>
  </si>
  <si>
    <t>4,5,5</t>
  </si>
  <si>
    <t>5,5,5</t>
  </si>
  <si>
    <t>1HK22CS002</t>
  </si>
  <si>
    <t>AAMIL JAMAL</t>
  </si>
  <si>
    <t>1HK22CS006</t>
  </si>
  <si>
    <t>ADEEBA ANJUM G</t>
  </si>
  <si>
    <t>1HK22CS007</t>
  </si>
  <si>
    <t>ADEEBA HADIS</t>
  </si>
  <si>
    <t>1HK22CS008</t>
  </si>
  <si>
    <t>ADVAITH DINESAN PUDUSSERY</t>
  </si>
  <si>
    <t>1HK22CS009</t>
  </si>
  <si>
    <t>AKASH MORE</t>
  </si>
  <si>
    <t>1HK22CS010</t>
  </si>
  <si>
    <t>AKSHAY B M</t>
  </si>
  <si>
    <t>1HK22CS012</t>
  </si>
  <si>
    <t>ALEN ROY</t>
  </si>
  <si>
    <t>1HK22CS018</t>
  </si>
  <si>
    <t>ANUSHA KULKARNI</t>
  </si>
  <si>
    <t>1HK22CS019</t>
  </si>
  <si>
    <t>ANUSHREE A KADWADKAR</t>
  </si>
  <si>
    <t>1HK22CS020</t>
  </si>
  <si>
    <t>APEKSHA JAYAPPA NAIK</t>
  </si>
  <si>
    <t>1HK22CS022</t>
  </si>
  <si>
    <t>ASWITHA V</t>
  </si>
  <si>
    <t>1HK22CS024</t>
  </si>
  <si>
    <t>B MOHAMMED MATHEEN</t>
  </si>
  <si>
    <t>1HK22CS026</t>
  </si>
  <si>
    <t>B BALASUBRAMANI</t>
  </si>
  <si>
    <t>1HK22CS027</t>
  </si>
  <si>
    <t>BETINA BIJU</t>
  </si>
  <si>
    <t>1HK22CS028</t>
  </si>
  <si>
    <t>BHARATH H</t>
  </si>
  <si>
    <t>1HK22CS029</t>
  </si>
  <si>
    <t>C H DHANYA</t>
  </si>
  <si>
    <t>1HK22CS030</t>
  </si>
  <si>
    <t>CHAITRA</t>
  </si>
  <si>
    <t>1HK22CS032</t>
  </si>
  <si>
    <t>CHANDANA P V</t>
  </si>
  <si>
    <t>1HK22CS033</t>
  </si>
  <si>
    <t>CHANDRA NAIK H</t>
  </si>
  <si>
    <t>1HK22CS034</t>
  </si>
  <si>
    <t>CHANNAKESHAVA D L</t>
  </si>
  <si>
    <t>1HK22CS035</t>
  </si>
  <si>
    <t>CHETHAN KUMAR K B</t>
  </si>
  <si>
    <t>1HK22CS038</t>
  </si>
  <si>
    <t>DOKE NISHANT MACHINDRA</t>
  </si>
  <si>
    <t>1HK22CS041</t>
  </si>
  <si>
    <t>FASIHA REHAMAN</t>
  </si>
  <si>
    <t>1HK22CS042</t>
  </si>
  <si>
    <t>GAGAN S</t>
  </si>
  <si>
    <t>1HK22CS043</t>
  </si>
  <si>
    <t>GANESH</t>
  </si>
  <si>
    <t>1HK22CS048</t>
  </si>
  <si>
    <t xml:space="preserve">I GEO SELCIYA </t>
  </si>
  <si>
    <t>1HK22CS051</t>
  </si>
  <si>
    <t>IHSAN RAFEEQUE SAINUDHEEN</t>
  </si>
  <si>
    <t>1HK22CS052</t>
  </si>
  <si>
    <t>JANANI A</t>
  </si>
  <si>
    <t>1HK22CS053</t>
  </si>
  <si>
    <t>JAUHAR MOHAMMED PARAPPU</t>
  </si>
  <si>
    <t>1HK22CS055</t>
  </si>
  <si>
    <t>JITHIN P JOJI</t>
  </si>
  <si>
    <t>1HK22CS056</t>
  </si>
  <si>
    <t>JUNAID PASHA</t>
  </si>
  <si>
    <t>1HK22CS057</t>
  </si>
  <si>
    <t>K AYESHA</t>
  </si>
  <si>
    <t>1HK22CS058</t>
  </si>
  <si>
    <t>K S SANTOSH</t>
  </si>
  <si>
    <t>1HK22CS059</t>
  </si>
  <si>
    <t>KAVYA M</t>
  </si>
  <si>
    <t>1HK22CS061</t>
  </si>
  <si>
    <t>KUSHAL M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</si>
</sst>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-dd\-yyyy"/>
    <numFmt numFmtId="165" formatCode="m/d"/>
    <numFmt numFmtId="166" formatCode="0.0"/>
  </numFmts>
  <fonts count="38">
    <font>
      <sz val="10.0"/>
      <color rgb="FF000000"/>
      <name val="Arial"/>
      <scheme val="minor"/>
    </font>
    <font>
      <sz val="9.0"/>
      <color rgb="FF000000"/>
      <name val="Times New Roman"/>
    </font>
    <font>
      <sz val="10.0"/>
      <color rgb="FF000000"/>
      <name val="Times New Roman"/>
    </font>
    <font>
      <sz val="10.0"/>
      <color rgb="FF000000"/>
      <name val="Arial"/>
    </font>
    <font>
      <b/>
      <sz val="9.0"/>
      <color rgb="FF000000"/>
      <name val="Times New Roman"/>
    </font>
    <font>
      <b/>
      <sz val="16.0"/>
      <color rgb="FF00000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Calibri"/>
    </font>
    <font>
      <sz val="12.0"/>
      <color rgb="FF000000"/>
      <name val="Arial"/>
    </font>
    <font>
      <sz val="12.0"/>
      <color rgb="FF000000"/>
      <name val="Times New Roman"/>
    </font>
    <font>
      <b/>
      <sz val="9.0"/>
      <color rgb="FF000000"/>
      <name val="Calibri"/>
    </font>
    <font>
      <sz val="9.0"/>
      <color rgb="FF000000"/>
      <name val="Calibri"/>
    </font>
    <font>
      <b/>
      <sz val="10.0"/>
      <color rgb="FF000000"/>
      <name val="Times New Roman"/>
    </font>
    <font/>
    <font>
      <sz val="10.0"/>
      <color theme="1"/>
      <name val="Arial"/>
    </font>
    <font>
      <b/>
      <u/>
      <sz val="10.0"/>
      <color rgb="FF000000"/>
      <name val="Times New Roman"/>
    </font>
    <font>
      <sz val="11.0"/>
      <color rgb="FF000000"/>
      <name val="Times New Roman"/>
    </font>
    <font>
      <b/>
      <sz val="10.0"/>
      <color theme="1"/>
      <name val="Arial"/>
    </font>
    <font>
      <sz val="9.0"/>
      <color rgb="FF000000"/>
      <name val="Arial"/>
    </font>
    <font>
      <sz val="8.0"/>
      <color rgb="FF000000"/>
      <name val="Arial"/>
    </font>
    <font>
      <b/>
      <sz val="11.0"/>
      <color rgb="FF000000"/>
      <name val="Times New Roman"/>
    </font>
    <font>
      <b/>
      <sz val="13.0"/>
      <color rgb="FF000000"/>
      <name val="Times New Roman"/>
    </font>
    <font>
      <sz val="13.0"/>
      <color rgb="FF000000"/>
      <name val="Times New Roman"/>
    </font>
    <font>
      <sz val="13.0"/>
      <color theme="1"/>
      <name val="Times New Roman"/>
    </font>
    <font>
      <b/>
      <sz val="20.0"/>
      <color rgb="FF000000"/>
      <name val="Times New Roman"/>
    </font>
    <font>
      <sz val="16.0"/>
      <color rgb="FF000000"/>
      <name val="Times New Roman"/>
    </font>
    <font>
      <b/>
      <sz val="18.0"/>
      <color rgb="FF000000"/>
      <name val="Times New Roman"/>
    </font>
    <font>
      <sz val="12.0"/>
      <color theme="1"/>
      <name val="Times New Roman"/>
    </font>
    <font>
      <b/>
      <sz val="17.0"/>
      <color rgb="FF000000"/>
      <name val="Times New Roman"/>
    </font>
    <font>
      <b/>
      <sz val="15.0"/>
      <color rgb="FF000000"/>
      <name val="Times New Roman"/>
    </font>
    <font>
      <b/>
      <u/>
      <sz val="9.0"/>
      <color rgb="FF000000"/>
      <name val="Times New Roman"/>
    </font>
    <font>
      <sz val="11.0"/>
      <color rgb="FF000000"/>
      <name val="Calibri"/>
    </font>
    <font>
      <b/>
      <sz val="9.0"/>
      <color rgb="FF000000"/>
      <name val="&quot;lohit kannada&quot;"/>
    </font>
    <font>
      <b/>
      <sz val="9.0"/>
      <color rgb="FF000000"/>
      <name val="Arial"/>
    </font>
    <font>
      <u/>
      <sz val="11.0"/>
      <color rgb="FF000000"/>
      <name val="Times New Roman"/>
    </font>
    <font>
      <sz val="9.0"/>
      <color rgb="FF000000"/>
      <name val="&quot;lohit kannada&quot;"/>
    </font>
    <font>
      <b/>
      <u/>
      <sz val="9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5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vertical="bottom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0" fillId="0" fontId="4" numFmtId="1" xfId="0" applyAlignment="1" applyFont="1" applyNumberFormat="1">
      <alignment horizontal="left" vertical="top"/>
    </xf>
    <xf borderId="0" fillId="0" fontId="5" numFmtId="0" xfId="0" applyAlignment="1" applyFont="1">
      <alignment horizontal="left" shrinkToFit="0" vertical="bottom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bottom"/>
    </xf>
    <xf borderId="4" fillId="2" fontId="8" numFmtId="3" xfId="0" applyAlignment="1" applyBorder="1" applyFill="1" applyFont="1" applyNumberForma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0" xfId="0" applyAlignment="1" applyFont="1">
      <alignment horizontal="center" vertical="top"/>
    </xf>
    <xf borderId="5" fillId="3" fontId="7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left" vertical="center"/>
    </xf>
    <xf borderId="8" fillId="3" fontId="13" numFmtId="0" xfId="0" applyAlignment="1" applyBorder="1" applyFont="1">
      <alignment horizontal="center" readingOrder="0" vertical="bottom"/>
    </xf>
    <xf borderId="9" fillId="0" fontId="14" numFmtId="0" xfId="0" applyAlignment="1" applyBorder="1" applyFont="1">
      <alignment vertical="center"/>
    </xf>
    <xf borderId="10" fillId="3" fontId="13" numFmtId="0" xfId="0" applyAlignment="1" applyBorder="1" applyFont="1">
      <alignment horizontal="center" readingOrder="0" vertical="bottom"/>
    </xf>
    <xf borderId="11" fillId="3" fontId="15" numFmtId="0" xfId="0" applyAlignment="1" applyBorder="1" applyFont="1">
      <alignment readingOrder="0" vertical="center"/>
    </xf>
    <xf borderId="5" fillId="3" fontId="16" numFmtId="0" xfId="0" applyAlignment="1" applyBorder="1" applyFont="1">
      <alignment horizontal="center" vertical="center"/>
    </xf>
    <xf borderId="12" fillId="0" fontId="14" numFmtId="0" xfId="0" applyAlignment="1" applyBorder="1" applyFont="1">
      <alignment vertical="center"/>
    </xf>
    <xf borderId="13" fillId="3" fontId="7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left" readingOrder="0" vertical="center"/>
    </xf>
    <xf borderId="8" fillId="3" fontId="13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vertical="center"/>
    </xf>
    <xf borderId="14" fillId="3" fontId="7" numFmtId="0" xfId="0" applyAlignment="1" applyBorder="1" applyFont="1">
      <alignment horizontal="center" vertical="center"/>
    </xf>
    <xf borderId="8" fillId="3" fontId="13" numFmtId="0" xfId="0" applyAlignment="1" applyBorder="1" applyFont="1">
      <alignment horizontal="center" shrinkToFit="0" vertical="center" wrapText="1"/>
    </xf>
    <xf borderId="10" fillId="3" fontId="13" numFmtId="0" xfId="0" applyAlignment="1" applyBorder="1" applyFont="1">
      <alignment horizontal="center" shrinkToFit="0" vertical="center" wrapText="1"/>
    </xf>
    <xf borderId="10" fillId="3" fontId="13" numFmtId="0" xfId="0" applyAlignment="1" applyBorder="1" applyFont="1">
      <alignment horizontal="center" readingOrder="0" shrinkToFit="0" vertical="center" wrapText="1"/>
    </xf>
    <xf borderId="14" fillId="3" fontId="13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left" vertical="center"/>
    </xf>
    <xf borderId="15" fillId="3" fontId="13" numFmtId="0" xfId="0" applyAlignment="1" applyBorder="1" applyFont="1">
      <alignment horizontal="center" vertical="center"/>
    </xf>
    <xf borderId="5" fillId="3" fontId="13" numFmtId="0" xfId="0" applyAlignment="1" applyBorder="1" applyFont="1">
      <alignment horizontal="center" vertical="center"/>
    </xf>
    <xf borderId="16" fillId="3" fontId="13" numFmtId="0" xfId="0" applyAlignment="1" applyBorder="1" applyFont="1">
      <alignment horizontal="center" vertical="center"/>
    </xf>
    <xf borderId="17" fillId="0" fontId="14" numFmtId="0" xfId="0" applyAlignment="1" applyBorder="1" applyFont="1">
      <alignment vertical="center"/>
    </xf>
    <xf borderId="18" fillId="0" fontId="14" numFmtId="0" xfId="0" applyAlignment="1" applyBorder="1" applyFont="1">
      <alignment vertical="center"/>
    </xf>
    <xf borderId="7" fillId="2" fontId="17" numFmtId="0" xfId="0" applyAlignment="1" applyBorder="1" applyFont="1">
      <alignment horizontal="center" shrinkToFit="0" vertical="top" wrapText="1"/>
    </xf>
    <xf borderId="7" fillId="2" fontId="17" numFmtId="0" xfId="0" applyAlignment="1" applyBorder="1" applyFont="1">
      <alignment horizontal="center" vertical="center"/>
    </xf>
    <xf borderId="19" fillId="2" fontId="17" numFmtId="0" xfId="0" applyAlignment="1" applyBorder="1" applyFont="1">
      <alignment vertical="center"/>
    </xf>
    <xf borderId="7" fillId="0" fontId="10" numFmtId="0" xfId="0" applyAlignment="1" applyBorder="1" applyFont="1">
      <alignment horizontal="center" readingOrder="0" vertical="center"/>
    </xf>
    <xf borderId="7" fillId="0" fontId="10" numFmtId="1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center" readingOrder="0" shrinkToFit="0" vertical="center" wrapText="0"/>
    </xf>
    <xf borderId="7" fillId="2" fontId="10" numFmtId="1" xfId="0" applyAlignment="1" applyBorder="1" applyFont="1" applyNumberFormat="1">
      <alignment horizontal="center" readingOrder="0" shrinkToFit="0" vertical="center" wrapText="0"/>
    </xf>
    <xf borderId="7" fillId="2" fontId="10" numFmtId="1" xfId="0" applyAlignment="1" applyBorder="1" applyFont="1" applyNumberFormat="1">
      <alignment horizontal="center" readingOrder="0" shrinkToFit="0" vertical="center" wrapText="1"/>
    </xf>
    <xf borderId="7" fillId="2" fontId="10" numFmtId="1" xfId="0" applyAlignment="1" applyBorder="1" applyFont="1" applyNumberFormat="1">
      <alignment horizontal="center" vertical="center"/>
    </xf>
    <xf borderId="7" fillId="0" fontId="10" numFmtId="1" xfId="0" applyAlignment="1" applyBorder="1" applyFont="1" applyNumberFormat="1">
      <alignment horizontal="center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7" fillId="2" fontId="10" numFmtId="0" xfId="0" applyAlignment="1" applyBorder="1" applyFont="1">
      <alignment horizontal="center" readingOrder="0" shrinkToFit="0" vertical="center" wrapText="1"/>
    </xf>
    <xf borderId="7" fillId="2" fontId="10" numFmtId="3" xfId="0" applyAlignment="1" applyBorder="1" applyFont="1" applyNumberFormat="1">
      <alignment horizontal="center" shrinkToFit="0" vertical="center" wrapText="1"/>
    </xf>
    <xf borderId="7" fillId="2" fontId="10" numFmtId="3" xfId="0" applyAlignment="1" applyBorder="1" applyFont="1" applyNumberFormat="1">
      <alignment horizontal="center" readingOrder="0" shrinkToFit="0" vertical="center" wrapText="1"/>
    </xf>
    <xf borderId="19" fillId="2" fontId="17" numFmtId="0" xfId="0" applyAlignment="1" applyBorder="1" applyFont="1">
      <alignment horizontal="left" shrinkToFit="0" vertical="center" wrapText="1"/>
    </xf>
    <xf borderId="6" fillId="2" fontId="17" numFmtId="0" xfId="0" applyAlignment="1" applyBorder="1" applyFont="1">
      <alignment horizontal="center" vertical="center"/>
    </xf>
    <xf borderId="20" fillId="2" fontId="17" numFmtId="0" xfId="0" applyAlignment="1" applyBorder="1" applyFont="1">
      <alignment vertical="center"/>
    </xf>
    <xf borderId="7" fillId="2" fontId="17" numFmtId="0" xfId="0" applyAlignment="1" applyBorder="1" applyFont="1">
      <alignment horizontal="center" vertical="top"/>
    </xf>
    <xf borderId="6" fillId="2" fontId="17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vertical="center"/>
    </xf>
    <xf borderId="2" fillId="0" fontId="14" numFmtId="0" xfId="0" applyAlignment="1" applyBorder="1" applyFont="1">
      <alignment vertical="center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0" fillId="0" fontId="18" numFmtId="0" xfId="0" applyAlignment="1" applyBorder="1" applyFont="1">
      <alignment horizontal="center" readingOrder="0" vertical="center"/>
    </xf>
    <xf borderId="16" fillId="2" fontId="4" numFmtId="3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21" fillId="0" fontId="1" numFmtId="1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4" fillId="2" fontId="20" numFmtId="0" xfId="0" applyAlignment="1" applyBorder="1" applyFont="1">
      <alignment horizontal="center" shrinkToFit="0" vertical="center" wrapText="1"/>
    </xf>
    <xf borderId="4" fillId="4" fontId="1" numFmtId="3" xfId="0" applyAlignment="1" applyBorder="1" applyFill="1" applyFont="1" applyNumberFormat="1">
      <alignment horizontal="left" vertical="bottom"/>
    </xf>
    <xf borderId="0" fillId="0" fontId="21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7" fillId="2" fontId="17" numFmtId="0" xfId="0" applyAlignment="1" applyBorder="1" applyFont="1">
      <alignment horizontal="center" readingOrder="0" shrinkToFit="0" vertical="top" wrapText="1"/>
    </xf>
    <xf borderId="6" fillId="3" fontId="22" numFmtId="0" xfId="0" applyAlignment="1" applyBorder="1" applyFont="1">
      <alignment vertical="bottom"/>
    </xf>
    <xf borderId="7" fillId="3" fontId="22" numFmtId="0" xfId="0" applyAlignment="1" applyBorder="1" applyFont="1">
      <alignment horizontal="center" vertical="bottom"/>
    </xf>
    <xf borderId="6" fillId="3" fontId="22" numFmtId="0" xfId="0" applyAlignment="1" applyBorder="1" applyFont="1">
      <alignment horizontal="center" vertical="bottom"/>
    </xf>
    <xf borderId="7" fillId="3" fontId="22" numFmtId="0" xfId="0" applyAlignment="1" applyBorder="1" applyFont="1">
      <alignment vertical="bottom"/>
    </xf>
    <xf borderId="7" fillId="2" fontId="23" numFmtId="0" xfId="0" applyAlignment="1" applyBorder="1" applyFont="1">
      <alignment horizontal="center" shrinkToFit="0" vertical="top" wrapText="1"/>
    </xf>
    <xf borderId="7" fillId="2" fontId="23" numFmtId="0" xfId="0" applyAlignment="1" applyBorder="1" applyFont="1">
      <alignment horizontal="center" vertical="center"/>
    </xf>
    <xf borderId="7" fillId="2" fontId="23" numFmtId="0" xfId="0" applyAlignment="1" applyBorder="1" applyFont="1">
      <alignment vertical="center"/>
    </xf>
    <xf borderId="7" fillId="0" fontId="23" numFmtId="0" xfId="0" applyAlignment="1" applyBorder="1" applyFont="1">
      <alignment vertical="center"/>
    </xf>
    <xf borderId="7" fillId="0" fontId="23" numFmtId="0" xfId="0" applyAlignment="1" applyBorder="1" applyFont="1">
      <alignment shrinkToFit="0" vertical="center" wrapText="1"/>
    </xf>
    <xf borderId="7" fillId="0" fontId="22" numFmtId="164" xfId="0" applyAlignment="1" applyBorder="1" applyFont="1" applyNumberFormat="1">
      <alignment horizontal="left" vertical="top"/>
    </xf>
    <xf borderId="0" fillId="0" fontId="24" numFmtId="0" xfId="0" applyAlignment="1" applyFont="1">
      <alignment shrinkToFit="0" vertical="center" wrapText="1"/>
    </xf>
    <xf borderId="7" fillId="0" fontId="23" numFmtId="14" xfId="0" applyAlignment="1" applyBorder="1" applyFont="1" applyNumberFormat="1">
      <alignment horizontal="left" vertical="center"/>
    </xf>
    <xf borderId="5" fillId="2" fontId="23" numFmtId="0" xfId="0" applyAlignment="1" applyBorder="1" applyFont="1">
      <alignment horizontal="center" shrinkToFit="0" vertical="top" wrapText="1"/>
    </xf>
    <xf borderId="5" fillId="2" fontId="23" numFmtId="0" xfId="0" applyAlignment="1" applyBorder="1" applyFont="1">
      <alignment horizontal="center" vertical="center"/>
    </xf>
    <xf borderId="5" fillId="2" fontId="23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vertical="center"/>
    </xf>
    <xf borderId="7" fillId="0" fontId="24" numFmtId="0" xfId="0" applyAlignment="1" applyBorder="1" applyFont="1">
      <alignment shrinkToFit="0" vertical="center" wrapText="1"/>
    </xf>
    <xf borderId="7" fillId="0" fontId="24" numFmtId="0" xfId="0" applyAlignment="1" applyBorder="1" applyFont="1">
      <alignment vertical="center"/>
    </xf>
    <xf borderId="23" fillId="0" fontId="14" numFmtId="0" xfId="0" applyAlignment="1" applyBorder="1" applyFont="1">
      <alignment vertical="center"/>
    </xf>
    <xf borderId="5" fillId="0" fontId="23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left" readingOrder="0" vertical="center"/>
    </xf>
    <xf borderId="7" fillId="0" fontId="23" numFmtId="14" xfId="0" applyAlignment="1" applyBorder="1" applyFont="1" applyNumberFormat="1">
      <alignment vertical="center"/>
    </xf>
    <xf borderId="7" fillId="0" fontId="23" numFmtId="0" xfId="0" applyAlignment="1" applyBorder="1" applyFont="1">
      <alignment readingOrder="0" vertical="center"/>
    </xf>
    <xf borderId="7" fillId="2" fontId="23" numFmtId="0" xfId="0" applyAlignment="1" applyBorder="1" applyFont="1">
      <alignment horizontal="center" vertical="top"/>
    </xf>
    <xf borderId="0" fillId="0" fontId="24" numFmtId="0" xfId="0" applyAlignment="1" applyFont="1">
      <alignment vertical="center"/>
    </xf>
    <xf borderId="0" fillId="5" fontId="24" numFmtId="0" xfId="0" applyAlignment="1" applyFill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5" fillId="2" fontId="23" numFmtId="0" xfId="0" applyAlignment="1" applyBorder="1" applyFont="1">
      <alignment horizontal="center" vertical="top"/>
    </xf>
    <xf borderId="6" fillId="2" fontId="23" numFmtId="0" xfId="0" applyAlignment="1" applyBorder="1" applyFont="1">
      <alignment horizontal="center" shrinkToFit="0" vertical="top" wrapText="1"/>
    </xf>
    <xf borderId="6" fillId="2" fontId="23" numFmtId="0" xfId="0" applyAlignment="1" applyBorder="1" applyFont="1">
      <alignment horizontal="center" vertical="top"/>
    </xf>
    <xf borderId="6" fillId="2" fontId="23" numFmtId="0" xfId="0" applyAlignment="1" applyBorder="1" applyFont="1">
      <alignment vertical="center"/>
    </xf>
    <xf borderId="5" fillId="0" fontId="23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24" fillId="3" fontId="21" numFmtId="0" xfId="0" applyAlignment="1" applyBorder="1" applyFont="1">
      <alignment horizontal="center" shrinkToFit="0" vertical="center" wrapText="1"/>
    </xf>
    <xf borderId="25" fillId="3" fontId="21" numFmtId="0" xfId="0" applyAlignment="1" applyBorder="1" applyFont="1">
      <alignment horizontal="center" shrinkToFit="0" vertical="center" wrapText="1"/>
    </xf>
    <xf borderId="26" fillId="3" fontId="21" numFmtId="0" xfId="0" applyAlignment="1" applyBorder="1" applyFont="1">
      <alignment horizontal="center" shrinkToFit="0" vertical="center" wrapText="1"/>
    </xf>
    <xf borderId="27" fillId="0" fontId="14" numFmtId="0" xfId="0" applyAlignment="1" applyBorder="1" applyFont="1">
      <alignment vertical="center"/>
    </xf>
    <xf borderId="28" fillId="3" fontId="21" numFmtId="0" xfId="0" applyAlignment="1" applyBorder="1" applyFont="1">
      <alignment horizontal="center" shrinkToFit="0" vertical="center" wrapText="1"/>
    </xf>
    <xf borderId="29" fillId="0" fontId="14" numFmtId="0" xfId="0" applyAlignment="1" applyBorder="1" applyFont="1">
      <alignment vertical="center"/>
    </xf>
    <xf borderId="7" fillId="3" fontId="21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vertical="center"/>
    </xf>
    <xf borderId="31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readingOrder="0" shrinkToFit="0" vertical="center" wrapText="1"/>
    </xf>
    <xf borderId="7" fillId="0" fontId="17" numFmtId="9" xfId="0" applyAlignment="1" applyBorder="1" applyFont="1" applyNumberFormat="1">
      <alignment horizontal="center" readingOrder="0" shrinkToFit="0" vertical="center" wrapText="1"/>
    </xf>
    <xf borderId="7" fillId="0" fontId="17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left" readingOrder="0" shrinkToFit="0" vertical="center" wrapText="1"/>
    </xf>
    <xf borderId="32" fillId="0" fontId="17" numFmtId="0" xfId="0" applyAlignment="1" applyBorder="1" applyFont="1">
      <alignment horizontal="center" readingOrder="0" shrinkToFit="0" vertical="center" wrapText="1"/>
    </xf>
    <xf borderId="7" fillId="0" fontId="17" numFmtId="0" xfId="0" applyAlignment="1" applyBorder="1" applyFont="1">
      <alignment readingOrder="0" shrinkToFit="0" vertical="center" wrapText="1"/>
    </xf>
    <xf borderId="32" fillId="0" fontId="17" numFmtId="0" xfId="0" applyAlignment="1" applyBorder="1" applyFont="1">
      <alignment horizontal="center" vertical="center"/>
    </xf>
    <xf borderId="7" fillId="0" fontId="17" numFmtId="165" xfId="0" applyAlignment="1" applyBorder="1" applyFont="1" applyNumberFormat="1">
      <alignment horizontal="center" readingOrder="0" vertical="center"/>
    </xf>
    <xf borderId="33" fillId="0" fontId="17" numFmtId="0" xfId="0" applyAlignment="1" applyBorder="1" applyFont="1">
      <alignment shrinkToFit="0" vertical="center" wrapText="1"/>
    </xf>
    <xf borderId="33" fillId="0" fontId="17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center" readingOrder="0" vertical="center"/>
    </xf>
    <xf borderId="33" fillId="0" fontId="17" numFmtId="9" xfId="0" applyAlignment="1" applyBorder="1" applyFont="1" applyNumberFormat="1">
      <alignment horizontal="center" readingOrder="0" shrinkToFit="0" vertical="center" wrapText="1"/>
    </xf>
    <xf borderId="33" fillId="0" fontId="17" numFmtId="0" xfId="0" applyAlignment="1" applyBorder="1" applyFont="1">
      <alignment horizontal="left" shrinkToFit="0" vertical="center" wrapText="1"/>
    </xf>
    <xf borderId="34" fillId="0" fontId="17" numFmtId="0" xfId="0" applyAlignment="1" applyBorder="1" applyFont="1">
      <alignment horizontal="center" readingOrder="0" shrinkToFit="0" vertical="center" wrapText="1"/>
    </xf>
    <xf borderId="35" fillId="0" fontId="21" numFmtId="0" xfId="0" applyAlignment="1" applyBorder="1" applyFont="1">
      <alignment horizontal="left" shrinkToFit="0" vertical="center" wrapText="1"/>
    </xf>
    <xf borderId="36" fillId="0" fontId="14" numFmtId="0" xfId="0" applyAlignment="1" applyBorder="1" applyFont="1">
      <alignment vertical="center"/>
    </xf>
    <xf borderId="37" fillId="0" fontId="14" numFmtId="0" xfId="0" applyAlignment="1" applyBorder="1" applyFont="1">
      <alignment vertical="center"/>
    </xf>
    <xf borderId="35" fillId="0" fontId="21" numFmtId="0" xfId="0" applyAlignment="1" applyBorder="1" applyFont="1">
      <alignment shrinkToFit="0" vertical="center" wrapText="1"/>
    </xf>
    <xf borderId="38" fillId="0" fontId="7" numFmtId="0" xfId="0" applyAlignment="1" applyBorder="1" applyFont="1">
      <alignment horizontal="right" shrinkToFit="0" vertical="center" wrapText="1"/>
    </xf>
    <xf borderId="39" fillId="0" fontId="14" numFmtId="0" xfId="0" applyAlignment="1" applyBorder="1" applyFont="1">
      <alignment vertical="center"/>
    </xf>
    <xf borderId="40" fillId="0" fontId="14" numFmtId="0" xfId="0" applyAlignment="1" applyBorder="1" applyFont="1">
      <alignment vertical="center"/>
    </xf>
    <xf borderId="38" fillId="0" fontId="21" numFmtId="0" xfId="0" applyAlignment="1" applyBorder="1" applyFont="1">
      <alignment horizontal="right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7" numFmtId="0" xfId="0" applyAlignment="1" applyFont="1">
      <alignment readingOrder="0" vertical="center"/>
    </xf>
    <xf borderId="5" fillId="6" fontId="21" numFmtId="0" xfId="0" applyAlignment="1" applyBorder="1" applyFill="1" applyFont="1">
      <alignment horizontal="center" shrinkToFit="0" vertical="center" wrapText="1"/>
    </xf>
    <xf borderId="7" fillId="6" fontId="21" numFmtId="0" xfId="0" applyAlignment="1" applyBorder="1" applyFont="1">
      <alignment horizontal="center" shrinkToFit="0" vertical="center" wrapText="1"/>
    </xf>
    <xf borderId="7" fillId="6" fontId="21" numFmtId="0" xfId="0" applyAlignment="1" applyBorder="1" applyFont="1">
      <alignment horizontal="center" readingOrder="0" shrinkToFit="0" vertical="center" wrapText="1"/>
    </xf>
    <xf borderId="7" fillId="2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vertical="center"/>
    </xf>
    <xf borderId="7" fillId="2" fontId="10" numFmtId="0" xfId="0" applyAlignment="1" applyBorder="1" applyFont="1">
      <alignment horizontal="center" readingOrder="0" vertical="center"/>
    </xf>
    <xf borderId="17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shrinkToFit="0" vertical="center" wrapText="0"/>
    </xf>
    <xf borderId="7" fillId="0" fontId="28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7" fillId="2" fontId="10" numFmtId="0" xfId="0" applyAlignment="1" applyBorder="1" applyFont="1">
      <alignment shrinkToFit="0" vertical="center" wrapText="1"/>
    </xf>
    <xf borderId="38" fillId="0" fontId="7" numFmtId="0" xfId="0" applyAlignment="1" applyBorder="1" applyFont="1">
      <alignment shrinkToFit="0" vertical="center" wrapText="1"/>
    </xf>
    <xf borderId="40" fillId="0" fontId="21" numFmtId="0" xfId="0" applyAlignment="1" applyBorder="1" applyFont="1">
      <alignment horizontal="center" shrinkToFit="0" vertical="center" wrapText="1"/>
    </xf>
    <xf borderId="40" fillId="0" fontId="21" numFmtId="0" xfId="0" applyAlignment="1" applyBorder="1" applyFont="1">
      <alignment horizontal="center" readingOrder="0" shrinkToFit="0" vertical="center" wrapText="1"/>
    </xf>
    <xf borderId="41" fillId="0" fontId="2" numFmtId="0" xfId="0" applyAlignment="1" applyBorder="1" applyFont="1">
      <alignment vertical="center"/>
    </xf>
    <xf borderId="1" fillId="0" fontId="7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9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horizontal="center" readingOrder="0" vertical="bottom"/>
    </xf>
    <xf borderId="42" fillId="0" fontId="3" numFmtId="0" xfId="0" applyAlignment="1" applyBorder="1" applyFont="1">
      <alignment vertical="bottom"/>
    </xf>
    <xf borderId="42" fillId="0" fontId="14" numFmtId="0" xfId="0" applyAlignment="1" applyBorder="1" applyFont="1">
      <alignment vertical="center"/>
    </xf>
    <xf borderId="7" fillId="6" fontId="30" numFmtId="0" xfId="0" applyAlignment="1" applyBorder="1" applyFont="1">
      <alignment horizontal="center" shrinkToFit="0" vertical="center" wrapText="1"/>
    </xf>
    <xf borderId="7" fillId="6" fontId="30" numFmtId="0" xfId="0" applyAlignment="1" applyBorder="1" applyFont="1">
      <alignment horizontal="center" readingOrder="0" shrinkToFit="0" vertical="center" wrapText="1"/>
    </xf>
    <xf borderId="7" fillId="0" fontId="10" numFmtId="3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left" readingOrder="0" vertical="center"/>
    </xf>
    <xf borderId="7" fillId="0" fontId="10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166" xfId="0" applyAlignment="1" applyFont="1" applyNumberFormat="1">
      <alignment horizontal="left" vertical="top"/>
    </xf>
    <xf borderId="0" fillId="0" fontId="6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4" fillId="2" fontId="12" numFmtId="3" xfId="0" applyAlignment="1" applyBorder="1" applyFont="1" applyNumberFormat="1">
      <alignment vertical="bottom"/>
    </xf>
    <xf borderId="0" fillId="0" fontId="4" numFmtId="166" xfId="0" applyAlignment="1" applyFont="1" applyNumberFormat="1">
      <alignment horizontal="center" vertical="top"/>
    </xf>
    <xf borderId="0" fillId="0" fontId="4" numFmtId="1" xfId="0" applyAlignment="1" applyFont="1" applyNumberFormat="1">
      <alignment horizontal="center" vertical="top"/>
    </xf>
    <xf borderId="0" fillId="0" fontId="4" numFmtId="0" xfId="0" applyAlignment="1" applyFont="1">
      <alignment horizontal="left" vertical="bottom"/>
    </xf>
    <xf quotePrefix="1" borderId="0" fillId="0" fontId="4" numFmtId="0" xfId="0" applyAlignment="1" applyFont="1">
      <alignment horizontal="center" vertical="top"/>
    </xf>
    <xf borderId="5" fillId="0" fontId="4" numFmtId="0" xfId="0" applyAlignment="1" applyBorder="1" applyFont="1">
      <alignment horizontal="left" vertical="bottom"/>
    </xf>
    <xf borderId="5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left" vertical="bottom"/>
    </xf>
    <xf borderId="10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center" vertical="bottom"/>
    </xf>
    <xf borderId="10" fillId="0" fontId="11" numFmtId="0" xfId="0" applyAlignment="1" applyBorder="1" applyFont="1">
      <alignment vertical="bottom"/>
    </xf>
    <xf borderId="5" fillId="2" fontId="4" numFmtId="0" xfId="0" applyAlignment="1" applyBorder="1" applyFont="1">
      <alignment horizontal="center" vertical="bottom"/>
    </xf>
    <xf borderId="5" fillId="2" fontId="4" numFmtId="166" xfId="0" applyAlignment="1" applyBorder="1" applyFont="1" applyNumberFormat="1">
      <alignment horizontal="center" vertical="bottom"/>
    </xf>
    <xf borderId="5" fillId="2" fontId="4" numFmtId="1" xfId="0" applyAlignment="1" applyBorder="1" applyFont="1" applyNumberFormat="1">
      <alignment horizontal="center" vertical="bottom"/>
    </xf>
    <xf borderId="7" fillId="2" fontId="3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bottom"/>
    </xf>
    <xf borderId="7" fillId="0" fontId="4" numFmtId="1" xfId="0" applyAlignment="1" applyBorder="1" applyFont="1" applyNumberFormat="1">
      <alignment horizontal="center" vertical="bottom"/>
    </xf>
    <xf borderId="7" fillId="2" fontId="4" numFmtId="0" xfId="0" applyAlignment="1" applyBorder="1" applyFont="1">
      <alignment horizontal="center" vertical="bottom"/>
    </xf>
    <xf borderId="7" fillId="2" fontId="33" numFmtId="3" xfId="0" applyAlignment="1" applyBorder="1" applyFont="1" applyNumberFormat="1">
      <alignment horizontal="center" vertical="center"/>
    </xf>
    <xf borderId="7" fillId="2" fontId="33" numFmtId="0" xfId="0" applyAlignment="1" applyBorder="1" applyFont="1">
      <alignment horizontal="center" vertical="bottom"/>
    </xf>
    <xf borderId="7" fillId="2" fontId="4" numFmtId="1" xfId="0" applyAlignment="1" applyBorder="1" applyFont="1" applyNumberFormat="1">
      <alignment horizontal="center" vertical="bottom"/>
    </xf>
    <xf borderId="7" fillId="2" fontId="4" numFmtId="0" xfId="0" applyAlignment="1" applyBorder="1" applyFont="1">
      <alignment horizontal="center" vertical="center"/>
    </xf>
    <xf borderId="7" fillId="4" fontId="4" numFmtId="3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center" vertical="center"/>
    </xf>
    <xf borderId="43" fillId="0" fontId="14" numFmtId="0" xfId="0" applyAlignment="1" applyBorder="1" applyFont="1">
      <alignment vertical="center"/>
    </xf>
    <xf borderId="10" fillId="0" fontId="4" numFmtId="0" xfId="0" applyAlignment="1" applyBorder="1" applyFont="1">
      <alignment horizontal="center" vertical="bottom"/>
    </xf>
    <xf borderId="10" fillId="2" fontId="3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shrinkToFit="0" vertical="bottom" wrapText="1"/>
    </xf>
    <xf borderId="0" fillId="0" fontId="4" numFmtId="166" xfId="0" applyAlignment="1" applyFont="1" applyNumberFormat="1">
      <alignment horizontal="center" vertical="bottom"/>
    </xf>
    <xf borderId="0" fillId="0" fontId="4" numFmtId="0" xfId="0" applyAlignment="1" applyFont="1">
      <alignment horizontal="left" vertical="top"/>
    </xf>
    <xf borderId="0" fillId="0" fontId="1" numFmtId="3" xfId="0" applyAlignment="1" applyFont="1" applyNumberFormat="1">
      <alignment horizontal="left" vertical="bottom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left" vertical="top"/>
    </xf>
    <xf borderId="0" fillId="0" fontId="4" numFmtId="0" xfId="0" applyAlignment="1" applyFont="1">
      <alignment horizontal="center" shrinkToFit="0" vertical="bottom" wrapText="1"/>
    </xf>
    <xf borderId="10" fillId="0" fontId="32" numFmtId="0" xfId="0" applyAlignment="1" applyBorder="1" applyFont="1">
      <alignment horizontal="center" vertical="bottom"/>
    </xf>
    <xf borderId="10" fillId="0" fontId="32" numFmtId="0" xfId="0" applyAlignment="1" applyBorder="1" applyFont="1">
      <alignment horizontal="center" shrinkToFit="0" vertical="center" wrapText="1"/>
    </xf>
    <xf borderId="5" fillId="0" fontId="35" numFmtId="0" xfId="0" applyAlignment="1" applyBorder="1" applyFont="1">
      <alignment horizontal="center" vertical="bottom"/>
    </xf>
    <xf borderId="10" fillId="0" fontId="32" numFmtId="0" xfId="0" applyAlignment="1" applyBorder="1" applyFont="1">
      <alignment vertical="bottom"/>
    </xf>
    <xf borderId="5" fillId="0" fontId="17" numFmtId="0" xfId="0" applyAlignment="1" applyBorder="1" applyFont="1">
      <alignment horizontal="center" vertical="bottom"/>
    </xf>
    <xf borderId="5" fillId="2" fontId="17" numFmtId="0" xfId="0" applyAlignment="1" applyBorder="1" applyFont="1">
      <alignment horizontal="center" vertical="bottom"/>
    </xf>
    <xf borderId="5" fillId="2" fontId="17" numFmtId="166" xfId="0" applyAlignment="1" applyBorder="1" applyFont="1" applyNumberFormat="1">
      <alignment horizontal="center" vertical="bottom"/>
    </xf>
    <xf borderId="5" fillId="2" fontId="17" numFmtId="1" xfId="0" applyAlignment="1" applyBorder="1" applyFont="1" applyNumberFormat="1">
      <alignment horizontal="center" vertical="bottom"/>
    </xf>
    <xf borderId="7" fillId="2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vertical="bottom"/>
    </xf>
    <xf borderId="7" fillId="0" fontId="1" numFmtId="1" xfId="0" applyAlignment="1" applyBorder="1" applyFont="1" applyNumberFormat="1">
      <alignment horizontal="center" vertical="bottom"/>
    </xf>
    <xf borderId="7" fillId="2" fontId="1" numFmtId="0" xfId="0" applyAlignment="1" applyBorder="1" applyFont="1">
      <alignment horizontal="center" vertical="bottom"/>
    </xf>
    <xf borderId="7" fillId="2" fontId="36" numFmtId="3" xfId="0" applyAlignment="1" applyBorder="1" applyFont="1" applyNumberFormat="1">
      <alignment horizontal="center" vertical="center"/>
    </xf>
    <xf borderId="7" fillId="2" fontId="36" numFmtId="0" xfId="0" applyAlignment="1" applyBorder="1" applyFont="1">
      <alignment horizontal="center" vertical="bottom"/>
    </xf>
    <xf borderId="7" fillId="2" fontId="1" numFmtId="1" xfId="0" applyAlignment="1" applyBorder="1" applyFont="1" applyNumberFormat="1">
      <alignment horizontal="center" vertical="bottom"/>
    </xf>
    <xf borderId="7" fillId="2" fontId="1" numFmtId="0" xfId="0" applyAlignment="1" applyBorder="1" applyFont="1">
      <alignment horizontal="center" vertical="center"/>
    </xf>
    <xf borderId="7" fillId="4" fontId="1" numFmtId="3" xfId="0" applyAlignment="1" applyBorder="1" applyFont="1" applyNumberFormat="1">
      <alignment horizontal="center" vertical="center"/>
    </xf>
    <xf borderId="7" fillId="2" fontId="1" numFmtId="0" xfId="0" applyAlignment="1" applyBorder="1" applyFont="1">
      <alignment horizontal="left" shrinkToFit="0" vertical="center" wrapText="1"/>
    </xf>
    <xf borderId="7" fillId="2" fontId="36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44" fillId="0" fontId="14" numFmtId="0" xfId="0" applyAlignment="1" applyBorder="1" applyFont="1">
      <alignment vertical="center"/>
    </xf>
    <xf borderId="42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vertical="bottom"/>
    </xf>
    <xf borderId="45" fillId="2" fontId="34" numFmtId="0" xfId="0" applyAlignment="1" applyBorder="1" applyFont="1">
      <alignment horizontal="center" vertical="bottom"/>
    </xf>
    <xf borderId="46" fillId="0" fontId="14" numFmtId="0" xfId="0" applyAlignment="1" applyBorder="1" applyFont="1">
      <alignment vertical="center"/>
    </xf>
    <xf borderId="23" fillId="0" fontId="4" numFmtId="0" xfId="0" applyAlignment="1" applyBorder="1" applyFont="1">
      <alignment horizontal="center" shrinkToFit="0" vertical="bottom" wrapText="1"/>
    </xf>
    <xf borderId="16" fillId="4" fontId="4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bottom"/>
    </xf>
    <xf borderId="5" fillId="2" fontId="1" numFmtId="166" xfId="0" applyAlignment="1" applyBorder="1" applyFont="1" applyNumberFormat="1">
      <alignment horizontal="center" vertical="bottom"/>
    </xf>
    <xf borderId="5" fillId="2" fontId="1" numFmtId="1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center"/>
    </xf>
    <xf borderId="7" fillId="2" fontId="1" numFmtId="3" xfId="0" applyAlignment="1" applyBorder="1" applyFont="1" applyNumberFormat="1">
      <alignment horizontal="center" vertical="center"/>
    </xf>
    <xf borderId="47" fillId="2" fontId="32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48" fillId="2" fontId="12" numFmtId="0" xfId="0" applyAlignment="1" applyBorder="1" applyFont="1">
      <alignment horizontal="left" vertical="center"/>
    </xf>
    <xf borderId="16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bottom"/>
    </xf>
    <xf borderId="16" fillId="2" fontId="1" numFmtId="1" xfId="0" applyAlignment="1" applyBorder="1" applyFont="1" applyNumberFormat="1">
      <alignment horizontal="center" vertical="bottom"/>
    </xf>
    <xf borderId="16" fillId="2" fontId="1" numFmtId="0" xfId="0" applyAlignment="1" applyBorder="1" applyFont="1">
      <alignment horizontal="center" shrinkToFit="0" vertical="center" wrapText="1"/>
    </xf>
    <xf borderId="16" fillId="2" fontId="36" numFmtId="3" xfId="0" applyAlignment="1" applyBorder="1" applyFont="1" applyNumberFormat="1">
      <alignment horizontal="center" vertical="center"/>
    </xf>
    <xf borderId="16" fillId="2" fontId="36" numFmtId="0" xfId="0" applyAlignment="1" applyBorder="1" applyFont="1">
      <alignment horizontal="center" vertical="bottom"/>
    </xf>
    <xf borderId="16" fillId="2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4" numFmtId="1" xfId="0" applyAlignment="1" applyFont="1" applyNumberForma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4" fillId="2" fontId="12" numFmtId="3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0" fillId="0" fontId="4" numFmtId="166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5" fillId="0" fontId="37" numFmtId="0" xfId="0" applyAlignment="1" applyBorder="1" applyFont="1">
      <alignment horizontal="center" vertical="center"/>
    </xf>
    <xf borderId="10" fillId="0" fontId="11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5" fillId="2" fontId="4" numFmtId="166" xfId="0" applyAlignment="1" applyBorder="1" applyFont="1" applyNumberFormat="1">
      <alignment horizontal="center" vertical="center"/>
    </xf>
    <xf borderId="5" fillId="2" fontId="4" numFmtId="1" xfId="0" applyAlignment="1" applyBorder="1" applyFont="1" applyNumberFormat="1">
      <alignment horizontal="center" vertical="center"/>
    </xf>
    <xf borderId="49" fillId="2" fontId="12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50" fillId="2" fontId="1" numFmtId="0" xfId="0" applyAlignment="1" applyBorder="1" applyFont="1">
      <alignment horizontal="left" vertical="center"/>
    </xf>
    <xf borderId="7" fillId="0" fontId="1" numFmtId="1" xfId="0" applyAlignment="1" applyBorder="1" applyFont="1" applyNumberFormat="1">
      <alignment horizontal="center" vertical="center"/>
    </xf>
    <xf borderId="7" fillId="2" fontId="1" numFmtId="1" xfId="0" applyAlignment="1" applyBorder="1" applyFont="1" applyNumberFormat="1">
      <alignment horizontal="center" vertical="center"/>
    </xf>
    <xf borderId="50" fillId="2" fontId="1" numFmtId="0" xfId="0" applyAlignment="1" applyBorder="1" applyFont="1">
      <alignment horizontal="left" shrinkToFit="0" vertical="center" wrapText="1"/>
    </xf>
    <xf borderId="51" fillId="0" fontId="1" numFmtId="0" xfId="0" applyAlignment="1" applyBorder="1" applyFont="1">
      <alignment horizontal="center" vertical="center"/>
    </xf>
    <xf borderId="52" fillId="2" fontId="12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4" fillId="2" fontId="1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55" fillId="2" fontId="1" numFmtId="0" xfId="0" applyAlignment="1" applyBorder="1" applyFont="1">
      <alignment horizontal="left" shrinkToFit="0" vertical="center" wrapText="1"/>
    </xf>
    <xf borderId="56" fillId="2" fontId="1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left" vertical="center"/>
    </xf>
    <xf borderId="4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45" fillId="2" fontId="3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4" fillId="4" fontId="1" numFmtId="3" xfId="0" applyAlignment="1" applyBorder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4" numFmtId="166" xfId="0" applyAlignment="1" applyFont="1" applyNumberForma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</xdr:row>
      <xdr:rowOff>123825</xdr:rowOff>
    </xdr:from>
    <xdr:ext cx="695325" cy="5334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</xdr:row>
      <xdr:rowOff>123825</xdr:rowOff>
    </xdr:from>
    <xdr:ext cx="695325" cy="5334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3</xdr:row>
      <xdr:rowOff>57150</xdr:rowOff>
    </xdr:from>
    <xdr:ext cx="676275" cy="5715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104775</xdr:rowOff>
    </xdr:from>
    <xdr:ext cx="514350" cy="676275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219075</xdr:rowOff>
    </xdr:from>
    <xdr:ext cx="666750" cy="542925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800100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790575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819150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0</xdr:rowOff>
    </xdr:from>
    <xdr:ext cx="800100" cy="6477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3.75"/>
    <col customWidth="1" min="3" max="3" width="22.88"/>
    <col customWidth="1" min="4" max="4" width="5.88"/>
    <col customWidth="1" min="5" max="5" width="5.38"/>
    <col customWidth="1" min="6" max="6" width="4.75"/>
    <col customWidth="1" min="7" max="7" width="5.0"/>
    <col customWidth="1" min="8" max="8" width="3.88"/>
    <col customWidth="1" min="9" max="9" width="5.63"/>
    <col customWidth="1" min="10" max="10" width="4.13"/>
    <col customWidth="1" min="11" max="11" width="5.88"/>
    <col customWidth="1" min="12" max="12" width="4.75"/>
    <col customWidth="1" min="13" max="13" width="5.63"/>
    <col customWidth="1" min="14" max="14" width="3.88"/>
    <col customWidth="1" min="15" max="16" width="5.25"/>
    <col customWidth="1" min="17" max="17" width="6.38"/>
    <col customWidth="1" min="18" max="18" width="3.88"/>
    <col customWidth="1" min="19" max="19" width="5.13"/>
    <col customWidth="1" min="20" max="20" width="4.88"/>
    <col customWidth="1" min="21" max="21" width="5.38"/>
    <col customWidth="1" hidden="1" min="22" max="24" width="12.63"/>
    <col customWidth="1" min="25" max="27" width="12.0"/>
  </cols>
  <sheetData>
    <row r="1" ht="15.0" customHeight="1">
      <c r="A1" s="1">
        <v>1.0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 t="s">
        <v>0</v>
      </c>
      <c r="N1" s="4"/>
      <c r="O1" s="5"/>
      <c r="P1" s="5"/>
      <c r="Q1" s="5"/>
      <c r="R1" s="5"/>
      <c r="S1" s="6"/>
      <c r="T1" s="7"/>
    </row>
    <row r="2" ht="22.5" customHeight="1">
      <c r="A2" s="8" t="s">
        <v>1</v>
      </c>
    </row>
    <row r="3" ht="17.25" customHeight="1">
      <c r="A3" s="9" t="s">
        <v>2</v>
      </c>
      <c r="B3" s="10"/>
      <c r="C3" s="10"/>
      <c r="D3" s="10"/>
      <c r="E3" s="10"/>
      <c r="F3" s="10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9.5" customHeight="1">
      <c r="A4" s="1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4</v>
      </c>
      <c r="N4" s="10"/>
      <c r="O4" s="10"/>
      <c r="P4" s="10"/>
      <c r="Q4" s="10"/>
      <c r="R4" s="10"/>
      <c r="S4" s="10"/>
      <c r="T4" s="10"/>
      <c r="Y4" s="13"/>
      <c r="Z4" s="13"/>
      <c r="AA4" s="13"/>
    </row>
    <row r="5" ht="20.25" customHeight="1">
      <c r="A5" s="14"/>
      <c r="B5" s="14"/>
      <c r="C5" s="15" t="s">
        <v>5</v>
      </c>
      <c r="D5" s="16"/>
      <c r="E5" s="14"/>
      <c r="F5" s="14"/>
      <c r="G5" s="14"/>
      <c r="H5" s="14"/>
      <c r="I5" s="14"/>
      <c r="J5" s="14"/>
      <c r="K5" s="17"/>
      <c r="L5" s="12" t="s">
        <v>6</v>
      </c>
      <c r="M5" s="18"/>
      <c r="N5" s="18"/>
      <c r="O5" s="19"/>
      <c r="P5" s="19"/>
      <c r="Q5" s="19"/>
      <c r="R5" s="20"/>
      <c r="S5" s="20"/>
      <c r="T5" s="21"/>
      <c r="Y5" s="13"/>
      <c r="Z5" s="13"/>
      <c r="AA5" s="13"/>
    </row>
    <row r="6" ht="14.25" customHeight="1">
      <c r="A6" s="22" t="s">
        <v>7</v>
      </c>
      <c r="B6" s="23" t="s">
        <v>8</v>
      </c>
      <c r="C6" s="24" t="s">
        <v>9</v>
      </c>
      <c r="D6" s="25">
        <v>19.0</v>
      </c>
      <c r="E6" s="26"/>
      <c r="F6" s="27">
        <v>15.0</v>
      </c>
      <c r="G6" s="26"/>
      <c r="H6" s="27">
        <v>28.0</v>
      </c>
      <c r="I6" s="26"/>
      <c r="J6" s="27">
        <v>24.0</v>
      </c>
      <c r="K6" s="26"/>
      <c r="L6" s="27">
        <v>6.0</v>
      </c>
      <c r="M6" s="26"/>
      <c r="N6" s="27">
        <v>10.0</v>
      </c>
      <c r="O6" s="26"/>
      <c r="P6" s="28">
        <v>5.0</v>
      </c>
      <c r="Q6" s="28">
        <v>6.0</v>
      </c>
      <c r="R6" s="27">
        <v>5.0</v>
      </c>
      <c r="S6" s="26"/>
      <c r="T6" s="29" t="s">
        <v>10</v>
      </c>
    </row>
    <row r="7" ht="15.75" customHeight="1">
      <c r="A7" s="30"/>
      <c r="B7" s="31"/>
      <c r="C7" s="32" t="s">
        <v>11</v>
      </c>
      <c r="D7" s="33" t="s">
        <v>12</v>
      </c>
      <c r="E7" s="26"/>
      <c r="F7" s="33" t="s">
        <v>13</v>
      </c>
      <c r="G7" s="26"/>
      <c r="H7" s="33" t="s">
        <v>14</v>
      </c>
      <c r="I7" s="26"/>
      <c r="J7" s="33" t="s">
        <v>15</v>
      </c>
      <c r="K7" s="26"/>
      <c r="L7" s="33" t="s">
        <v>16</v>
      </c>
      <c r="M7" s="26"/>
      <c r="N7" s="33" t="s">
        <v>17</v>
      </c>
      <c r="O7" s="26"/>
      <c r="P7" s="33" t="s">
        <v>18</v>
      </c>
      <c r="Q7" s="26"/>
      <c r="R7" s="33" t="s">
        <v>19</v>
      </c>
      <c r="S7" s="26"/>
      <c r="T7" s="30"/>
    </row>
    <row r="8" ht="15.75" customHeight="1">
      <c r="A8" s="34"/>
      <c r="B8" s="35"/>
      <c r="C8" s="32" t="s">
        <v>20</v>
      </c>
      <c r="D8" s="36" t="s">
        <v>21</v>
      </c>
      <c r="E8" s="26"/>
      <c r="F8" s="37" t="s">
        <v>22</v>
      </c>
      <c r="G8" s="26"/>
      <c r="H8" s="37" t="s">
        <v>23</v>
      </c>
      <c r="I8" s="26"/>
      <c r="J8" s="37" t="s">
        <v>24</v>
      </c>
      <c r="K8" s="26"/>
      <c r="L8" s="37" t="s">
        <v>25</v>
      </c>
      <c r="M8" s="26"/>
      <c r="N8" s="38" t="s">
        <v>26</v>
      </c>
      <c r="O8" s="26"/>
      <c r="P8" s="37" t="s">
        <v>27</v>
      </c>
      <c r="Q8" s="26"/>
      <c r="R8" s="37" t="s">
        <v>28</v>
      </c>
      <c r="S8" s="26"/>
      <c r="T8" s="30"/>
    </row>
    <row r="9" ht="11.25" customHeight="1">
      <c r="A9" s="39"/>
      <c r="B9" s="39"/>
      <c r="C9" s="40" t="s">
        <v>29</v>
      </c>
      <c r="D9" s="41" t="s">
        <v>30</v>
      </c>
      <c r="E9" s="42" t="s">
        <v>31</v>
      </c>
      <c r="F9" s="42" t="s">
        <v>30</v>
      </c>
      <c r="G9" s="42" t="s">
        <v>31</v>
      </c>
      <c r="H9" s="42" t="s">
        <v>30</v>
      </c>
      <c r="I9" s="42" t="s">
        <v>31</v>
      </c>
      <c r="J9" s="42" t="s">
        <v>30</v>
      </c>
      <c r="K9" s="42" t="s">
        <v>31</v>
      </c>
      <c r="L9" s="42" t="s">
        <v>30</v>
      </c>
      <c r="M9" s="42" t="s">
        <v>31</v>
      </c>
      <c r="N9" s="42" t="s">
        <v>30</v>
      </c>
      <c r="O9" s="42" t="s">
        <v>31</v>
      </c>
      <c r="P9" s="42" t="s">
        <v>30</v>
      </c>
      <c r="Q9" s="42" t="s">
        <v>31</v>
      </c>
      <c r="R9" s="42" t="s">
        <v>30</v>
      </c>
      <c r="S9" s="42" t="s">
        <v>31</v>
      </c>
      <c r="T9" s="30"/>
    </row>
    <row r="10" ht="9.0" customHeight="1">
      <c r="A10" s="43"/>
      <c r="B10" s="43"/>
      <c r="C10" s="44"/>
      <c r="D10" s="45"/>
      <c r="E10" s="34"/>
      <c r="F10" s="44"/>
      <c r="G10" s="44"/>
      <c r="H10" s="34"/>
      <c r="I10" s="34"/>
      <c r="J10" s="34"/>
      <c r="K10" s="34"/>
      <c r="L10" s="34"/>
      <c r="M10" s="34"/>
      <c r="N10" s="34"/>
      <c r="O10" s="44"/>
      <c r="P10" s="34"/>
      <c r="Q10" s="44"/>
      <c r="R10" s="34"/>
      <c r="S10" s="44"/>
      <c r="T10" s="34"/>
    </row>
    <row r="11" ht="22.5" customHeight="1">
      <c r="A11" s="46">
        <v>1.0</v>
      </c>
      <c r="B11" s="47" t="s">
        <v>32</v>
      </c>
      <c r="C11" s="48" t="s">
        <v>33</v>
      </c>
      <c r="D11" s="49">
        <v>19.0</v>
      </c>
      <c r="E11" s="50">
        <f t="shared" ref="E11:E63" si="1">(D11/19)*100</f>
        <v>100</v>
      </c>
      <c r="F11" s="51">
        <v>15.0</v>
      </c>
      <c r="G11" s="52">
        <v>100.0</v>
      </c>
      <c r="H11" s="53">
        <v>28.0</v>
      </c>
      <c r="I11" s="54">
        <f t="shared" ref="I11:I63" si="2">(H11/28)*100</f>
        <v>100</v>
      </c>
      <c r="J11" s="55">
        <v>24.0</v>
      </c>
      <c r="K11" s="55">
        <v>100.0</v>
      </c>
      <c r="L11" s="56">
        <v>6.0</v>
      </c>
      <c r="M11" s="55">
        <v>100.0</v>
      </c>
      <c r="N11" s="57">
        <v>10.0</v>
      </c>
      <c r="O11" s="58">
        <f t="shared" ref="O11:O63" si="3">(N11/10)*100</f>
        <v>100</v>
      </c>
      <c r="P11" s="59">
        <v>5.0</v>
      </c>
      <c r="Q11" s="58">
        <f t="shared" ref="Q11:Q37" si="4">(P11/5)*100</f>
        <v>100</v>
      </c>
      <c r="R11" s="53">
        <v>5.0</v>
      </c>
      <c r="S11" s="53">
        <v>100.0</v>
      </c>
      <c r="T11" s="58">
        <f t="shared" ref="T11:T63" si="5">AVERAGE(E11,G11,I11,K11,M11,O11,Q11,S11)</f>
        <v>100</v>
      </c>
    </row>
    <row r="12" ht="20.25" customHeight="1">
      <c r="A12" s="46">
        <v>2.0</v>
      </c>
      <c r="B12" s="47" t="s">
        <v>34</v>
      </c>
      <c r="C12" s="48" t="s">
        <v>33</v>
      </c>
      <c r="D12" s="49">
        <v>19.0</v>
      </c>
      <c r="E12" s="50">
        <f t="shared" si="1"/>
        <v>100</v>
      </c>
      <c r="F12" s="51">
        <v>15.0</v>
      </c>
      <c r="G12" s="52">
        <v>100.0</v>
      </c>
      <c r="H12" s="53">
        <v>27.0</v>
      </c>
      <c r="I12" s="54">
        <f t="shared" si="2"/>
        <v>96.42857143</v>
      </c>
      <c r="J12" s="55">
        <v>24.0</v>
      </c>
      <c r="K12" s="55">
        <v>100.0</v>
      </c>
      <c r="L12" s="56">
        <v>6.0</v>
      </c>
      <c r="M12" s="55">
        <v>100.0</v>
      </c>
      <c r="N12" s="57">
        <v>9.0</v>
      </c>
      <c r="O12" s="58">
        <f t="shared" si="3"/>
        <v>90</v>
      </c>
      <c r="P12" s="59">
        <v>5.0</v>
      </c>
      <c r="Q12" s="58">
        <f t="shared" si="4"/>
        <v>100</v>
      </c>
      <c r="R12" s="53">
        <v>5.0</v>
      </c>
      <c r="S12" s="53">
        <v>100.0</v>
      </c>
      <c r="T12" s="58">
        <f t="shared" si="5"/>
        <v>98.30357143</v>
      </c>
    </row>
    <row r="13" ht="18.0" customHeight="1">
      <c r="A13" s="46">
        <v>3.0</v>
      </c>
      <c r="B13" s="47" t="s">
        <v>35</v>
      </c>
      <c r="C13" s="48" t="s">
        <v>36</v>
      </c>
      <c r="D13" s="49">
        <v>17.0</v>
      </c>
      <c r="E13" s="50">
        <f t="shared" si="1"/>
        <v>89.47368421</v>
      </c>
      <c r="F13" s="51">
        <v>15.0</v>
      </c>
      <c r="G13" s="52">
        <v>100.0</v>
      </c>
      <c r="H13" s="53">
        <v>28.0</v>
      </c>
      <c r="I13" s="54">
        <f t="shared" si="2"/>
        <v>100</v>
      </c>
      <c r="J13" s="55">
        <v>23.0</v>
      </c>
      <c r="K13" s="55">
        <v>95.83</v>
      </c>
      <c r="L13" s="56">
        <v>6.0</v>
      </c>
      <c r="M13" s="55">
        <v>100.0</v>
      </c>
      <c r="N13" s="57">
        <v>10.0</v>
      </c>
      <c r="O13" s="58">
        <f t="shared" si="3"/>
        <v>100</v>
      </c>
      <c r="P13" s="59">
        <v>5.0</v>
      </c>
      <c r="Q13" s="58">
        <f t="shared" si="4"/>
        <v>100</v>
      </c>
      <c r="R13" s="53">
        <v>4.0</v>
      </c>
      <c r="S13" s="53">
        <v>80.0</v>
      </c>
      <c r="T13" s="58">
        <f t="shared" si="5"/>
        <v>95.66296053</v>
      </c>
    </row>
    <row r="14" ht="18.0" customHeight="1">
      <c r="A14" s="46">
        <v>4.0</v>
      </c>
      <c r="B14" s="47" t="s">
        <v>37</v>
      </c>
      <c r="C14" s="48" t="s">
        <v>38</v>
      </c>
      <c r="D14" s="49">
        <v>14.0</v>
      </c>
      <c r="E14" s="50">
        <f t="shared" si="1"/>
        <v>73.68421053</v>
      </c>
      <c r="F14" s="51">
        <v>11.0</v>
      </c>
      <c r="G14" s="52">
        <v>73.0</v>
      </c>
      <c r="H14" s="53">
        <v>27.0</v>
      </c>
      <c r="I14" s="54">
        <f t="shared" si="2"/>
        <v>96.42857143</v>
      </c>
      <c r="J14" s="55">
        <v>15.0</v>
      </c>
      <c r="K14" s="55">
        <v>62.5</v>
      </c>
      <c r="L14" s="56">
        <v>3.0</v>
      </c>
      <c r="M14" s="55">
        <v>50.0</v>
      </c>
      <c r="N14" s="57">
        <v>7.0</v>
      </c>
      <c r="O14" s="58">
        <f t="shared" si="3"/>
        <v>70</v>
      </c>
      <c r="P14" s="59">
        <v>5.0</v>
      </c>
      <c r="Q14" s="58">
        <f t="shared" si="4"/>
        <v>100</v>
      </c>
      <c r="R14" s="53">
        <v>3.0</v>
      </c>
      <c r="S14" s="53">
        <v>60.0</v>
      </c>
      <c r="T14" s="58">
        <f t="shared" si="5"/>
        <v>73.20159774</v>
      </c>
    </row>
    <row r="15" ht="18.0" customHeight="1">
      <c r="A15" s="46">
        <v>5.0</v>
      </c>
      <c r="B15" s="47" t="s">
        <v>39</v>
      </c>
      <c r="C15" s="48" t="s">
        <v>40</v>
      </c>
      <c r="D15" s="49">
        <v>12.0</v>
      </c>
      <c r="E15" s="50">
        <f t="shared" si="1"/>
        <v>63.15789474</v>
      </c>
      <c r="F15" s="51">
        <v>12.0</v>
      </c>
      <c r="G15" s="52">
        <v>80.0</v>
      </c>
      <c r="H15" s="53">
        <v>21.0</v>
      </c>
      <c r="I15" s="54">
        <f t="shared" si="2"/>
        <v>75</v>
      </c>
      <c r="J15" s="55">
        <v>17.0</v>
      </c>
      <c r="K15" s="55">
        <v>70.83</v>
      </c>
      <c r="L15" s="56">
        <v>4.0</v>
      </c>
      <c r="M15" s="55">
        <v>66.0</v>
      </c>
      <c r="N15" s="57">
        <v>6.0</v>
      </c>
      <c r="O15" s="58">
        <f t="shared" si="3"/>
        <v>60</v>
      </c>
      <c r="P15" s="59">
        <v>5.0</v>
      </c>
      <c r="Q15" s="58">
        <f t="shared" si="4"/>
        <v>100</v>
      </c>
      <c r="R15" s="53">
        <v>5.0</v>
      </c>
      <c r="S15" s="53">
        <v>100.0</v>
      </c>
      <c r="T15" s="58">
        <f t="shared" si="5"/>
        <v>76.87348684</v>
      </c>
    </row>
    <row r="16" ht="18.0" customHeight="1">
      <c r="A16" s="46">
        <v>6.0</v>
      </c>
      <c r="B16" s="47" t="s">
        <v>41</v>
      </c>
      <c r="C16" s="48" t="s">
        <v>42</v>
      </c>
      <c r="D16" s="49">
        <v>14.0</v>
      </c>
      <c r="E16" s="50">
        <f t="shared" si="1"/>
        <v>73.68421053</v>
      </c>
      <c r="F16" s="51">
        <v>13.0</v>
      </c>
      <c r="G16" s="52">
        <v>87.0</v>
      </c>
      <c r="H16" s="53">
        <v>21.0</v>
      </c>
      <c r="I16" s="54">
        <f t="shared" si="2"/>
        <v>75</v>
      </c>
      <c r="J16" s="55">
        <v>13.0</v>
      </c>
      <c r="K16" s="55">
        <v>54.17</v>
      </c>
      <c r="L16" s="56">
        <v>5.0</v>
      </c>
      <c r="M16" s="55">
        <v>83.0</v>
      </c>
      <c r="N16" s="57">
        <v>9.0</v>
      </c>
      <c r="O16" s="58">
        <f t="shared" si="3"/>
        <v>90</v>
      </c>
      <c r="P16" s="59">
        <v>4.0</v>
      </c>
      <c r="Q16" s="58">
        <f t="shared" si="4"/>
        <v>80</v>
      </c>
      <c r="R16" s="53">
        <v>4.0</v>
      </c>
      <c r="S16" s="53">
        <v>80.0</v>
      </c>
      <c r="T16" s="58">
        <f t="shared" si="5"/>
        <v>77.85677632</v>
      </c>
    </row>
    <row r="17" ht="18.0" customHeight="1">
      <c r="A17" s="46">
        <v>7.0</v>
      </c>
      <c r="B17" s="47" t="s">
        <v>43</v>
      </c>
      <c r="C17" s="48" t="s">
        <v>44</v>
      </c>
      <c r="D17" s="49">
        <v>13.0</v>
      </c>
      <c r="E17" s="50">
        <f t="shared" si="1"/>
        <v>68.42105263</v>
      </c>
      <c r="F17" s="51">
        <v>13.0</v>
      </c>
      <c r="G17" s="52">
        <v>87.0</v>
      </c>
      <c r="H17" s="53">
        <v>28.0</v>
      </c>
      <c r="I17" s="54">
        <f t="shared" si="2"/>
        <v>100</v>
      </c>
      <c r="J17" s="55">
        <v>23.0</v>
      </c>
      <c r="K17" s="55">
        <v>95.83</v>
      </c>
      <c r="L17" s="56">
        <v>6.0</v>
      </c>
      <c r="M17" s="55">
        <v>100.0</v>
      </c>
      <c r="N17" s="57">
        <v>10.0</v>
      </c>
      <c r="O17" s="58">
        <f t="shared" si="3"/>
        <v>100</v>
      </c>
      <c r="P17" s="59">
        <v>4.0</v>
      </c>
      <c r="Q17" s="58">
        <f t="shared" si="4"/>
        <v>80</v>
      </c>
      <c r="R17" s="53">
        <v>5.0</v>
      </c>
      <c r="S17" s="53">
        <v>100.0</v>
      </c>
      <c r="T17" s="58">
        <f t="shared" si="5"/>
        <v>91.40638158</v>
      </c>
    </row>
    <row r="18" ht="18.0" customHeight="1">
      <c r="A18" s="46">
        <v>8.0</v>
      </c>
      <c r="B18" s="47" t="s">
        <v>45</v>
      </c>
      <c r="C18" s="48" t="s">
        <v>46</v>
      </c>
      <c r="D18" s="49">
        <v>11.0</v>
      </c>
      <c r="E18" s="50">
        <f t="shared" si="1"/>
        <v>57.89473684</v>
      </c>
      <c r="F18" s="51">
        <v>12.0</v>
      </c>
      <c r="G18" s="52">
        <v>80.0</v>
      </c>
      <c r="H18" s="53">
        <v>16.0</v>
      </c>
      <c r="I18" s="54">
        <f t="shared" si="2"/>
        <v>57.14285714</v>
      </c>
      <c r="J18" s="55">
        <v>23.0</v>
      </c>
      <c r="K18" s="55">
        <v>95.83</v>
      </c>
      <c r="L18" s="56">
        <v>6.0</v>
      </c>
      <c r="M18" s="55">
        <v>100.0</v>
      </c>
      <c r="N18" s="57">
        <v>7.0</v>
      </c>
      <c r="O18" s="58">
        <f t="shared" si="3"/>
        <v>70</v>
      </c>
      <c r="P18" s="59">
        <v>4.0</v>
      </c>
      <c r="Q18" s="58">
        <f t="shared" si="4"/>
        <v>80</v>
      </c>
      <c r="R18" s="53">
        <v>4.0</v>
      </c>
      <c r="S18" s="53">
        <v>80.0</v>
      </c>
      <c r="T18" s="58">
        <f t="shared" si="5"/>
        <v>77.60844925</v>
      </c>
    </row>
    <row r="19" ht="18.0" customHeight="1">
      <c r="A19" s="46">
        <v>9.0</v>
      </c>
      <c r="B19" s="47" t="s">
        <v>47</v>
      </c>
      <c r="C19" s="48" t="s">
        <v>48</v>
      </c>
      <c r="D19" s="49">
        <v>16.0</v>
      </c>
      <c r="E19" s="50">
        <f t="shared" si="1"/>
        <v>84.21052632</v>
      </c>
      <c r="F19" s="51">
        <v>13.0</v>
      </c>
      <c r="G19" s="52">
        <v>87.0</v>
      </c>
      <c r="H19" s="53">
        <v>21.0</v>
      </c>
      <c r="I19" s="54">
        <f t="shared" si="2"/>
        <v>75</v>
      </c>
      <c r="J19" s="55">
        <v>18.0</v>
      </c>
      <c r="K19" s="55">
        <v>75.0</v>
      </c>
      <c r="L19" s="56">
        <v>6.0</v>
      </c>
      <c r="M19" s="55">
        <v>100.0</v>
      </c>
      <c r="N19" s="57">
        <v>6.0</v>
      </c>
      <c r="O19" s="58">
        <f t="shared" si="3"/>
        <v>60</v>
      </c>
      <c r="P19" s="59">
        <v>5.0</v>
      </c>
      <c r="Q19" s="58">
        <f t="shared" si="4"/>
        <v>100</v>
      </c>
      <c r="R19" s="53">
        <v>5.0</v>
      </c>
      <c r="S19" s="53">
        <v>100.0</v>
      </c>
      <c r="T19" s="58">
        <f t="shared" si="5"/>
        <v>85.15131579</v>
      </c>
    </row>
    <row r="20" ht="18.0" customHeight="1">
      <c r="A20" s="46">
        <v>10.0</v>
      </c>
      <c r="B20" s="47" t="s">
        <v>49</v>
      </c>
      <c r="C20" s="48" t="s">
        <v>50</v>
      </c>
      <c r="D20" s="49">
        <v>10.0</v>
      </c>
      <c r="E20" s="50">
        <f t="shared" si="1"/>
        <v>52.63157895</v>
      </c>
      <c r="F20" s="51">
        <v>9.0</v>
      </c>
      <c r="G20" s="52">
        <v>60.0</v>
      </c>
      <c r="H20" s="53">
        <v>23.0</v>
      </c>
      <c r="I20" s="54">
        <f t="shared" si="2"/>
        <v>82.14285714</v>
      </c>
      <c r="J20" s="55">
        <v>23.0</v>
      </c>
      <c r="K20" s="55">
        <v>95.83</v>
      </c>
      <c r="L20" s="56">
        <v>6.0</v>
      </c>
      <c r="M20" s="55">
        <v>100.0</v>
      </c>
      <c r="N20" s="57">
        <v>7.0</v>
      </c>
      <c r="O20" s="58">
        <f t="shared" si="3"/>
        <v>70</v>
      </c>
      <c r="P20" s="59">
        <v>4.0</v>
      </c>
      <c r="Q20" s="58">
        <f t="shared" si="4"/>
        <v>80</v>
      </c>
      <c r="R20" s="53">
        <v>3.0</v>
      </c>
      <c r="S20" s="53">
        <v>60.0</v>
      </c>
      <c r="T20" s="58">
        <f t="shared" si="5"/>
        <v>75.07555451</v>
      </c>
    </row>
    <row r="21" ht="18.0" customHeight="1">
      <c r="A21" s="46">
        <v>11.0</v>
      </c>
      <c r="B21" s="47" t="s">
        <v>51</v>
      </c>
      <c r="C21" s="48" t="s">
        <v>52</v>
      </c>
      <c r="D21" s="49">
        <v>9.0</v>
      </c>
      <c r="E21" s="50">
        <f t="shared" si="1"/>
        <v>47.36842105</v>
      </c>
      <c r="F21" s="51">
        <v>9.0</v>
      </c>
      <c r="G21" s="52">
        <v>60.0</v>
      </c>
      <c r="H21" s="53">
        <v>13.0</v>
      </c>
      <c r="I21" s="54">
        <f t="shared" si="2"/>
        <v>46.42857143</v>
      </c>
      <c r="J21" s="55">
        <v>11.0</v>
      </c>
      <c r="K21" s="55">
        <v>45.83</v>
      </c>
      <c r="L21" s="56">
        <v>6.0</v>
      </c>
      <c r="M21" s="55">
        <v>100.0</v>
      </c>
      <c r="N21" s="57">
        <v>5.0</v>
      </c>
      <c r="O21" s="58">
        <f t="shared" si="3"/>
        <v>50</v>
      </c>
      <c r="P21" s="59">
        <v>3.0</v>
      </c>
      <c r="Q21" s="58">
        <f t="shared" si="4"/>
        <v>60</v>
      </c>
      <c r="R21" s="53">
        <v>3.0</v>
      </c>
      <c r="S21" s="53">
        <v>60.0</v>
      </c>
      <c r="T21" s="58">
        <f t="shared" si="5"/>
        <v>58.70337406</v>
      </c>
    </row>
    <row r="22" ht="18.0" customHeight="1">
      <c r="A22" s="46">
        <v>12.0</v>
      </c>
      <c r="B22" s="47" t="s">
        <v>53</v>
      </c>
      <c r="C22" s="48" t="s">
        <v>54</v>
      </c>
      <c r="D22" s="49">
        <v>13.0</v>
      </c>
      <c r="E22" s="50">
        <f t="shared" si="1"/>
        <v>68.42105263</v>
      </c>
      <c r="F22" s="51">
        <v>11.0</v>
      </c>
      <c r="G22" s="52">
        <v>73.0</v>
      </c>
      <c r="H22" s="53">
        <v>13.0</v>
      </c>
      <c r="I22" s="54">
        <f t="shared" si="2"/>
        <v>46.42857143</v>
      </c>
      <c r="J22" s="55">
        <v>16.0</v>
      </c>
      <c r="K22" s="55">
        <v>66.67</v>
      </c>
      <c r="L22" s="56">
        <v>4.0</v>
      </c>
      <c r="M22" s="55">
        <v>66.0</v>
      </c>
      <c r="N22" s="57">
        <v>4.0</v>
      </c>
      <c r="O22" s="58">
        <f t="shared" si="3"/>
        <v>40</v>
      </c>
      <c r="P22" s="59">
        <v>3.0</v>
      </c>
      <c r="Q22" s="58">
        <f t="shared" si="4"/>
        <v>60</v>
      </c>
      <c r="R22" s="53">
        <v>2.0</v>
      </c>
      <c r="S22" s="53">
        <v>40.0</v>
      </c>
      <c r="T22" s="58">
        <f t="shared" si="5"/>
        <v>57.56495301</v>
      </c>
    </row>
    <row r="23" ht="18.0" customHeight="1">
      <c r="A23" s="46">
        <v>13.0</v>
      </c>
      <c r="B23" s="47" t="s">
        <v>55</v>
      </c>
      <c r="C23" s="48" t="s">
        <v>56</v>
      </c>
      <c r="D23" s="49">
        <v>14.0</v>
      </c>
      <c r="E23" s="50">
        <f t="shared" si="1"/>
        <v>73.68421053</v>
      </c>
      <c r="F23" s="51">
        <v>10.0</v>
      </c>
      <c r="G23" s="52">
        <v>67.0</v>
      </c>
      <c r="H23" s="53">
        <v>24.0</v>
      </c>
      <c r="I23" s="54">
        <f t="shared" si="2"/>
        <v>85.71428571</v>
      </c>
      <c r="J23" s="55">
        <v>22.0</v>
      </c>
      <c r="K23" s="55">
        <v>91.67</v>
      </c>
      <c r="L23" s="56">
        <v>4.0</v>
      </c>
      <c r="M23" s="55">
        <v>66.0</v>
      </c>
      <c r="N23" s="57">
        <v>9.0</v>
      </c>
      <c r="O23" s="58">
        <f t="shared" si="3"/>
        <v>90</v>
      </c>
      <c r="P23" s="59">
        <v>4.0</v>
      </c>
      <c r="Q23" s="58">
        <f t="shared" si="4"/>
        <v>80</v>
      </c>
      <c r="R23" s="53">
        <v>4.0</v>
      </c>
      <c r="S23" s="53">
        <v>80.0</v>
      </c>
      <c r="T23" s="58">
        <f t="shared" si="5"/>
        <v>79.25856203</v>
      </c>
    </row>
    <row r="24" ht="18.0" customHeight="1">
      <c r="A24" s="46">
        <v>14.0</v>
      </c>
      <c r="B24" s="47" t="s">
        <v>57</v>
      </c>
      <c r="C24" s="48" t="s">
        <v>58</v>
      </c>
      <c r="D24" s="49">
        <v>12.0</v>
      </c>
      <c r="E24" s="50">
        <f t="shared" si="1"/>
        <v>63.15789474</v>
      </c>
      <c r="F24" s="51">
        <v>8.0</v>
      </c>
      <c r="G24" s="52">
        <v>53.0</v>
      </c>
      <c r="H24" s="53">
        <v>26.0</v>
      </c>
      <c r="I24" s="54">
        <f t="shared" si="2"/>
        <v>92.85714286</v>
      </c>
      <c r="J24" s="55">
        <v>19.0</v>
      </c>
      <c r="K24" s="55">
        <v>79.17</v>
      </c>
      <c r="L24" s="56">
        <v>6.0</v>
      </c>
      <c r="M24" s="55">
        <v>100.0</v>
      </c>
      <c r="N24" s="57">
        <v>7.0</v>
      </c>
      <c r="O24" s="58">
        <f t="shared" si="3"/>
        <v>70</v>
      </c>
      <c r="P24" s="59">
        <v>3.0</v>
      </c>
      <c r="Q24" s="58">
        <f t="shared" si="4"/>
        <v>60</v>
      </c>
      <c r="R24" s="53">
        <v>3.0</v>
      </c>
      <c r="S24" s="53">
        <v>60.0</v>
      </c>
      <c r="T24" s="58">
        <f t="shared" si="5"/>
        <v>72.2731297</v>
      </c>
    </row>
    <row r="25" ht="18.0" customHeight="1">
      <c r="A25" s="46">
        <v>15.0</v>
      </c>
      <c r="B25" s="47" t="s">
        <v>59</v>
      </c>
      <c r="C25" s="48" t="s">
        <v>60</v>
      </c>
      <c r="D25" s="49">
        <v>14.0</v>
      </c>
      <c r="E25" s="50">
        <f t="shared" si="1"/>
        <v>73.68421053</v>
      </c>
      <c r="F25" s="51">
        <v>13.0</v>
      </c>
      <c r="G25" s="52">
        <v>87.0</v>
      </c>
      <c r="H25" s="53">
        <v>27.0</v>
      </c>
      <c r="I25" s="54">
        <f t="shared" si="2"/>
        <v>96.42857143</v>
      </c>
      <c r="J25" s="55">
        <v>23.0</v>
      </c>
      <c r="K25" s="55">
        <v>95.83</v>
      </c>
      <c r="L25" s="56">
        <v>6.0</v>
      </c>
      <c r="M25" s="55">
        <v>100.0</v>
      </c>
      <c r="N25" s="57">
        <v>9.0</v>
      </c>
      <c r="O25" s="58">
        <f t="shared" si="3"/>
        <v>90</v>
      </c>
      <c r="P25" s="59">
        <v>5.0</v>
      </c>
      <c r="Q25" s="58">
        <f t="shared" si="4"/>
        <v>100</v>
      </c>
      <c r="R25" s="53">
        <v>4.0</v>
      </c>
      <c r="S25" s="53">
        <v>80.0</v>
      </c>
      <c r="T25" s="58">
        <f t="shared" si="5"/>
        <v>90.36784774</v>
      </c>
    </row>
    <row r="26" ht="18.0" customHeight="1">
      <c r="A26" s="46">
        <v>16.0</v>
      </c>
      <c r="B26" s="47" t="s">
        <v>61</v>
      </c>
      <c r="C26" s="48" t="s">
        <v>62</v>
      </c>
      <c r="D26" s="49">
        <v>18.0</v>
      </c>
      <c r="E26" s="50">
        <f t="shared" si="1"/>
        <v>94.73684211</v>
      </c>
      <c r="F26" s="51">
        <v>15.0</v>
      </c>
      <c r="G26" s="52">
        <v>100.0</v>
      </c>
      <c r="H26" s="53">
        <v>25.0</v>
      </c>
      <c r="I26" s="54">
        <f t="shared" si="2"/>
        <v>89.28571429</v>
      </c>
      <c r="J26" s="55">
        <v>24.0</v>
      </c>
      <c r="K26" s="55">
        <v>100.0</v>
      </c>
      <c r="L26" s="56">
        <v>6.0</v>
      </c>
      <c r="M26" s="55">
        <v>100.0</v>
      </c>
      <c r="N26" s="57">
        <v>9.0</v>
      </c>
      <c r="O26" s="58">
        <f t="shared" si="3"/>
        <v>90</v>
      </c>
      <c r="P26" s="59">
        <v>4.0</v>
      </c>
      <c r="Q26" s="58">
        <f t="shared" si="4"/>
        <v>80</v>
      </c>
      <c r="R26" s="53">
        <v>5.0</v>
      </c>
      <c r="S26" s="53">
        <v>100.0</v>
      </c>
      <c r="T26" s="58">
        <f t="shared" si="5"/>
        <v>94.25281955</v>
      </c>
    </row>
    <row r="27" ht="18.0" customHeight="1">
      <c r="A27" s="46">
        <v>17.0</v>
      </c>
      <c r="B27" s="47" t="s">
        <v>63</v>
      </c>
      <c r="C27" s="48" t="s">
        <v>64</v>
      </c>
      <c r="D27" s="49">
        <v>6.0</v>
      </c>
      <c r="E27" s="50">
        <f t="shared" si="1"/>
        <v>31.57894737</v>
      </c>
      <c r="F27" s="51">
        <v>3.0</v>
      </c>
      <c r="G27" s="52">
        <v>20.0</v>
      </c>
      <c r="H27" s="53">
        <v>11.0</v>
      </c>
      <c r="I27" s="54">
        <f t="shared" si="2"/>
        <v>39.28571429</v>
      </c>
      <c r="J27" s="55">
        <v>9.0</v>
      </c>
      <c r="K27" s="55">
        <v>37.5</v>
      </c>
      <c r="L27" s="56">
        <v>3.0</v>
      </c>
      <c r="M27" s="55">
        <v>50.0</v>
      </c>
      <c r="N27" s="57">
        <v>3.0</v>
      </c>
      <c r="O27" s="58">
        <f t="shared" si="3"/>
        <v>30</v>
      </c>
      <c r="P27" s="59">
        <v>1.0</v>
      </c>
      <c r="Q27" s="58">
        <f t="shared" si="4"/>
        <v>20</v>
      </c>
      <c r="R27" s="53">
        <v>2.0</v>
      </c>
      <c r="S27" s="53">
        <v>40.0</v>
      </c>
      <c r="T27" s="58">
        <f t="shared" si="5"/>
        <v>33.54558271</v>
      </c>
    </row>
    <row r="28" ht="18.0" customHeight="1">
      <c r="A28" s="46">
        <v>18.0</v>
      </c>
      <c r="B28" s="47" t="s">
        <v>65</v>
      </c>
      <c r="C28" s="48" t="s">
        <v>66</v>
      </c>
      <c r="D28" s="49">
        <v>14.0</v>
      </c>
      <c r="E28" s="50">
        <f t="shared" si="1"/>
        <v>73.68421053</v>
      </c>
      <c r="F28" s="51">
        <v>12.0</v>
      </c>
      <c r="G28" s="52">
        <v>80.0</v>
      </c>
      <c r="H28" s="53">
        <v>16.0</v>
      </c>
      <c r="I28" s="54">
        <f t="shared" si="2"/>
        <v>57.14285714</v>
      </c>
      <c r="J28" s="55">
        <v>20.0</v>
      </c>
      <c r="K28" s="55">
        <v>83.33</v>
      </c>
      <c r="L28" s="56">
        <v>5.0</v>
      </c>
      <c r="M28" s="55">
        <v>83.0</v>
      </c>
      <c r="N28" s="57">
        <v>6.0</v>
      </c>
      <c r="O28" s="58">
        <f t="shared" si="3"/>
        <v>60</v>
      </c>
      <c r="P28" s="59">
        <v>4.0</v>
      </c>
      <c r="Q28" s="58">
        <f t="shared" si="4"/>
        <v>80</v>
      </c>
      <c r="R28" s="53">
        <v>4.0</v>
      </c>
      <c r="S28" s="53">
        <v>80.0</v>
      </c>
      <c r="T28" s="58">
        <f t="shared" si="5"/>
        <v>74.64463346</v>
      </c>
    </row>
    <row r="29" ht="18.0" customHeight="1">
      <c r="A29" s="46">
        <v>19.0</v>
      </c>
      <c r="B29" s="47" t="s">
        <v>67</v>
      </c>
      <c r="C29" s="48" t="s">
        <v>68</v>
      </c>
      <c r="D29" s="49">
        <v>14.0</v>
      </c>
      <c r="E29" s="50">
        <f t="shared" si="1"/>
        <v>73.68421053</v>
      </c>
      <c r="F29" s="51">
        <v>14.0</v>
      </c>
      <c r="G29" s="52">
        <v>93.0</v>
      </c>
      <c r="H29" s="53">
        <v>24.0</v>
      </c>
      <c r="I29" s="54">
        <f t="shared" si="2"/>
        <v>85.71428571</v>
      </c>
      <c r="J29" s="55">
        <v>20.0</v>
      </c>
      <c r="K29" s="55">
        <v>83.33</v>
      </c>
      <c r="L29" s="56">
        <v>5.0</v>
      </c>
      <c r="M29" s="55">
        <v>83.0</v>
      </c>
      <c r="N29" s="57">
        <v>8.0</v>
      </c>
      <c r="O29" s="58">
        <f t="shared" si="3"/>
        <v>80</v>
      </c>
      <c r="P29" s="59">
        <v>5.0</v>
      </c>
      <c r="Q29" s="58">
        <f t="shared" si="4"/>
        <v>100</v>
      </c>
      <c r="R29" s="53">
        <v>5.0</v>
      </c>
      <c r="S29" s="53">
        <v>100.0</v>
      </c>
      <c r="T29" s="58">
        <f t="shared" si="5"/>
        <v>87.34106203</v>
      </c>
    </row>
    <row r="30" ht="18.0" customHeight="1">
      <c r="A30" s="46">
        <v>20.0</v>
      </c>
      <c r="B30" s="47" t="s">
        <v>69</v>
      </c>
      <c r="C30" s="48" t="s">
        <v>70</v>
      </c>
      <c r="D30" s="49">
        <v>13.0</v>
      </c>
      <c r="E30" s="50">
        <f t="shared" si="1"/>
        <v>68.42105263</v>
      </c>
      <c r="F30" s="51">
        <v>14.0</v>
      </c>
      <c r="G30" s="52">
        <v>93.0</v>
      </c>
      <c r="H30" s="53">
        <v>26.0</v>
      </c>
      <c r="I30" s="54">
        <f t="shared" si="2"/>
        <v>92.85714286</v>
      </c>
      <c r="J30" s="55">
        <v>21.0</v>
      </c>
      <c r="K30" s="55">
        <v>87.5</v>
      </c>
      <c r="L30" s="56">
        <v>6.0</v>
      </c>
      <c r="M30" s="55">
        <v>100.0</v>
      </c>
      <c r="N30" s="57">
        <v>9.0</v>
      </c>
      <c r="O30" s="58">
        <f t="shared" si="3"/>
        <v>90</v>
      </c>
      <c r="P30" s="59">
        <v>4.0</v>
      </c>
      <c r="Q30" s="58">
        <f t="shared" si="4"/>
        <v>80</v>
      </c>
      <c r="R30" s="53">
        <v>5.0</v>
      </c>
      <c r="S30" s="53">
        <v>100.0</v>
      </c>
      <c r="T30" s="58">
        <f t="shared" si="5"/>
        <v>88.97227444</v>
      </c>
    </row>
    <row r="31" ht="18.0" customHeight="1">
      <c r="A31" s="46">
        <v>21.0</v>
      </c>
      <c r="B31" s="47" t="s">
        <v>71</v>
      </c>
      <c r="C31" s="48" t="s">
        <v>72</v>
      </c>
      <c r="D31" s="49">
        <v>18.0</v>
      </c>
      <c r="E31" s="50">
        <f t="shared" si="1"/>
        <v>94.73684211</v>
      </c>
      <c r="F31" s="51">
        <v>15.0</v>
      </c>
      <c r="G31" s="52">
        <v>100.0</v>
      </c>
      <c r="H31" s="53">
        <v>28.0</v>
      </c>
      <c r="I31" s="54">
        <f t="shared" si="2"/>
        <v>100</v>
      </c>
      <c r="J31" s="55">
        <v>23.0</v>
      </c>
      <c r="K31" s="55">
        <v>95.83</v>
      </c>
      <c r="L31" s="56">
        <v>6.0</v>
      </c>
      <c r="M31" s="55">
        <v>100.0</v>
      </c>
      <c r="N31" s="57">
        <v>10.0</v>
      </c>
      <c r="O31" s="58">
        <f t="shared" si="3"/>
        <v>100</v>
      </c>
      <c r="P31" s="59">
        <v>5.0</v>
      </c>
      <c r="Q31" s="58">
        <f t="shared" si="4"/>
        <v>100</v>
      </c>
      <c r="R31" s="53">
        <v>4.0</v>
      </c>
      <c r="S31" s="53">
        <v>80.0</v>
      </c>
      <c r="T31" s="58">
        <f t="shared" si="5"/>
        <v>96.32085526</v>
      </c>
    </row>
    <row r="32" ht="20.25" customHeight="1">
      <c r="A32" s="46">
        <v>22.0</v>
      </c>
      <c r="B32" s="47" t="s">
        <v>73</v>
      </c>
      <c r="C32" s="60" t="s">
        <v>74</v>
      </c>
      <c r="D32" s="49">
        <v>15.0</v>
      </c>
      <c r="E32" s="50">
        <f t="shared" si="1"/>
        <v>78.94736842</v>
      </c>
      <c r="F32" s="51">
        <v>15.0</v>
      </c>
      <c r="G32" s="52">
        <v>100.0</v>
      </c>
      <c r="H32" s="53">
        <v>27.0</v>
      </c>
      <c r="I32" s="54">
        <f t="shared" si="2"/>
        <v>96.42857143</v>
      </c>
      <c r="J32" s="55">
        <v>19.0</v>
      </c>
      <c r="K32" s="55">
        <v>79.17</v>
      </c>
      <c r="L32" s="56">
        <v>6.0</v>
      </c>
      <c r="M32" s="55">
        <v>100.0</v>
      </c>
      <c r="N32" s="57">
        <v>10.0</v>
      </c>
      <c r="O32" s="58">
        <f t="shared" si="3"/>
        <v>100</v>
      </c>
      <c r="P32" s="59">
        <v>4.0</v>
      </c>
      <c r="Q32" s="58">
        <f t="shared" si="4"/>
        <v>80</v>
      </c>
      <c r="R32" s="53">
        <v>3.0</v>
      </c>
      <c r="S32" s="53">
        <v>60.0</v>
      </c>
      <c r="T32" s="58">
        <f t="shared" si="5"/>
        <v>86.81824248</v>
      </c>
    </row>
    <row r="33" ht="18.0" customHeight="1">
      <c r="A33" s="46">
        <v>23.0</v>
      </c>
      <c r="B33" s="61" t="s">
        <v>75</v>
      </c>
      <c r="C33" s="62" t="s">
        <v>76</v>
      </c>
      <c r="D33" s="49">
        <v>11.0</v>
      </c>
      <c r="E33" s="50">
        <f t="shared" si="1"/>
        <v>57.89473684</v>
      </c>
      <c r="F33" s="51">
        <v>11.0</v>
      </c>
      <c r="G33" s="52">
        <v>73.0</v>
      </c>
      <c r="H33" s="53">
        <v>27.0</v>
      </c>
      <c r="I33" s="54">
        <f t="shared" si="2"/>
        <v>96.42857143</v>
      </c>
      <c r="J33" s="55">
        <v>22.0</v>
      </c>
      <c r="K33" s="55">
        <v>91.67</v>
      </c>
      <c r="L33" s="56">
        <v>6.0</v>
      </c>
      <c r="M33" s="55">
        <v>100.0</v>
      </c>
      <c r="N33" s="57">
        <v>9.0</v>
      </c>
      <c r="O33" s="58">
        <f t="shared" si="3"/>
        <v>90</v>
      </c>
      <c r="P33" s="59">
        <v>4.0</v>
      </c>
      <c r="Q33" s="58">
        <f t="shared" si="4"/>
        <v>80</v>
      </c>
      <c r="R33" s="53">
        <v>5.0</v>
      </c>
      <c r="S33" s="53">
        <v>100.0</v>
      </c>
      <c r="T33" s="58">
        <f t="shared" si="5"/>
        <v>86.12416353</v>
      </c>
    </row>
    <row r="34" ht="18.0" customHeight="1">
      <c r="A34" s="46">
        <v>24.0</v>
      </c>
      <c r="B34" s="47" t="s">
        <v>77</v>
      </c>
      <c r="C34" s="48" t="s">
        <v>78</v>
      </c>
      <c r="D34" s="49">
        <v>17.0</v>
      </c>
      <c r="E34" s="50">
        <f t="shared" si="1"/>
        <v>89.47368421</v>
      </c>
      <c r="F34" s="51">
        <v>14.0</v>
      </c>
      <c r="G34" s="52">
        <v>93.0</v>
      </c>
      <c r="H34" s="53">
        <v>28.0</v>
      </c>
      <c r="I34" s="54">
        <f t="shared" si="2"/>
        <v>100</v>
      </c>
      <c r="J34" s="55">
        <v>23.0</v>
      </c>
      <c r="K34" s="55">
        <v>95.83</v>
      </c>
      <c r="L34" s="56">
        <v>6.0</v>
      </c>
      <c r="M34" s="55">
        <v>100.0</v>
      </c>
      <c r="N34" s="57">
        <v>10.0</v>
      </c>
      <c r="O34" s="58">
        <f t="shared" si="3"/>
        <v>100</v>
      </c>
      <c r="P34" s="59">
        <v>5.0</v>
      </c>
      <c r="Q34" s="58">
        <f t="shared" si="4"/>
        <v>100</v>
      </c>
      <c r="R34" s="53">
        <v>5.0</v>
      </c>
      <c r="S34" s="53">
        <v>100.0</v>
      </c>
      <c r="T34" s="58">
        <f t="shared" si="5"/>
        <v>97.28796053</v>
      </c>
    </row>
    <row r="35" ht="18.0" customHeight="1">
      <c r="A35" s="46">
        <v>25.0</v>
      </c>
      <c r="B35" s="61" t="s">
        <v>79</v>
      </c>
      <c r="C35" s="62" t="s">
        <v>80</v>
      </c>
      <c r="D35" s="49">
        <v>18.0</v>
      </c>
      <c r="E35" s="50">
        <f t="shared" si="1"/>
        <v>94.73684211</v>
      </c>
      <c r="F35" s="51">
        <v>15.0</v>
      </c>
      <c r="G35" s="52">
        <v>100.0</v>
      </c>
      <c r="H35" s="53">
        <v>26.0</v>
      </c>
      <c r="I35" s="54">
        <f t="shared" si="2"/>
        <v>92.85714286</v>
      </c>
      <c r="J35" s="55">
        <v>21.0</v>
      </c>
      <c r="K35" s="55">
        <v>87.5</v>
      </c>
      <c r="L35" s="56">
        <v>6.0</v>
      </c>
      <c r="M35" s="55">
        <v>100.0</v>
      </c>
      <c r="N35" s="57">
        <v>10.0</v>
      </c>
      <c r="O35" s="58">
        <f t="shared" si="3"/>
        <v>100</v>
      </c>
      <c r="P35" s="59">
        <v>3.0</v>
      </c>
      <c r="Q35" s="58">
        <f t="shared" si="4"/>
        <v>60</v>
      </c>
      <c r="R35" s="53">
        <v>5.0</v>
      </c>
      <c r="S35" s="53">
        <v>100.0</v>
      </c>
      <c r="T35" s="58">
        <f t="shared" si="5"/>
        <v>91.88674812</v>
      </c>
    </row>
    <row r="36" ht="14.25" customHeight="1">
      <c r="A36" s="46">
        <v>26.0</v>
      </c>
      <c r="B36" s="47" t="s">
        <v>81</v>
      </c>
      <c r="C36" s="48" t="s">
        <v>82</v>
      </c>
      <c r="D36" s="49">
        <v>12.0</v>
      </c>
      <c r="E36" s="50">
        <f t="shared" si="1"/>
        <v>63.15789474</v>
      </c>
      <c r="F36" s="51">
        <v>12.0</v>
      </c>
      <c r="G36" s="52">
        <v>80.0</v>
      </c>
      <c r="H36" s="53">
        <v>13.0</v>
      </c>
      <c r="I36" s="54">
        <f t="shared" si="2"/>
        <v>46.42857143</v>
      </c>
      <c r="J36" s="55">
        <v>19.0</v>
      </c>
      <c r="K36" s="55">
        <v>79.17</v>
      </c>
      <c r="L36" s="56">
        <v>3.0</v>
      </c>
      <c r="M36" s="55">
        <v>50.0</v>
      </c>
      <c r="N36" s="57">
        <v>5.0</v>
      </c>
      <c r="O36" s="58">
        <f t="shared" si="3"/>
        <v>50</v>
      </c>
      <c r="P36" s="59">
        <v>5.0</v>
      </c>
      <c r="Q36" s="58">
        <f t="shared" si="4"/>
        <v>100</v>
      </c>
      <c r="R36" s="53">
        <v>3.0</v>
      </c>
      <c r="S36" s="53">
        <v>60.0</v>
      </c>
      <c r="T36" s="58">
        <f t="shared" si="5"/>
        <v>66.09455827</v>
      </c>
    </row>
    <row r="37" ht="18.0" customHeight="1">
      <c r="A37" s="46">
        <v>27.0</v>
      </c>
      <c r="B37" s="47" t="s">
        <v>83</v>
      </c>
      <c r="C37" s="48" t="s">
        <v>84</v>
      </c>
      <c r="D37" s="49">
        <v>16.0</v>
      </c>
      <c r="E37" s="50">
        <f t="shared" si="1"/>
        <v>84.21052632</v>
      </c>
      <c r="F37" s="51">
        <v>12.0</v>
      </c>
      <c r="G37" s="52">
        <v>80.0</v>
      </c>
      <c r="H37" s="53">
        <v>23.0</v>
      </c>
      <c r="I37" s="54">
        <f t="shared" si="2"/>
        <v>82.14285714</v>
      </c>
      <c r="J37" s="55">
        <v>21.0</v>
      </c>
      <c r="K37" s="55">
        <v>87.5</v>
      </c>
      <c r="L37" s="56">
        <v>5.0</v>
      </c>
      <c r="M37" s="55">
        <v>83.0</v>
      </c>
      <c r="N37" s="57">
        <v>8.0</v>
      </c>
      <c r="O37" s="58">
        <f t="shared" si="3"/>
        <v>80</v>
      </c>
      <c r="P37" s="53">
        <v>4.0</v>
      </c>
      <c r="Q37" s="58">
        <f t="shared" si="4"/>
        <v>80</v>
      </c>
      <c r="R37" s="53">
        <v>4.0</v>
      </c>
      <c r="S37" s="53">
        <v>80.0</v>
      </c>
      <c r="T37" s="58">
        <f t="shared" si="5"/>
        <v>82.10667293</v>
      </c>
    </row>
    <row r="38" ht="18.0" customHeight="1">
      <c r="A38" s="46">
        <v>28.0</v>
      </c>
      <c r="B38" s="47" t="s">
        <v>85</v>
      </c>
      <c r="C38" s="48" t="s">
        <v>86</v>
      </c>
      <c r="D38" s="49">
        <v>16.0</v>
      </c>
      <c r="E38" s="50">
        <f t="shared" si="1"/>
        <v>84.21052632</v>
      </c>
      <c r="F38" s="51">
        <v>15.0</v>
      </c>
      <c r="G38" s="52">
        <v>100.0</v>
      </c>
      <c r="H38" s="53">
        <v>28.0</v>
      </c>
      <c r="I38" s="54">
        <f t="shared" si="2"/>
        <v>100</v>
      </c>
      <c r="J38" s="55">
        <v>22.0</v>
      </c>
      <c r="K38" s="55">
        <v>91.67</v>
      </c>
      <c r="L38" s="56">
        <v>6.0</v>
      </c>
      <c r="M38" s="55">
        <v>100.0</v>
      </c>
      <c r="N38" s="57">
        <v>10.0</v>
      </c>
      <c r="O38" s="58">
        <f t="shared" si="3"/>
        <v>100</v>
      </c>
      <c r="P38" s="53">
        <v>5.0</v>
      </c>
      <c r="Q38" s="58">
        <f t="shared" ref="Q38:Q63" si="6">(P38/6)*100</f>
        <v>83.33333333</v>
      </c>
      <c r="R38" s="53">
        <v>5.0</v>
      </c>
      <c r="S38" s="53">
        <v>100.0</v>
      </c>
      <c r="T38" s="58">
        <f t="shared" si="5"/>
        <v>94.90173246</v>
      </c>
    </row>
    <row r="39" ht="18.0" customHeight="1">
      <c r="A39" s="46">
        <v>29.0</v>
      </c>
      <c r="B39" s="47" t="s">
        <v>87</v>
      </c>
      <c r="C39" s="48" t="s">
        <v>88</v>
      </c>
      <c r="D39" s="49">
        <v>18.0</v>
      </c>
      <c r="E39" s="50">
        <f t="shared" si="1"/>
        <v>94.73684211</v>
      </c>
      <c r="F39" s="51">
        <v>15.0</v>
      </c>
      <c r="G39" s="52">
        <v>100.0</v>
      </c>
      <c r="H39" s="53">
        <v>28.0</v>
      </c>
      <c r="I39" s="54">
        <f t="shared" si="2"/>
        <v>100</v>
      </c>
      <c r="J39" s="55">
        <v>23.0</v>
      </c>
      <c r="K39" s="55">
        <v>95.83</v>
      </c>
      <c r="L39" s="56">
        <v>6.0</v>
      </c>
      <c r="M39" s="55">
        <v>100.0</v>
      </c>
      <c r="N39" s="57">
        <v>10.0</v>
      </c>
      <c r="O39" s="58">
        <f t="shared" si="3"/>
        <v>100</v>
      </c>
      <c r="P39" s="53">
        <v>6.0</v>
      </c>
      <c r="Q39" s="58">
        <f t="shared" si="6"/>
        <v>100</v>
      </c>
      <c r="R39" s="53">
        <v>5.0</v>
      </c>
      <c r="S39" s="53">
        <v>100.0</v>
      </c>
      <c r="T39" s="58">
        <f t="shared" si="5"/>
        <v>98.82085526</v>
      </c>
    </row>
    <row r="40" ht="18.0" customHeight="1">
      <c r="A40" s="46">
        <v>30.0</v>
      </c>
      <c r="B40" s="47" t="s">
        <v>89</v>
      </c>
      <c r="C40" s="48" t="s">
        <v>90</v>
      </c>
      <c r="D40" s="49">
        <v>17.0</v>
      </c>
      <c r="E40" s="50">
        <f t="shared" si="1"/>
        <v>89.47368421</v>
      </c>
      <c r="F40" s="51">
        <v>14.0</v>
      </c>
      <c r="G40" s="52">
        <v>93.0</v>
      </c>
      <c r="H40" s="53">
        <v>28.0</v>
      </c>
      <c r="I40" s="54">
        <f t="shared" si="2"/>
        <v>100</v>
      </c>
      <c r="J40" s="55">
        <v>24.0</v>
      </c>
      <c r="K40" s="55">
        <v>100.0</v>
      </c>
      <c r="L40" s="56">
        <v>6.0</v>
      </c>
      <c r="M40" s="55">
        <v>100.0</v>
      </c>
      <c r="N40" s="57">
        <v>9.0</v>
      </c>
      <c r="O40" s="58">
        <f t="shared" si="3"/>
        <v>90</v>
      </c>
      <c r="P40" s="53">
        <v>5.0</v>
      </c>
      <c r="Q40" s="58">
        <f t="shared" si="6"/>
        <v>83.33333333</v>
      </c>
      <c r="R40" s="53">
        <v>5.0</v>
      </c>
      <c r="S40" s="53">
        <v>100.0</v>
      </c>
      <c r="T40" s="58">
        <f t="shared" si="5"/>
        <v>94.47587719</v>
      </c>
    </row>
    <row r="41" ht="18.0" customHeight="1">
      <c r="A41" s="46">
        <v>31.0</v>
      </c>
      <c r="B41" s="47" t="s">
        <v>91</v>
      </c>
      <c r="C41" s="48" t="s">
        <v>92</v>
      </c>
      <c r="D41" s="49">
        <v>13.0</v>
      </c>
      <c r="E41" s="50">
        <f t="shared" si="1"/>
        <v>68.42105263</v>
      </c>
      <c r="F41" s="51">
        <v>13.0</v>
      </c>
      <c r="G41" s="52">
        <v>87.0</v>
      </c>
      <c r="H41" s="53">
        <v>25.0</v>
      </c>
      <c r="I41" s="54">
        <f t="shared" si="2"/>
        <v>89.28571429</v>
      </c>
      <c r="J41" s="55">
        <v>23.0</v>
      </c>
      <c r="K41" s="55">
        <v>95.83</v>
      </c>
      <c r="L41" s="56">
        <v>5.0</v>
      </c>
      <c r="M41" s="55">
        <v>83.0</v>
      </c>
      <c r="N41" s="57">
        <v>10.0</v>
      </c>
      <c r="O41" s="58">
        <f t="shared" si="3"/>
        <v>100</v>
      </c>
      <c r="P41" s="53">
        <v>5.0</v>
      </c>
      <c r="Q41" s="58">
        <f t="shared" si="6"/>
        <v>83.33333333</v>
      </c>
      <c r="R41" s="53">
        <v>4.0</v>
      </c>
      <c r="S41" s="53">
        <v>80.0</v>
      </c>
      <c r="T41" s="58">
        <f t="shared" si="5"/>
        <v>85.85876253</v>
      </c>
    </row>
    <row r="42" ht="15.75" customHeight="1">
      <c r="A42" s="46">
        <v>32.0</v>
      </c>
      <c r="B42" s="47" t="s">
        <v>93</v>
      </c>
      <c r="C42" s="48" t="s">
        <v>94</v>
      </c>
      <c r="D42" s="49">
        <v>14.0</v>
      </c>
      <c r="E42" s="50">
        <f t="shared" si="1"/>
        <v>73.68421053</v>
      </c>
      <c r="F42" s="51">
        <v>12.0</v>
      </c>
      <c r="G42" s="52">
        <v>80.0</v>
      </c>
      <c r="H42" s="53">
        <v>26.0</v>
      </c>
      <c r="I42" s="54">
        <f t="shared" si="2"/>
        <v>92.85714286</v>
      </c>
      <c r="J42" s="55">
        <v>20.0</v>
      </c>
      <c r="K42" s="55">
        <v>83.33</v>
      </c>
      <c r="L42" s="56">
        <v>5.0</v>
      </c>
      <c r="M42" s="55">
        <v>83.0</v>
      </c>
      <c r="N42" s="57">
        <v>8.0</v>
      </c>
      <c r="O42" s="58">
        <f t="shared" si="3"/>
        <v>80</v>
      </c>
      <c r="P42" s="53">
        <v>6.0</v>
      </c>
      <c r="Q42" s="58">
        <f t="shared" si="6"/>
        <v>100</v>
      </c>
      <c r="R42" s="53">
        <v>4.0</v>
      </c>
      <c r="S42" s="53">
        <v>80.0</v>
      </c>
      <c r="T42" s="58">
        <f t="shared" si="5"/>
        <v>84.10891917</v>
      </c>
    </row>
    <row r="43" ht="16.5" customHeight="1">
      <c r="A43" s="46">
        <v>33.0</v>
      </c>
      <c r="B43" s="47" t="s">
        <v>95</v>
      </c>
      <c r="C43" s="48" t="s">
        <v>96</v>
      </c>
      <c r="D43" s="49">
        <v>11.0</v>
      </c>
      <c r="E43" s="50">
        <f t="shared" si="1"/>
        <v>57.89473684</v>
      </c>
      <c r="F43" s="51">
        <v>9.0</v>
      </c>
      <c r="G43" s="52">
        <v>60.0</v>
      </c>
      <c r="H43" s="53">
        <v>27.0</v>
      </c>
      <c r="I43" s="54">
        <f t="shared" si="2"/>
        <v>96.42857143</v>
      </c>
      <c r="J43" s="55">
        <v>23.0</v>
      </c>
      <c r="K43" s="55">
        <v>95.83</v>
      </c>
      <c r="L43" s="56">
        <v>6.0</v>
      </c>
      <c r="M43" s="55">
        <v>100.0</v>
      </c>
      <c r="N43" s="57">
        <v>10.0</v>
      </c>
      <c r="O43" s="58">
        <f t="shared" si="3"/>
        <v>100</v>
      </c>
      <c r="P43" s="53">
        <v>5.0</v>
      </c>
      <c r="Q43" s="58">
        <f t="shared" si="6"/>
        <v>83.33333333</v>
      </c>
      <c r="R43" s="53">
        <v>4.0</v>
      </c>
      <c r="S43" s="53">
        <v>80.0</v>
      </c>
      <c r="T43" s="58">
        <f t="shared" si="5"/>
        <v>84.1858302</v>
      </c>
    </row>
    <row r="44" ht="15.75" customHeight="1">
      <c r="A44" s="46">
        <v>34.0</v>
      </c>
      <c r="B44" s="47" t="s">
        <v>97</v>
      </c>
      <c r="C44" s="48" t="s">
        <v>98</v>
      </c>
      <c r="D44" s="49">
        <v>8.0</v>
      </c>
      <c r="E44" s="50">
        <f t="shared" si="1"/>
        <v>42.10526316</v>
      </c>
      <c r="F44" s="51">
        <v>9.0</v>
      </c>
      <c r="G44" s="52">
        <v>60.0</v>
      </c>
      <c r="H44" s="53">
        <v>20.0</v>
      </c>
      <c r="I44" s="54">
        <f t="shared" si="2"/>
        <v>71.42857143</v>
      </c>
      <c r="J44" s="55">
        <v>24.0</v>
      </c>
      <c r="K44" s="55">
        <v>100.0</v>
      </c>
      <c r="L44" s="56">
        <v>5.0</v>
      </c>
      <c r="M44" s="55">
        <v>83.0</v>
      </c>
      <c r="N44" s="57">
        <v>8.0</v>
      </c>
      <c r="O44" s="58">
        <f t="shared" si="3"/>
        <v>80</v>
      </c>
      <c r="P44" s="53">
        <v>3.0</v>
      </c>
      <c r="Q44" s="58">
        <f t="shared" si="6"/>
        <v>50</v>
      </c>
      <c r="R44" s="53">
        <v>3.0</v>
      </c>
      <c r="S44" s="53">
        <v>60.0</v>
      </c>
      <c r="T44" s="58">
        <f t="shared" si="5"/>
        <v>68.31672932</v>
      </c>
    </row>
    <row r="45" ht="18.0" customHeight="1">
      <c r="A45" s="46">
        <v>35.0</v>
      </c>
      <c r="B45" s="63" t="s">
        <v>99</v>
      </c>
      <c r="C45" s="48" t="s">
        <v>100</v>
      </c>
      <c r="D45" s="49">
        <v>19.0</v>
      </c>
      <c r="E45" s="50">
        <f t="shared" si="1"/>
        <v>100</v>
      </c>
      <c r="F45" s="51">
        <v>15.0</v>
      </c>
      <c r="G45" s="52">
        <v>100.0</v>
      </c>
      <c r="H45" s="53">
        <v>28.0</v>
      </c>
      <c r="I45" s="54">
        <f t="shared" si="2"/>
        <v>100</v>
      </c>
      <c r="J45" s="55">
        <v>24.0</v>
      </c>
      <c r="K45" s="55">
        <v>100.0</v>
      </c>
      <c r="L45" s="56">
        <v>6.0</v>
      </c>
      <c r="M45" s="55">
        <v>100.0</v>
      </c>
      <c r="N45" s="57">
        <v>10.0</v>
      </c>
      <c r="O45" s="58">
        <f t="shared" si="3"/>
        <v>100</v>
      </c>
      <c r="P45" s="53">
        <v>6.0</v>
      </c>
      <c r="Q45" s="58">
        <f t="shared" si="6"/>
        <v>100</v>
      </c>
      <c r="R45" s="53">
        <v>5.0</v>
      </c>
      <c r="S45" s="53">
        <v>100.0</v>
      </c>
      <c r="T45" s="58">
        <f t="shared" si="5"/>
        <v>100</v>
      </c>
    </row>
    <row r="46" ht="18.0" customHeight="1">
      <c r="A46" s="46">
        <v>36.0</v>
      </c>
      <c r="B46" s="63" t="s">
        <v>101</v>
      </c>
      <c r="C46" s="48" t="s">
        <v>102</v>
      </c>
      <c r="D46" s="49">
        <v>18.0</v>
      </c>
      <c r="E46" s="50">
        <f t="shared" si="1"/>
        <v>94.73684211</v>
      </c>
      <c r="F46" s="51">
        <v>14.0</v>
      </c>
      <c r="G46" s="52">
        <v>93.0</v>
      </c>
      <c r="H46" s="53">
        <v>27.0</v>
      </c>
      <c r="I46" s="54">
        <f t="shared" si="2"/>
        <v>96.42857143</v>
      </c>
      <c r="J46" s="55">
        <v>20.0</v>
      </c>
      <c r="K46" s="55">
        <v>83.33</v>
      </c>
      <c r="L46" s="56">
        <v>6.0</v>
      </c>
      <c r="M46" s="55">
        <v>100.0</v>
      </c>
      <c r="N46" s="57">
        <v>10.0</v>
      </c>
      <c r="O46" s="58">
        <f t="shared" si="3"/>
        <v>100</v>
      </c>
      <c r="P46" s="53">
        <v>6.0</v>
      </c>
      <c r="Q46" s="58">
        <f t="shared" si="6"/>
        <v>100</v>
      </c>
      <c r="R46" s="53">
        <v>5.0</v>
      </c>
      <c r="S46" s="53">
        <v>100.0</v>
      </c>
      <c r="T46" s="58">
        <f t="shared" si="5"/>
        <v>95.93692669</v>
      </c>
    </row>
    <row r="47" ht="18.0" customHeight="1">
      <c r="A47" s="46">
        <v>37.0</v>
      </c>
      <c r="B47" s="63" t="s">
        <v>103</v>
      </c>
      <c r="C47" s="48" t="s">
        <v>104</v>
      </c>
      <c r="D47" s="49">
        <v>12.0</v>
      </c>
      <c r="E47" s="50">
        <f t="shared" si="1"/>
        <v>63.15789474</v>
      </c>
      <c r="F47" s="51">
        <v>13.0</v>
      </c>
      <c r="G47" s="52">
        <v>87.0</v>
      </c>
      <c r="H47" s="53">
        <v>20.0</v>
      </c>
      <c r="I47" s="54">
        <f t="shared" si="2"/>
        <v>71.42857143</v>
      </c>
      <c r="J47" s="55">
        <v>15.0</v>
      </c>
      <c r="K47" s="55">
        <v>62.5</v>
      </c>
      <c r="L47" s="56">
        <v>4.0</v>
      </c>
      <c r="M47" s="55">
        <v>66.0</v>
      </c>
      <c r="N47" s="57">
        <v>8.0</v>
      </c>
      <c r="O47" s="58">
        <f t="shared" si="3"/>
        <v>80</v>
      </c>
      <c r="P47" s="53">
        <v>2.0</v>
      </c>
      <c r="Q47" s="58">
        <f t="shared" si="6"/>
        <v>33.33333333</v>
      </c>
      <c r="R47" s="53">
        <v>3.0</v>
      </c>
      <c r="S47" s="53">
        <v>60.0</v>
      </c>
      <c r="T47" s="58">
        <f t="shared" si="5"/>
        <v>65.42747494</v>
      </c>
    </row>
    <row r="48" ht="18.0" customHeight="1">
      <c r="A48" s="46">
        <v>38.0</v>
      </c>
      <c r="B48" s="63" t="s">
        <v>105</v>
      </c>
      <c r="C48" s="48" t="s">
        <v>106</v>
      </c>
      <c r="D48" s="49">
        <v>11.0</v>
      </c>
      <c r="E48" s="50">
        <f t="shared" si="1"/>
        <v>57.89473684</v>
      </c>
      <c r="F48" s="51">
        <v>11.0</v>
      </c>
      <c r="G48" s="52">
        <v>73.0</v>
      </c>
      <c r="H48" s="53">
        <v>25.0</v>
      </c>
      <c r="I48" s="54">
        <f t="shared" si="2"/>
        <v>89.28571429</v>
      </c>
      <c r="J48" s="55">
        <v>22.0</v>
      </c>
      <c r="K48" s="55">
        <v>91.67</v>
      </c>
      <c r="L48" s="56">
        <v>5.0</v>
      </c>
      <c r="M48" s="55">
        <v>83.0</v>
      </c>
      <c r="N48" s="57">
        <v>10.0</v>
      </c>
      <c r="O48" s="58">
        <f t="shared" si="3"/>
        <v>100</v>
      </c>
      <c r="P48" s="53">
        <v>6.0</v>
      </c>
      <c r="Q48" s="58">
        <f t="shared" si="6"/>
        <v>100</v>
      </c>
      <c r="R48" s="53">
        <v>3.0</v>
      </c>
      <c r="S48" s="53">
        <v>60.0</v>
      </c>
      <c r="T48" s="58">
        <f t="shared" si="5"/>
        <v>81.85630639</v>
      </c>
    </row>
    <row r="49" ht="18.0" customHeight="1">
      <c r="A49" s="46">
        <v>39.0</v>
      </c>
      <c r="B49" s="63" t="s">
        <v>107</v>
      </c>
      <c r="C49" s="48" t="s">
        <v>108</v>
      </c>
      <c r="D49" s="49">
        <v>2.0</v>
      </c>
      <c r="E49" s="50">
        <f t="shared" si="1"/>
        <v>10.52631579</v>
      </c>
      <c r="F49" s="51">
        <v>1.0</v>
      </c>
      <c r="G49" s="52">
        <v>7.0</v>
      </c>
      <c r="H49" s="53">
        <v>6.0</v>
      </c>
      <c r="I49" s="54">
        <f t="shared" si="2"/>
        <v>21.42857143</v>
      </c>
      <c r="J49" s="55">
        <v>19.0</v>
      </c>
      <c r="K49" s="55">
        <v>79.17</v>
      </c>
      <c r="L49" s="56">
        <v>2.0</v>
      </c>
      <c r="M49" s="55">
        <v>33.0</v>
      </c>
      <c r="N49" s="57">
        <v>2.0</v>
      </c>
      <c r="O49" s="58">
        <f t="shared" si="3"/>
        <v>20</v>
      </c>
      <c r="P49" s="53">
        <v>1.0</v>
      </c>
      <c r="Q49" s="58">
        <f t="shared" si="6"/>
        <v>16.66666667</v>
      </c>
      <c r="R49" s="53">
        <v>0.0</v>
      </c>
      <c r="S49" s="53">
        <v>0.0</v>
      </c>
      <c r="T49" s="58">
        <f t="shared" si="5"/>
        <v>23.47394424</v>
      </c>
    </row>
    <row r="50" ht="18.0" customHeight="1">
      <c r="A50" s="46">
        <v>40.0</v>
      </c>
      <c r="B50" s="63" t="s">
        <v>109</v>
      </c>
      <c r="C50" s="48" t="s">
        <v>110</v>
      </c>
      <c r="D50" s="49">
        <v>17.0</v>
      </c>
      <c r="E50" s="50">
        <f t="shared" si="1"/>
        <v>89.47368421</v>
      </c>
      <c r="F50" s="51">
        <v>15.0</v>
      </c>
      <c r="G50" s="52">
        <v>100.0</v>
      </c>
      <c r="H50" s="53">
        <v>28.0</v>
      </c>
      <c r="I50" s="54">
        <f t="shared" si="2"/>
        <v>100</v>
      </c>
      <c r="J50" s="55">
        <v>23.0</v>
      </c>
      <c r="K50" s="55">
        <v>95.83</v>
      </c>
      <c r="L50" s="56">
        <v>6.0</v>
      </c>
      <c r="M50" s="55">
        <v>100.0</v>
      </c>
      <c r="N50" s="57">
        <v>9.0</v>
      </c>
      <c r="O50" s="58">
        <f t="shared" si="3"/>
        <v>90</v>
      </c>
      <c r="P50" s="53">
        <v>5.0</v>
      </c>
      <c r="Q50" s="58">
        <f t="shared" si="6"/>
        <v>83.33333333</v>
      </c>
      <c r="R50" s="53">
        <v>5.0</v>
      </c>
      <c r="S50" s="53">
        <v>100.0</v>
      </c>
      <c r="T50" s="58">
        <f t="shared" si="5"/>
        <v>94.82962719</v>
      </c>
    </row>
    <row r="51" ht="18.0" customHeight="1">
      <c r="A51" s="46">
        <v>41.0</v>
      </c>
      <c r="B51" s="63" t="s">
        <v>111</v>
      </c>
      <c r="C51" s="48" t="s">
        <v>112</v>
      </c>
      <c r="D51" s="49">
        <v>13.0</v>
      </c>
      <c r="E51" s="50">
        <f t="shared" si="1"/>
        <v>68.42105263</v>
      </c>
      <c r="F51" s="51">
        <v>13.0</v>
      </c>
      <c r="G51" s="52">
        <v>87.0</v>
      </c>
      <c r="H51" s="53">
        <v>28.0</v>
      </c>
      <c r="I51" s="54">
        <f t="shared" si="2"/>
        <v>100</v>
      </c>
      <c r="J51" s="55">
        <v>23.0</v>
      </c>
      <c r="K51" s="55">
        <v>95.83</v>
      </c>
      <c r="L51" s="56">
        <v>6.0</v>
      </c>
      <c r="M51" s="55">
        <v>100.0</v>
      </c>
      <c r="N51" s="57">
        <v>9.0</v>
      </c>
      <c r="O51" s="58">
        <f t="shared" si="3"/>
        <v>90</v>
      </c>
      <c r="P51" s="53">
        <v>4.0</v>
      </c>
      <c r="Q51" s="58">
        <f t="shared" si="6"/>
        <v>66.66666667</v>
      </c>
      <c r="R51" s="53">
        <v>5.0</v>
      </c>
      <c r="S51" s="53">
        <v>100.0</v>
      </c>
      <c r="T51" s="58">
        <f t="shared" si="5"/>
        <v>88.48971491</v>
      </c>
    </row>
    <row r="52" ht="18.0" customHeight="1">
      <c r="A52" s="46">
        <v>42.0</v>
      </c>
      <c r="B52" s="63" t="s">
        <v>113</v>
      </c>
      <c r="C52" s="48" t="s">
        <v>114</v>
      </c>
      <c r="D52" s="49">
        <v>16.0</v>
      </c>
      <c r="E52" s="50">
        <f t="shared" si="1"/>
        <v>84.21052632</v>
      </c>
      <c r="F52" s="51">
        <v>14.0</v>
      </c>
      <c r="G52" s="52">
        <v>93.0</v>
      </c>
      <c r="H52" s="53">
        <v>25.0</v>
      </c>
      <c r="I52" s="54">
        <f t="shared" si="2"/>
        <v>89.28571429</v>
      </c>
      <c r="J52" s="55">
        <v>17.0</v>
      </c>
      <c r="K52" s="55">
        <v>70.83</v>
      </c>
      <c r="L52" s="56">
        <v>6.0</v>
      </c>
      <c r="M52" s="55">
        <v>100.0</v>
      </c>
      <c r="N52" s="57">
        <v>8.0</v>
      </c>
      <c r="O52" s="58">
        <f t="shared" si="3"/>
        <v>80</v>
      </c>
      <c r="P52" s="53">
        <v>5.0</v>
      </c>
      <c r="Q52" s="58">
        <f t="shared" si="6"/>
        <v>83.33333333</v>
      </c>
      <c r="R52" s="53">
        <v>5.0</v>
      </c>
      <c r="S52" s="53">
        <v>100.0</v>
      </c>
      <c r="T52" s="58">
        <f t="shared" si="5"/>
        <v>87.58244674</v>
      </c>
    </row>
    <row r="53" ht="18.0" customHeight="1">
      <c r="A53" s="46">
        <v>43.0</v>
      </c>
      <c r="B53" s="63" t="s">
        <v>115</v>
      </c>
      <c r="C53" s="48" t="s">
        <v>116</v>
      </c>
      <c r="D53" s="49">
        <v>16.0</v>
      </c>
      <c r="E53" s="50">
        <f t="shared" si="1"/>
        <v>84.21052632</v>
      </c>
      <c r="F53" s="51">
        <v>14.0</v>
      </c>
      <c r="G53" s="52">
        <v>93.0</v>
      </c>
      <c r="H53" s="53">
        <v>28.0</v>
      </c>
      <c r="I53" s="54">
        <f t="shared" si="2"/>
        <v>100</v>
      </c>
      <c r="J53" s="55">
        <v>20.0</v>
      </c>
      <c r="K53" s="55">
        <v>83.33</v>
      </c>
      <c r="L53" s="56">
        <v>6.0</v>
      </c>
      <c r="M53" s="55">
        <v>100.0</v>
      </c>
      <c r="N53" s="57">
        <v>9.0</v>
      </c>
      <c r="O53" s="58">
        <f t="shared" si="3"/>
        <v>90</v>
      </c>
      <c r="P53" s="53">
        <v>5.0</v>
      </c>
      <c r="Q53" s="58">
        <f t="shared" si="6"/>
        <v>83.33333333</v>
      </c>
      <c r="R53" s="53">
        <v>5.0</v>
      </c>
      <c r="S53" s="53">
        <v>100.0</v>
      </c>
      <c r="T53" s="58">
        <f t="shared" si="5"/>
        <v>91.73423246</v>
      </c>
    </row>
    <row r="54" ht="18.0" customHeight="1">
      <c r="A54" s="46">
        <v>44.0</v>
      </c>
      <c r="B54" s="63" t="s">
        <v>117</v>
      </c>
      <c r="C54" s="48" t="s">
        <v>118</v>
      </c>
      <c r="D54" s="49">
        <v>15.0</v>
      </c>
      <c r="E54" s="50">
        <f t="shared" si="1"/>
        <v>78.94736842</v>
      </c>
      <c r="F54" s="51">
        <v>11.0</v>
      </c>
      <c r="G54" s="52">
        <v>73.0</v>
      </c>
      <c r="H54" s="53">
        <v>25.0</v>
      </c>
      <c r="I54" s="54">
        <f t="shared" si="2"/>
        <v>89.28571429</v>
      </c>
      <c r="J54" s="55">
        <v>20.0</v>
      </c>
      <c r="K54" s="55">
        <v>83.33</v>
      </c>
      <c r="L54" s="56">
        <v>5.0</v>
      </c>
      <c r="M54" s="55">
        <v>83.0</v>
      </c>
      <c r="N54" s="57">
        <v>10.0</v>
      </c>
      <c r="O54" s="58">
        <f t="shared" si="3"/>
        <v>100</v>
      </c>
      <c r="P54" s="53">
        <v>3.0</v>
      </c>
      <c r="Q54" s="58">
        <f t="shared" si="6"/>
        <v>50</v>
      </c>
      <c r="R54" s="53">
        <v>3.0</v>
      </c>
      <c r="S54" s="53">
        <v>60.0</v>
      </c>
      <c r="T54" s="58">
        <f t="shared" si="5"/>
        <v>77.19538534</v>
      </c>
    </row>
    <row r="55" ht="18.0" customHeight="1">
      <c r="A55" s="46">
        <v>45.0</v>
      </c>
      <c r="B55" s="63" t="s">
        <v>119</v>
      </c>
      <c r="C55" s="48" t="s">
        <v>120</v>
      </c>
      <c r="D55" s="49">
        <v>17.0</v>
      </c>
      <c r="E55" s="50">
        <f t="shared" si="1"/>
        <v>89.47368421</v>
      </c>
      <c r="F55" s="51">
        <v>10.0</v>
      </c>
      <c r="G55" s="52">
        <v>67.0</v>
      </c>
      <c r="H55" s="53">
        <v>26.0</v>
      </c>
      <c r="I55" s="54">
        <f t="shared" si="2"/>
        <v>92.85714286</v>
      </c>
      <c r="J55" s="55">
        <v>22.0</v>
      </c>
      <c r="K55" s="55">
        <v>91.67</v>
      </c>
      <c r="L55" s="56">
        <v>5.0</v>
      </c>
      <c r="M55" s="55">
        <v>83.0</v>
      </c>
      <c r="N55" s="57">
        <v>10.0</v>
      </c>
      <c r="O55" s="58">
        <f t="shared" si="3"/>
        <v>100</v>
      </c>
      <c r="P55" s="53">
        <v>6.0</v>
      </c>
      <c r="Q55" s="58">
        <f t="shared" si="6"/>
        <v>100</v>
      </c>
      <c r="R55" s="53">
        <v>3.0</v>
      </c>
      <c r="S55" s="53">
        <v>60.0</v>
      </c>
      <c r="T55" s="58">
        <f t="shared" si="5"/>
        <v>85.50010338</v>
      </c>
    </row>
    <row r="56" ht="18.0" customHeight="1">
      <c r="A56" s="46">
        <v>46.0</v>
      </c>
      <c r="B56" s="63" t="s">
        <v>121</v>
      </c>
      <c r="C56" s="48" t="s">
        <v>122</v>
      </c>
      <c r="D56" s="49">
        <v>2.0</v>
      </c>
      <c r="E56" s="50">
        <f t="shared" si="1"/>
        <v>10.52631579</v>
      </c>
      <c r="F56" s="51">
        <v>1.0</v>
      </c>
      <c r="G56" s="52">
        <v>7.0</v>
      </c>
      <c r="H56" s="53">
        <v>3.0</v>
      </c>
      <c r="I56" s="54">
        <f t="shared" si="2"/>
        <v>10.71428571</v>
      </c>
      <c r="J56" s="55">
        <v>2.0</v>
      </c>
      <c r="K56" s="55">
        <v>8.0</v>
      </c>
      <c r="L56" s="56">
        <v>0.0</v>
      </c>
      <c r="M56" s="55">
        <v>0.0</v>
      </c>
      <c r="N56" s="57">
        <v>1.0</v>
      </c>
      <c r="O56" s="58">
        <f t="shared" si="3"/>
        <v>10</v>
      </c>
      <c r="P56" s="53">
        <v>1.0</v>
      </c>
      <c r="Q56" s="58">
        <f t="shared" si="6"/>
        <v>16.66666667</v>
      </c>
      <c r="R56" s="53">
        <v>1.0</v>
      </c>
      <c r="S56" s="53">
        <v>20.0</v>
      </c>
      <c r="T56" s="58">
        <f t="shared" si="5"/>
        <v>10.36340852</v>
      </c>
    </row>
    <row r="57" ht="18.0" customHeight="1">
      <c r="A57" s="46">
        <v>47.0</v>
      </c>
      <c r="B57" s="63" t="s">
        <v>123</v>
      </c>
      <c r="C57" s="48" t="s">
        <v>124</v>
      </c>
      <c r="D57" s="49">
        <v>16.0</v>
      </c>
      <c r="E57" s="50">
        <f t="shared" si="1"/>
        <v>84.21052632</v>
      </c>
      <c r="F57" s="51">
        <v>14.0</v>
      </c>
      <c r="G57" s="52">
        <v>93.0</v>
      </c>
      <c r="H57" s="53">
        <v>27.0</v>
      </c>
      <c r="I57" s="54">
        <f t="shared" si="2"/>
        <v>96.42857143</v>
      </c>
      <c r="J57" s="55">
        <v>23.0</v>
      </c>
      <c r="K57" s="55">
        <v>95.83</v>
      </c>
      <c r="L57" s="56">
        <v>6.0</v>
      </c>
      <c r="M57" s="55">
        <v>100.0</v>
      </c>
      <c r="N57" s="57">
        <v>9.0</v>
      </c>
      <c r="O57" s="58">
        <f t="shared" si="3"/>
        <v>90</v>
      </c>
      <c r="P57" s="53">
        <v>5.0</v>
      </c>
      <c r="Q57" s="58">
        <f t="shared" si="6"/>
        <v>83.33333333</v>
      </c>
      <c r="R57" s="53">
        <v>4.0</v>
      </c>
      <c r="S57" s="53">
        <v>80.0</v>
      </c>
      <c r="T57" s="58">
        <f t="shared" si="5"/>
        <v>90.35030388</v>
      </c>
    </row>
    <row r="58" ht="18.0" customHeight="1">
      <c r="A58" s="46">
        <v>48.0</v>
      </c>
      <c r="B58" s="63" t="s">
        <v>125</v>
      </c>
      <c r="C58" s="48" t="s">
        <v>126</v>
      </c>
      <c r="D58" s="49">
        <v>16.0</v>
      </c>
      <c r="E58" s="50">
        <f t="shared" si="1"/>
        <v>84.21052632</v>
      </c>
      <c r="F58" s="51">
        <v>12.0</v>
      </c>
      <c r="G58" s="52">
        <v>80.0</v>
      </c>
      <c r="H58" s="53">
        <v>20.0</v>
      </c>
      <c r="I58" s="54">
        <f t="shared" si="2"/>
        <v>71.42857143</v>
      </c>
      <c r="J58" s="55">
        <v>20.0</v>
      </c>
      <c r="K58" s="55">
        <v>83.33</v>
      </c>
      <c r="L58" s="56">
        <v>6.0</v>
      </c>
      <c r="M58" s="55">
        <v>100.0</v>
      </c>
      <c r="N58" s="57">
        <v>8.0</v>
      </c>
      <c r="O58" s="58">
        <f t="shared" si="3"/>
        <v>80</v>
      </c>
      <c r="P58" s="53">
        <v>4.0</v>
      </c>
      <c r="Q58" s="58">
        <f t="shared" si="6"/>
        <v>66.66666667</v>
      </c>
      <c r="R58" s="53">
        <v>3.0</v>
      </c>
      <c r="S58" s="53">
        <v>60.0</v>
      </c>
      <c r="T58" s="58">
        <f t="shared" si="5"/>
        <v>78.20447055</v>
      </c>
    </row>
    <row r="59" ht="18.0" customHeight="1">
      <c r="A59" s="46">
        <v>49.0</v>
      </c>
      <c r="B59" s="63" t="s">
        <v>127</v>
      </c>
      <c r="C59" s="48" t="s">
        <v>128</v>
      </c>
      <c r="D59" s="49">
        <v>15.0</v>
      </c>
      <c r="E59" s="50">
        <f t="shared" si="1"/>
        <v>78.94736842</v>
      </c>
      <c r="F59" s="51">
        <v>13.0</v>
      </c>
      <c r="G59" s="52">
        <v>87.0</v>
      </c>
      <c r="H59" s="53">
        <v>23.0</v>
      </c>
      <c r="I59" s="54">
        <f t="shared" si="2"/>
        <v>82.14285714</v>
      </c>
      <c r="J59" s="55">
        <v>21.0</v>
      </c>
      <c r="K59" s="55">
        <v>87.5</v>
      </c>
      <c r="L59" s="56">
        <v>4.0</v>
      </c>
      <c r="M59" s="55">
        <v>66.0</v>
      </c>
      <c r="N59" s="57">
        <v>9.0</v>
      </c>
      <c r="O59" s="58">
        <f t="shared" si="3"/>
        <v>90</v>
      </c>
      <c r="P59" s="53">
        <v>5.0</v>
      </c>
      <c r="Q59" s="58">
        <f t="shared" si="6"/>
        <v>83.33333333</v>
      </c>
      <c r="R59" s="53">
        <v>4.0</v>
      </c>
      <c r="S59" s="53">
        <v>80.0</v>
      </c>
      <c r="T59" s="58">
        <f t="shared" si="5"/>
        <v>81.86544486</v>
      </c>
    </row>
    <row r="60" ht="18.0" customHeight="1">
      <c r="A60" s="46">
        <v>50.0</v>
      </c>
      <c r="B60" s="63" t="s">
        <v>129</v>
      </c>
      <c r="C60" s="48" t="s">
        <v>130</v>
      </c>
      <c r="D60" s="49">
        <v>19.0</v>
      </c>
      <c r="E60" s="50">
        <f t="shared" si="1"/>
        <v>100</v>
      </c>
      <c r="F60" s="51">
        <v>15.0</v>
      </c>
      <c r="G60" s="52">
        <v>100.0</v>
      </c>
      <c r="H60" s="53">
        <v>28.0</v>
      </c>
      <c r="I60" s="54">
        <f t="shared" si="2"/>
        <v>100</v>
      </c>
      <c r="J60" s="55">
        <v>24.0</v>
      </c>
      <c r="K60" s="55">
        <v>100.0</v>
      </c>
      <c r="L60" s="56">
        <v>6.0</v>
      </c>
      <c r="M60" s="55">
        <v>100.0</v>
      </c>
      <c r="N60" s="57">
        <v>10.0</v>
      </c>
      <c r="O60" s="58">
        <f t="shared" si="3"/>
        <v>100</v>
      </c>
      <c r="P60" s="53">
        <v>6.0</v>
      </c>
      <c r="Q60" s="58">
        <f t="shared" si="6"/>
        <v>100</v>
      </c>
      <c r="R60" s="53">
        <v>5.0</v>
      </c>
      <c r="S60" s="53">
        <v>100.0</v>
      </c>
      <c r="T60" s="58">
        <f t="shared" si="5"/>
        <v>100</v>
      </c>
    </row>
    <row r="61" ht="18.0" customHeight="1">
      <c r="A61" s="46">
        <v>51.0</v>
      </c>
      <c r="B61" s="63" t="s">
        <v>131</v>
      </c>
      <c r="C61" s="48" t="s">
        <v>132</v>
      </c>
      <c r="D61" s="49">
        <v>18.0</v>
      </c>
      <c r="E61" s="50">
        <f t="shared" si="1"/>
        <v>94.73684211</v>
      </c>
      <c r="F61" s="51">
        <v>15.0</v>
      </c>
      <c r="G61" s="52">
        <v>100.0</v>
      </c>
      <c r="H61" s="53">
        <v>28.0</v>
      </c>
      <c r="I61" s="54">
        <f t="shared" si="2"/>
        <v>100</v>
      </c>
      <c r="J61" s="55">
        <v>21.0</v>
      </c>
      <c r="K61" s="55">
        <v>87.5</v>
      </c>
      <c r="L61" s="56">
        <v>6.0</v>
      </c>
      <c r="M61" s="55">
        <v>100.0</v>
      </c>
      <c r="N61" s="57">
        <v>10.0</v>
      </c>
      <c r="O61" s="58">
        <f t="shared" si="3"/>
        <v>100</v>
      </c>
      <c r="P61" s="53">
        <v>5.0</v>
      </c>
      <c r="Q61" s="58">
        <f t="shared" si="6"/>
        <v>83.33333333</v>
      </c>
      <c r="R61" s="53">
        <v>5.0</v>
      </c>
      <c r="S61" s="53">
        <v>100.0</v>
      </c>
      <c r="T61" s="58">
        <f t="shared" si="5"/>
        <v>95.69627193</v>
      </c>
    </row>
    <row r="62" ht="18.0" customHeight="1">
      <c r="A62" s="46">
        <v>52.0</v>
      </c>
      <c r="B62" s="64" t="s">
        <v>133</v>
      </c>
      <c r="C62" s="62" t="s">
        <v>134</v>
      </c>
      <c r="D62" s="49">
        <v>6.0</v>
      </c>
      <c r="E62" s="50">
        <f t="shared" si="1"/>
        <v>31.57894737</v>
      </c>
      <c r="F62" s="51">
        <v>9.0</v>
      </c>
      <c r="G62" s="52">
        <v>60.0</v>
      </c>
      <c r="H62" s="53">
        <v>19.0</v>
      </c>
      <c r="I62" s="54">
        <f t="shared" si="2"/>
        <v>67.85714286</v>
      </c>
      <c r="J62" s="55">
        <v>21.0</v>
      </c>
      <c r="K62" s="55">
        <v>87.5</v>
      </c>
      <c r="L62" s="56">
        <v>4.0</v>
      </c>
      <c r="M62" s="55">
        <v>66.0</v>
      </c>
      <c r="N62" s="57">
        <v>8.0</v>
      </c>
      <c r="O62" s="58">
        <f t="shared" si="3"/>
        <v>80</v>
      </c>
      <c r="P62" s="53">
        <v>1.0</v>
      </c>
      <c r="Q62" s="58">
        <f t="shared" si="6"/>
        <v>16.66666667</v>
      </c>
      <c r="R62" s="53">
        <v>1.0</v>
      </c>
      <c r="S62" s="53">
        <v>20.0</v>
      </c>
      <c r="T62" s="58">
        <f t="shared" si="5"/>
        <v>53.70034461</v>
      </c>
    </row>
    <row r="63" ht="18.0" customHeight="1">
      <c r="A63" s="46">
        <v>53.0</v>
      </c>
      <c r="B63" s="64" t="s">
        <v>135</v>
      </c>
      <c r="C63" s="62" t="s">
        <v>136</v>
      </c>
      <c r="D63" s="49">
        <v>17.0</v>
      </c>
      <c r="E63" s="50">
        <f t="shared" si="1"/>
        <v>89.47368421</v>
      </c>
      <c r="F63" s="51">
        <v>14.0</v>
      </c>
      <c r="G63" s="52">
        <v>93.0</v>
      </c>
      <c r="H63" s="53">
        <v>28.0</v>
      </c>
      <c r="I63" s="54">
        <f t="shared" si="2"/>
        <v>100</v>
      </c>
      <c r="J63" s="55">
        <v>19.0</v>
      </c>
      <c r="K63" s="55">
        <v>79.17</v>
      </c>
      <c r="L63" s="56">
        <v>6.0</v>
      </c>
      <c r="M63" s="55">
        <v>100.0</v>
      </c>
      <c r="N63" s="57">
        <v>10.0</v>
      </c>
      <c r="O63" s="58">
        <f t="shared" si="3"/>
        <v>100</v>
      </c>
      <c r="P63" s="53">
        <v>6.0</v>
      </c>
      <c r="Q63" s="58">
        <f t="shared" si="6"/>
        <v>100</v>
      </c>
      <c r="R63" s="53">
        <v>5.0</v>
      </c>
      <c r="S63" s="53">
        <v>100.0</v>
      </c>
      <c r="T63" s="58">
        <f t="shared" si="5"/>
        <v>95.20546053</v>
      </c>
    </row>
    <row r="64" ht="16.5" customHeight="1">
      <c r="A64" s="65" t="s">
        <v>137</v>
      </c>
      <c r="B64" s="66"/>
      <c r="C64" s="67"/>
      <c r="D64" s="68" t="s">
        <v>138</v>
      </c>
      <c r="E64" s="26"/>
      <c r="F64" s="68" t="s">
        <v>139</v>
      </c>
      <c r="G64" s="26"/>
      <c r="H64" s="68" t="s">
        <v>140</v>
      </c>
      <c r="I64" s="26"/>
      <c r="J64" s="68" t="s">
        <v>141</v>
      </c>
      <c r="K64" s="26"/>
      <c r="L64" s="69" t="s">
        <v>142</v>
      </c>
      <c r="M64" s="26"/>
      <c r="N64" s="68" t="s">
        <v>143</v>
      </c>
      <c r="O64" s="26"/>
      <c r="P64" s="70" t="s">
        <v>144</v>
      </c>
      <c r="Q64" s="26"/>
      <c r="R64" s="69" t="s">
        <v>145</v>
      </c>
      <c r="S64" s="26"/>
      <c r="T64" s="71"/>
    </row>
    <row r="65" ht="13.5" customHeight="1">
      <c r="A65" s="11"/>
      <c r="B65" s="11"/>
      <c r="C65" s="72"/>
      <c r="D65" s="73"/>
      <c r="E65" s="73"/>
      <c r="F65" s="11"/>
      <c r="G65" s="74"/>
      <c r="H65" s="75"/>
      <c r="I65" s="75"/>
      <c r="J65" s="11"/>
      <c r="K65" s="76"/>
      <c r="L65" s="11"/>
      <c r="M65" s="76"/>
      <c r="N65" s="11"/>
      <c r="O65" s="77"/>
      <c r="P65" s="77"/>
      <c r="Q65" s="77"/>
      <c r="R65" s="11"/>
      <c r="S65" s="11"/>
      <c r="T65" s="78"/>
    </row>
    <row r="66" ht="24.0" customHeight="1">
      <c r="A66" s="79" t="s">
        <v>146</v>
      </c>
    </row>
    <row r="67" ht="11.25" customHeight="1">
      <c r="A67" s="80"/>
      <c r="B67" s="80"/>
      <c r="C67" s="76"/>
      <c r="D67" s="1"/>
      <c r="E67" s="1"/>
      <c r="F67" s="1"/>
      <c r="G67" s="1"/>
      <c r="H67" s="1"/>
      <c r="I67" s="1"/>
      <c r="J67" s="1"/>
      <c r="K67" s="1"/>
      <c r="L67" s="76"/>
      <c r="M67" s="76"/>
      <c r="N67" s="76"/>
      <c r="O67" s="76"/>
      <c r="P67" s="76"/>
      <c r="Q67" s="76"/>
      <c r="R67" s="1"/>
      <c r="S67" s="1"/>
      <c r="T67" s="76"/>
    </row>
    <row r="68" ht="11.25" customHeight="1">
      <c r="A68" s="76"/>
      <c r="B68" s="76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1.2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1.2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1.2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1.2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1.2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1.2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1.2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1.2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1.2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1.2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1.2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1.2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1.2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1.2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1.2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1.2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1.2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1.2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1.2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1.2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1.2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1.2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1.2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1.2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1.2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1.2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1.2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1.2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1.2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1.2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1.2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1.2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1.2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1.2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1.2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1.2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1.2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1.2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1.2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1.2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1.2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1.2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1.2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1.2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1.2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1.2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1.2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1.2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1.2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1.2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1.2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1.2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1.2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1.2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1.2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1.2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1.2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1.2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1.2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1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1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1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1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1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1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1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1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1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1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1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1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1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1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1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1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1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1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1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1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1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1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1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1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1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1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1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1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1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1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1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1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1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1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1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1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1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1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1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1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1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1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1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1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1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1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1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1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1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1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1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1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1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1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1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1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1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1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1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1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1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1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1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1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1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1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1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1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1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1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1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1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1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1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1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1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1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1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1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1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1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1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1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1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1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1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1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1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1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1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1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1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1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1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1.2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1.2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1.2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1.2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1.2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1.2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1.2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1.2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1.2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1.2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1.2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1.2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1.2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1.2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1.2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1.2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1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1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1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1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1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1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1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1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1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1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1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1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1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1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1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1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1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1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1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1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1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1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1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1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1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1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1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1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1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3">
    <mergeCell ref="D7:E7"/>
    <mergeCell ref="F7:G7"/>
    <mergeCell ref="D6:E6"/>
    <mergeCell ref="D8:E8"/>
    <mergeCell ref="C9:C10"/>
    <mergeCell ref="D9:D10"/>
    <mergeCell ref="E9:E10"/>
    <mergeCell ref="F9:F10"/>
    <mergeCell ref="G9:G10"/>
    <mergeCell ref="P64:Q64"/>
    <mergeCell ref="R64:S64"/>
    <mergeCell ref="A64:C64"/>
    <mergeCell ref="D64:E64"/>
    <mergeCell ref="F64:G64"/>
    <mergeCell ref="H64:I64"/>
    <mergeCell ref="J64:K64"/>
    <mergeCell ref="L64:M64"/>
    <mergeCell ref="N64:O64"/>
    <mergeCell ref="A66:T66"/>
    <mergeCell ref="P9:P10"/>
    <mergeCell ref="Q9:Q10"/>
    <mergeCell ref="R9:R10"/>
    <mergeCell ref="S9:S10"/>
    <mergeCell ref="N6:O6"/>
    <mergeCell ref="R6:S6"/>
    <mergeCell ref="T6:T10"/>
    <mergeCell ref="N7:O7"/>
    <mergeCell ref="P7:Q7"/>
    <mergeCell ref="R7:S7"/>
    <mergeCell ref="N8:O8"/>
    <mergeCell ref="H7:I7"/>
    <mergeCell ref="J7:K7"/>
    <mergeCell ref="F8:G8"/>
    <mergeCell ref="H8:I8"/>
    <mergeCell ref="J8:K8"/>
    <mergeCell ref="L8:M8"/>
    <mergeCell ref="A2:T2"/>
    <mergeCell ref="A6:A8"/>
    <mergeCell ref="F6:G6"/>
    <mergeCell ref="H6:I6"/>
    <mergeCell ref="J6:K6"/>
    <mergeCell ref="L6:M6"/>
    <mergeCell ref="L7:M7"/>
    <mergeCell ref="P8:Q8"/>
    <mergeCell ref="R8:S8"/>
    <mergeCell ref="H9:H10"/>
    <mergeCell ref="I9:I10"/>
    <mergeCell ref="J9:J10"/>
    <mergeCell ref="K9:K10"/>
    <mergeCell ref="L9:L10"/>
    <mergeCell ref="M9:M10"/>
    <mergeCell ref="N9:N10"/>
    <mergeCell ref="O9:O10"/>
  </mergeCells>
  <printOptions horizontalCentered="1"/>
  <pageMargins bottom="0.25" footer="0.0" header="0.0" left="0.0" right="0.25" top="0.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3.75"/>
    <col customWidth="1" min="3" max="3" width="22.88"/>
    <col customWidth="1" min="4" max="4" width="5.88"/>
    <col customWidth="1" min="5" max="5" width="5.38"/>
    <col customWidth="1" min="6" max="6" width="4.75"/>
    <col customWidth="1" min="7" max="7" width="5.0"/>
    <col customWidth="1" min="8" max="8" width="3.88"/>
    <col customWidth="1" min="9" max="9" width="5.63"/>
    <col customWidth="1" min="10" max="10" width="4.13"/>
    <col customWidth="1" min="11" max="11" width="5.88"/>
    <col customWidth="1" min="12" max="12" width="4.75"/>
    <col customWidth="1" min="13" max="13" width="5.63"/>
    <col customWidth="1" min="14" max="14" width="3.88"/>
    <col customWidth="1" min="15" max="16" width="5.25"/>
    <col customWidth="1" min="17" max="17" width="6.38"/>
    <col customWidth="1" min="18" max="18" width="3.88"/>
    <col customWidth="1" min="19" max="19" width="5.13"/>
    <col customWidth="1" min="20" max="20" width="4.88"/>
    <col customWidth="1" min="21" max="21" width="5.38"/>
    <col customWidth="1" hidden="1" min="22" max="24" width="12.63"/>
    <col customWidth="1" min="25" max="27" width="12.0"/>
  </cols>
  <sheetData>
    <row r="1" ht="15.0" customHeight="1">
      <c r="A1" s="1">
        <v>1.0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 t="s">
        <v>0</v>
      </c>
      <c r="N1" s="4"/>
      <c r="O1" s="5"/>
      <c r="P1" s="5"/>
      <c r="Q1" s="5"/>
      <c r="R1" s="5"/>
      <c r="S1" s="6"/>
      <c r="T1" s="7"/>
    </row>
    <row r="2" ht="22.5" customHeight="1">
      <c r="A2" s="8" t="s">
        <v>1</v>
      </c>
    </row>
    <row r="3" ht="17.25" customHeight="1">
      <c r="A3" s="9" t="s">
        <v>2</v>
      </c>
      <c r="B3" s="10"/>
      <c r="C3" s="10"/>
      <c r="D3" s="10"/>
      <c r="E3" s="10"/>
      <c r="F3" s="10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9.5" customHeight="1">
      <c r="A4" s="1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4</v>
      </c>
      <c r="N4" s="10"/>
      <c r="O4" s="10"/>
      <c r="P4" s="10"/>
      <c r="Q4" s="10"/>
      <c r="R4" s="10"/>
      <c r="S4" s="10"/>
      <c r="T4" s="10"/>
      <c r="Y4" s="13"/>
      <c r="Z4" s="13"/>
      <c r="AA4" s="13"/>
    </row>
    <row r="5" ht="20.25" customHeight="1">
      <c r="A5" s="14"/>
      <c r="B5" s="14"/>
      <c r="C5" s="15" t="s">
        <v>5</v>
      </c>
      <c r="D5" s="16"/>
      <c r="E5" s="14"/>
      <c r="F5" s="14"/>
      <c r="G5" s="14"/>
      <c r="H5" s="14"/>
      <c r="I5" s="14"/>
      <c r="J5" s="14"/>
      <c r="K5" s="17"/>
      <c r="L5" s="12" t="s">
        <v>6</v>
      </c>
      <c r="M5" s="18"/>
      <c r="N5" s="18"/>
      <c r="O5" s="19"/>
      <c r="P5" s="19"/>
      <c r="Q5" s="19"/>
      <c r="R5" s="20"/>
      <c r="S5" s="20"/>
      <c r="T5" s="21"/>
      <c r="Y5" s="13"/>
      <c r="Z5" s="13"/>
      <c r="AA5" s="13"/>
    </row>
    <row r="6" ht="14.25" customHeight="1">
      <c r="A6" s="22" t="s">
        <v>7</v>
      </c>
      <c r="B6" s="23" t="s">
        <v>8</v>
      </c>
      <c r="C6" s="24" t="s">
        <v>9</v>
      </c>
      <c r="D6" s="25">
        <v>19.0</v>
      </c>
      <c r="E6" s="26"/>
      <c r="F6" s="27">
        <v>15.0</v>
      </c>
      <c r="G6" s="26"/>
      <c r="H6" s="27">
        <v>28.0</v>
      </c>
      <c r="I6" s="26"/>
      <c r="J6" s="27">
        <v>24.0</v>
      </c>
      <c r="K6" s="26"/>
      <c r="L6" s="27">
        <v>6.0</v>
      </c>
      <c r="M6" s="26"/>
      <c r="N6" s="27">
        <v>10.0</v>
      </c>
      <c r="O6" s="26"/>
      <c r="P6" s="28">
        <v>5.0</v>
      </c>
      <c r="Q6" s="28">
        <v>6.0</v>
      </c>
      <c r="R6" s="27">
        <v>5.0</v>
      </c>
      <c r="S6" s="26"/>
      <c r="T6" s="29" t="s">
        <v>10</v>
      </c>
    </row>
    <row r="7" ht="15.75" customHeight="1">
      <c r="A7" s="30"/>
      <c r="B7" s="31"/>
      <c r="C7" s="32" t="s">
        <v>11</v>
      </c>
      <c r="D7" s="33" t="s">
        <v>12</v>
      </c>
      <c r="E7" s="26"/>
      <c r="F7" s="33" t="s">
        <v>13</v>
      </c>
      <c r="G7" s="26"/>
      <c r="H7" s="33" t="s">
        <v>14</v>
      </c>
      <c r="I7" s="26"/>
      <c r="J7" s="33" t="s">
        <v>15</v>
      </c>
      <c r="K7" s="26"/>
      <c r="L7" s="33" t="s">
        <v>16</v>
      </c>
      <c r="M7" s="26"/>
      <c r="N7" s="33" t="s">
        <v>17</v>
      </c>
      <c r="O7" s="26"/>
      <c r="P7" s="33" t="s">
        <v>18</v>
      </c>
      <c r="Q7" s="26"/>
      <c r="R7" s="33" t="s">
        <v>19</v>
      </c>
      <c r="S7" s="26"/>
      <c r="T7" s="30"/>
    </row>
    <row r="8" ht="15.75" customHeight="1">
      <c r="A8" s="34"/>
      <c r="B8" s="35"/>
      <c r="C8" s="32" t="s">
        <v>20</v>
      </c>
      <c r="D8" s="36" t="s">
        <v>21</v>
      </c>
      <c r="E8" s="26"/>
      <c r="F8" s="37" t="s">
        <v>22</v>
      </c>
      <c r="G8" s="26"/>
      <c r="H8" s="37" t="s">
        <v>23</v>
      </c>
      <c r="I8" s="26"/>
      <c r="J8" s="37" t="s">
        <v>24</v>
      </c>
      <c r="K8" s="26"/>
      <c r="L8" s="37" t="s">
        <v>25</v>
      </c>
      <c r="M8" s="26"/>
      <c r="N8" s="38" t="s">
        <v>26</v>
      </c>
      <c r="O8" s="26"/>
      <c r="P8" s="37" t="s">
        <v>27</v>
      </c>
      <c r="Q8" s="26"/>
      <c r="R8" s="37" t="s">
        <v>28</v>
      </c>
      <c r="S8" s="26"/>
      <c r="T8" s="30"/>
    </row>
    <row r="9" ht="11.25" customHeight="1">
      <c r="A9" s="39"/>
      <c r="B9" s="39"/>
      <c r="C9" s="40" t="s">
        <v>29</v>
      </c>
      <c r="D9" s="41" t="s">
        <v>30</v>
      </c>
      <c r="E9" s="42" t="s">
        <v>31</v>
      </c>
      <c r="F9" s="42" t="s">
        <v>30</v>
      </c>
      <c r="G9" s="42" t="s">
        <v>31</v>
      </c>
      <c r="H9" s="42" t="s">
        <v>30</v>
      </c>
      <c r="I9" s="42" t="s">
        <v>31</v>
      </c>
      <c r="J9" s="42" t="s">
        <v>30</v>
      </c>
      <c r="K9" s="42" t="s">
        <v>31</v>
      </c>
      <c r="L9" s="42" t="s">
        <v>30</v>
      </c>
      <c r="M9" s="42" t="s">
        <v>31</v>
      </c>
      <c r="N9" s="42" t="s">
        <v>30</v>
      </c>
      <c r="O9" s="42" t="s">
        <v>31</v>
      </c>
      <c r="P9" s="42" t="s">
        <v>30</v>
      </c>
      <c r="Q9" s="42" t="s">
        <v>31</v>
      </c>
      <c r="R9" s="42" t="s">
        <v>30</v>
      </c>
      <c r="S9" s="42" t="s">
        <v>31</v>
      </c>
      <c r="T9" s="30"/>
    </row>
    <row r="10" ht="9.0" customHeight="1">
      <c r="A10" s="43"/>
      <c r="B10" s="43"/>
      <c r="C10" s="44"/>
      <c r="D10" s="45"/>
      <c r="E10" s="34"/>
      <c r="F10" s="44"/>
      <c r="G10" s="44"/>
      <c r="H10" s="34"/>
      <c r="I10" s="34"/>
      <c r="J10" s="34"/>
      <c r="K10" s="34"/>
      <c r="L10" s="34"/>
      <c r="M10" s="34"/>
      <c r="N10" s="34"/>
      <c r="O10" s="44"/>
      <c r="P10" s="34"/>
      <c r="Q10" s="44"/>
      <c r="R10" s="34"/>
      <c r="S10" s="44"/>
      <c r="T10" s="34"/>
    </row>
    <row r="11" ht="18.0" customHeight="1">
      <c r="A11" s="81">
        <v>1.0</v>
      </c>
      <c r="B11" s="47" t="s">
        <v>53</v>
      </c>
      <c r="C11" s="48" t="s">
        <v>54</v>
      </c>
      <c r="D11" s="49">
        <v>13.0</v>
      </c>
      <c r="E11" s="50">
        <f t="shared" ref="E11:E18" si="1">(D11/19)*100</f>
        <v>68.42105263</v>
      </c>
      <c r="F11" s="51">
        <v>11.0</v>
      </c>
      <c r="G11" s="52">
        <v>73.0</v>
      </c>
      <c r="H11" s="53">
        <v>13.0</v>
      </c>
      <c r="I11" s="54">
        <f t="shared" ref="I11:I18" si="2">(H11/28)*100</f>
        <v>46.42857143</v>
      </c>
      <c r="J11" s="55">
        <v>16.0</v>
      </c>
      <c r="K11" s="55">
        <v>66.67</v>
      </c>
      <c r="L11" s="56">
        <v>4.0</v>
      </c>
      <c r="M11" s="55">
        <v>66.0</v>
      </c>
      <c r="N11" s="57">
        <v>4.0</v>
      </c>
      <c r="O11" s="58">
        <f t="shared" ref="O11:O18" si="3">(N11/10)*100</f>
        <v>40</v>
      </c>
      <c r="P11" s="59">
        <v>3.0</v>
      </c>
      <c r="Q11" s="58">
        <f t="shared" ref="Q11:Q13" si="4">(P11/5)*100</f>
        <v>60</v>
      </c>
      <c r="R11" s="53">
        <v>2.0</v>
      </c>
      <c r="S11" s="53">
        <v>40.0</v>
      </c>
      <c r="T11" s="58">
        <f t="shared" ref="T11:T18" si="5">AVERAGE(E11,G11,I11,K11,M11,O11,Q11,S11)</f>
        <v>57.56495301</v>
      </c>
    </row>
    <row r="12" ht="18.0" customHeight="1">
      <c r="A12" s="81">
        <v>2.0</v>
      </c>
      <c r="B12" s="47" t="s">
        <v>63</v>
      </c>
      <c r="C12" s="48" t="s">
        <v>64</v>
      </c>
      <c r="D12" s="49">
        <v>6.0</v>
      </c>
      <c r="E12" s="50">
        <f t="shared" si="1"/>
        <v>31.57894737</v>
      </c>
      <c r="F12" s="51">
        <v>3.0</v>
      </c>
      <c r="G12" s="52">
        <v>20.0</v>
      </c>
      <c r="H12" s="53">
        <v>11.0</v>
      </c>
      <c r="I12" s="54">
        <f t="shared" si="2"/>
        <v>39.28571429</v>
      </c>
      <c r="J12" s="55">
        <v>9.0</v>
      </c>
      <c r="K12" s="55">
        <v>37.5</v>
      </c>
      <c r="L12" s="56">
        <v>3.0</v>
      </c>
      <c r="M12" s="55">
        <v>50.0</v>
      </c>
      <c r="N12" s="57">
        <v>3.0</v>
      </c>
      <c r="O12" s="58">
        <f t="shared" si="3"/>
        <v>30</v>
      </c>
      <c r="P12" s="59">
        <v>1.0</v>
      </c>
      <c r="Q12" s="58">
        <f t="shared" si="4"/>
        <v>20</v>
      </c>
      <c r="R12" s="53">
        <v>2.0</v>
      </c>
      <c r="S12" s="53">
        <v>40.0</v>
      </c>
      <c r="T12" s="58">
        <f t="shared" si="5"/>
        <v>33.54558271</v>
      </c>
    </row>
    <row r="13" ht="14.25" customHeight="1">
      <c r="A13" s="81">
        <v>3.0</v>
      </c>
      <c r="B13" s="47" t="s">
        <v>81</v>
      </c>
      <c r="C13" s="48" t="s">
        <v>82</v>
      </c>
      <c r="D13" s="49">
        <v>12.0</v>
      </c>
      <c r="E13" s="50">
        <f t="shared" si="1"/>
        <v>63.15789474</v>
      </c>
      <c r="F13" s="51">
        <v>12.0</v>
      </c>
      <c r="G13" s="52">
        <v>80.0</v>
      </c>
      <c r="H13" s="53">
        <v>13.0</v>
      </c>
      <c r="I13" s="54">
        <f t="shared" si="2"/>
        <v>46.42857143</v>
      </c>
      <c r="J13" s="55">
        <v>19.0</v>
      </c>
      <c r="K13" s="55">
        <v>79.17</v>
      </c>
      <c r="L13" s="56">
        <v>3.0</v>
      </c>
      <c r="M13" s="55">
        <v>50.0</v>
      </c>
      <c r="N13" s="57">
        <v>5.0</v>
      </c>
      <c r="O13" s="58">
        <f t="shared" si="3"/>
        <v>50</v>
      </c>
      <c r="P13" s="59">
        <v>5.0</v>
      </c>
      <c r="Q13" s="58">
        <f t="shared" si="4"/>
        <v>100</v>
      </c>
      <c r="R13" s="53">
        <v>3.0</v>
      </c>
      <c r="S13" s="53">
        <v>60.0</v>
      </c>
      <c r="T13" s="58">
        <f t="shared" si="5"/>
        <v>66.09455827</v>
      </c>
    </row>
    <row r="14" ht="15.75" customHeight="1">
      <c r="A14" s="81">
        <v>4.0</v>
      </c>
      <c r="B14" s="47" t="s">
        <v>97</v>
      </c>
      <c r="C14" s="48" t="s">
        <v>98</v>
      </c>
      <c r="D14" s="49">
        <v>8.0</v>
      </c>
      <c r="E14" s="50">
        <f t="shared" si="1"/>
        <v>42.10526316</v>
      </c>
      <c r="F14" s="51">
        <v>9.0</v>
      </c>
      <c r="G14" s="52">
        <v>60.0</v>
      </c>
      <c r="H14" s="53">
        <v>20.0</v>
      </c>
      <c r="I14" s="54">
        <f t="shared" si="2"/>
        <v>71.42857143</v>
      </c>
      <c r="J14" s="55">
        <v>24.0</v>
      </c>
      <c r="K14" s="55">
        <v>100.0</v>
      </c>
      <c r="L14" s="56">
        <v>5.0</v>
      </c>
      <c r="M14" s="55">
        <v>83.0</v>
      </c>
      <c r="N14" s="57">
        <v>8.0</v>
      </c>
      <c r="O14" s="58">
        <f t="shared" si="3"/>
        <v>80</v>
      </c>
      <c r="P14" s="53">
        <v>3.0</v>
      </c>
      <c r="Q14" s="58">
        <f t="shared" ref="Q14:Q18" si="6">(P14/6)*100</f>
        <v>50</v>
      </c>
      <c r="R14" s="53">
        <v>3.0</v>
      </c>
      <c r="S14" s="53">
        <v>60.0</v>
      </c>
      <c r="T14" s="58">
        <f t="shared" si="5"/>
        <v>68.31672932</v>
      </c>
    </row>
    <row r="15" ht="18.0" customHeight="1">
      <c r="A15" s="81">
        <v>5.0</v>
      </c>
      <c r="B15" s="63" t="s">
        <v>103</v>
      </c>
      <c r="C15" s="48" t="s">
        <v>104</v>
      </c>
      <c r="D15" s="49">
        <v>12.0</v>
      </c>
      <c r="E15" s="50">
        <f t="shared" si="1"/>
        <v>63.15789474</v>
      </c>
      <c r="F15" s="51">
        <v>13.0</v>
      </c>
      <c r="G15" s="52">
        <v>87.0</v>
      </c>
      <c r="H15" s="53">
        <v>20.0</v>
      </c>
      <c r="I15" s="54">
        <f t="shared" si="2"/>
        <v>71.42857143</v>
      </c>
      <c r="J15" s="55">
        <v>15.0</v>
      </c>
      <c r="K15" s="55">
        <v>62.5</v>
      </c>
      <c r="L15" s="56">
        <v>4.0</v>
      </c>
      <c r="M15" s="55">
        <v>66.0</v>
      </c>
      <c r="N15" s="57">
        <v>8.0</v>
      </c>
      <c r="O15" s="58">
        <f t="shared" si="3"/>
        <v>80</v>
      </c>
      <c r="P15" s="53">
        <v>2.0</v>
      </c>
      <c r="Q15" s="58">
        <f t="shared" si="6"/>
        <v>33.33333333</v>
      </c>
      <c r="R15" s="53">
        <v>3.0</v>
      </c>
      <c r="S15" s="53">
        <v>60.0</v>
      </c>
      <c r="T15" s="58">
        <f t="shared" si="5"/>
        <v>65.42747494</v>
      </c>
    </row>
    <row r="16" ht="18.0" customHeight="1">
      <c r="A16" s="81">
        <v>6.0</v>
      </c>
      <c r="B16" s="63" t="s">
        <v>107</v>
      </c>
      <c r="C16" s="48" t="s">
        <v>108</v>
      </c>
      <c r="D16" s="49">
        <v>2.0</v>
      </c>
      <c r="E16" s="50">
        <f t="shared" si="1"/>
        <v>10.52631579</v>
      </c>
      <c r="F16" s="51">
        <v>1.0</v>
      </c>
      <c r="G16" s="52">
        <v>7.0</v>
      </c>
      <c r="H16" s="53">
        <v>6.0</v>
      </c>
      <c r="I16" s="54">
        <f t="shared" si="2"/>
        <v>21.42857143</v>
      </c>
      <c r="J16" s="55">
        <v>19.0</v>
      </c>
      <c r="K16" s="55">
        <v>79.17</v>
      </c>
      <c r="L16" s="56">
        <v>2.0</v>
      </c>
      <c r="M16" s="55">
        <v>33.0</v>
      </c>
      <c r="N16" s="57">
        <v>2.0</v>
      </c>
      <c r="O16" s="58">
        <f t="shared" si="3"/>
        <v>20</v>
      </c>
      <c r="P16" s="53">
        <v>1.0</v>
      </c>
      <c r="Q16" s="58">
        <f t="shared" si="6"/>
        <v>16.66666667</v>
      </c>
      <c r="R16" s="53">
        <v>0.0</v>
      </c>
      <c r="S16" s="53">
        <v>0.0</v>
      </c>
      <c r="T16" s="58">
        <f t="shared" si="5"/>
        <v>23.47394424</v>
      </c>
    </row>
    <row r="17" ht="18.0" customHeight="1">
      <c r="A17" s="81">
        <v>7.0</v>
      </c>
      <c r="B17" s="63" t="s">
        <v>121</v>
      </c>
      <c r="C17" s="48" t="s">
        <v>122</v>
      </c>
      <c r="D17" s="49">
        <v>2.0</v>
      </c>
      <c r="E17" s="50">
        <f t="shared" si="1"/>
        <v>10.52631579</v>
      </c>
      <c r="F17" s="51">
        <v>1.0</v>
      </c>
      <c r="G17" s="52">
        <v>7.0</v>
      </c>
      <c r="H17" s="53">
        <v>3.0</v>
      </c>
      <c r="I17" s="54">
        <f t="shared" si="2"/>
        <v>10.71428571</v>
      </c>
      <c r="J17" s="55">
        <v>2.0</v>
      </c>
      <c r="K17" s="55">
        <v>8.0</v>
      </c>
      <c r="L17" s="56">
        <v>0.0</v>
      </c>
      <c r="M17" s="55">
        <v>0.0</v>
      </c>
      <c r="N17" s="57">
        <v>1.0</v>
      </c>
      <c r="O17" s="58">
        <f t="shared" si="3"/>
        <v>10</v>
      </c>
      <c r="P17" s="53">
        <v>1.0</v>
      </c>
      <c r="Q17" s="58">
        <f t="shared" si="6"/>
        <v>16.66666667</v>
      </c>
      <c r="R17" s="53">
        <v>1.0</v>
      </c>
      <c r="S17" s="53">
        <v>20.0</v>
      </c>
      <c r="T17" s="58">
        <f t="shared" si="5"/>
        <v>10.36340852</v>
      </c>
    </row>
    <row r="18" ht="18.0" customHeight="1">
      <c r="A18" s="81">
        <v>8.0</v>
      </c>
      <c r="B18" s="64" t="s">
        <v>133</v>
      </c>
      <c r="C18" s="62" t="s">
        <v>134</v>
      </c>
      <c r="D18" s="49">
        <v>6.0</v>
      </c>
      <c r="E18" s="50">
        <f t="shared" si="1"/>
        <v>31.57894737</v>
      </c>
      <c r="F18" s="51">
        <v>9.0</v>
      </c>
      <c r="G18" s="52">
        <v>60.0</v>
      </c>
      <c r="H18" s="53">
        <v>19.0</v>
      </c>
      <c r="I18" s="54">
        <f t="shared" si="2"/>
        <v>67.85714286</v>
      </c>
      <c r="J18" s="55">
        <v>21.0</v>
      </c>
      <c r="K18" s="55">
        <v>87.5</v>
      </c>
      <c r="L18" s="56">
        <v>4.0</v>
      </c>
      <c r="M18" s="55">
        <v>66.0</v>
      </c>
      <c r="N18" s="57">
        <v>8.0</v>
      </c>
      <c r="O18" s="58">
        <f t="shared" si="3"/>
        <v>80</v>
      </c>
      <c r="P18" s="53">
        <v>1.0</v>
      </c>
      <c r="Q18" s="58">
        <f t="shared" si="6"/>
        <v>16.66666667</v>
      </c>
      <c r="R18" s="53">
        <v>1.0</v>
      </c>
      <c r="S18" s="53">
        <v>20.0</v>
      </c>
      <c r="T18" s="58">
        <f t="shared" si="5"/>
        <v>53.70034461</v>
      </c>
    </row>
    <row r="19" ht="16.5" customHeight="1">
      <c r="A19" s="65" t="s">
        <v>137</v>
      </c>
      <c r="B19" s="66"/>
      <c r="C19" s="67"/>
      <c r="D19" s="68" t="s">
        <v>138</v>
      </c>
      <c r="E19" s="26"/>
      <c r="F19" s="68" t="s">
        <v>139</v>
      </c>
      <c r="G19" s="26"/>
      <c r="H19" s="68" t="s">
        <v>140</v>
      </c>
      <c r="I19" s="26"/>
      <c r="J19" s="68" t="s">
        <v>141</v>
      </c>
      <c r="K19" s="26"/>
      <c r="L19" s="69" t="s">
        <v>142</v>
      </c>
      <c r="M19" s="26"/>
      <c r="N19" s="68" t="s">
        <v>143</v>
      </c>
      <c r="O19" s="26"/>
      <c r="P19" s="70" t="s">
        <v>144</v>
      </c>
      <c r="Q19" s="26"/>
      <c r="R19" s="69" t="s">
        <v>145</v>
      </c>
      <c r="S19" s="26"/>
      <c r="T19" s="71"/>
    </row>
    <row r="20" ht="13.5" customHeight="1">
      <c r="A20" s="11"/>
      <c r="B20" s="11"/>
      <c r="C20" s="72"/>
      <c r="D20" s="73"/>
      <c r="E20" s="73"/>
      <c r="F20" s="11"/>
      <c r="G20" s="74"/>
      <c r="H20" s="75"/>
      <c r="I20" s="75"/>
      <c r="J20" s="11"/>
      <c r="K20" s="76"/>
      <c r="L20" s="11"/>
      <c r="M20" s="76"/>
      <c r="N20" s="11"/>
      <c r="O20" s="77"/>
      <c r="P20" s="77"/>
      <c r="Q20" s="77"/>
      <c r="R20" s="11"/>
      <c r="S20" s="11"/>
      <c r="T20" s="78"/>
    </row>
    <row r="21" ht="24.0" customHeight="1">
      <c r="A21" s="79" t="s">
        <v>146</v>
      </c>
    </row>
    <row r="22" ht="11.25" customHeight="1">
      <c r="A22" s="80"/>
      <c r="B22" s="80"/>
      <c r="C22" s="76"/>
      <c r="D22" s="1"/>
      <c r="E22" s="1"/>
      <c r="F22" s="1"/>
      <c r="G22" s="1"/>
      <c r="H22" s="1"/>
      <c r="I22" s="1"/>
      <c r="J22" s="1"/>
      <c r="K22" s="1"/>
      <c r="L22" s="76"/>
      <c r="M22" s="76"/>
      <c r="N22" s="76"/>
      <c r="O22" s="76"/>
      <c r="P22" s="76"/>
      <c r="Q22" s="76"/>
      <c r="R22" s="1"/>
      <c r="S22" s="1"/>
      <c r="T22" s="76"/>
    </row>
    <row r="23" ht="11.25" customHeight="1">
      <c r="A23" s="76"/>
      <c r="B23" s="76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1.2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1.2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1.2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1.2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1.2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1.2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1.25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1.2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1.2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1.2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1.2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1.2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1.2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1.2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1.2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1.2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1.2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1.2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1.2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1.2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1.2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1.2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1.2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1.2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1.2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1.2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1.2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1.2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1.2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1.2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1.2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1.2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1.2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1.2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1.2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1.2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1.2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1.2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1.2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1.2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1.2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1.2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1.2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1.2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1.2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1.2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1.2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1.2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1.2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1.2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1.2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1.2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1.2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1.2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1.2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1.2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1.2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1.2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1.2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1.2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1.2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1.2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1.2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1.2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1.2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1.2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1.2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1.2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1.2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1.2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1.2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1.2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1.2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1.2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1.2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1.2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1.2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1.2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1.2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1.2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1.2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1.2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1.2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1.2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1.2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1.2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1.2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1.2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1.2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1.2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1.2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1.2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1.2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1.2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1.2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1.2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1.2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1.2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1.2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1.2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1.2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1.2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1.2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1.2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1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1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1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1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1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1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1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1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1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1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1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1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1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1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1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1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1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1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1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1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1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1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1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1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1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1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1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1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1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1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1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1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1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1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1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1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1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1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1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1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1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1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1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1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1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1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1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1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1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1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1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1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1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1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1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1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1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1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1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1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1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1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1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1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1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1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1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1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1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1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1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1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1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1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1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1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1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1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1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1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1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1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1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1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1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1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1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1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1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1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1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1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1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1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mergeCells count="53">
    <mergeCell ref="D7:E7"/>
    <mergeCell ref="F7:G7"/>
    <mergeCell ref="D6:E6"/>
    <mergeCell ref="D8:E8"/>
    <mergeCell ref="C9:C10"/>
    <mergeCell ref="D9:D10"/>
    <mergeCell ref="E9:E10"/>
    <mergeCell ref="F9:F10"/>
    <mergeCell ref="G9:G10"/>
    <mergeCell ref="P19:Q19"/>
    <mergeCell ref="R19:S19"/>
    <mergeCell ref="A19:C19"/>
    <mergeCell ref="D19:E19"/>
    <mergeCell ref="F19:G19"/>
    <mergeCell ref="H19:I19"/>
    <mergeCell ref="J19:K19"/>
    <mergeCell ref="L19:M19"/>
    <mergeCell ref="N19:O19"/>
    <mergeCell ref="A21:T21"/>
    <mergeCell ref="P9:P10"/>
    <mergeCell ref="Q9:Q10"/>
    <mergeCell ref="R9:R10"/>
    <mergeCell ref="S9:S10"/>
    <mergeCell ref="N6:O6"/>
    <mergeCell ref="R6:S6"/>
    <mergeCell ref="T6:T10"/>
    <mergeCell ref="N7:O7"/>
    <mergeCell ref="P7:Q7"/>
    <mergeCell ref="R7:S7"/>
    <mergeCell ref="N8:O8"/>
    <mergeCell ref="H7:I7"/>
    <mergeCell ref="J7:K7"/>
    <mergeCell ref="F8:G8"/>
    <mergeCell ref="H8:I8"/>
    <mergeCell ref="J8:K8"/>
    <mergeCell ref="L8:M8"/>
    <mergeCell ref="A2:T2"/>
    <mergeCell ref="A6:A8"/>
    <mergeCell ref="F6:G6"/>
    <mergeCell ref="H6:I6"/>
    <mergeCell ref="J6:K6"/>
    <mergeCell ref="L6:M6"/>
    <mergeCell ref="L7:M7"/>
    <mergeCell ref="P8:Q8"/>
    <mergeCell ref="R8:S8"/>
    <mergeCell ref="H9:H10"/>
    <mergeCell ref="I9:I10"/>
    <mergeCell ref="J9:J10"/>
    <mergeCell ref="K9:K10"/>
    <mergeCell ref="L9:L10"/>
    <mergeCell ref="M9:M10"/>
    <mergeCell ref="N9:N10"/>
    <mergeCell ref="O9:O10"/>
  </mergeCells>
  <printOptions horizontalCentered="1"/>
  <pageMargins bottom="0.25" footer="0.0" header="0.0" left="0.0" right="0.25" top="0.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7.0"/>
    <col customWidth="1" min="3" max="4" width="25.0"/>
    <col customWidth="1" min="5" max="5" width="36.63"/>
    <col customWidth="1" min="6" max="6" width="32.88"/>
    <col customWidth="1" min="7" max="26" width="12.0"/>
  </cols>
  <sheetData>
    <row r="2" ht="15.0" customHeight="1">
      <c r="A2" s="82" t="s">
        <v>147</v>
      </c>
      <c r="B2" s="83" t="s">
        <v>8</v>
      </c>
      <c r="C2" s="84" t="s">
        <v>148</v>
      </c>
      <c r="D2" s="85" t="s">
        <v>149</v>
      </c>
      <c r="E2" s="85" t="s">
        <v>150</v>
      </c>
      <c r="F2" s="85" t="s">
        <v>151</v>
      </c>
    </row>
    <row r="3">
      <c r="A3" s="86">
        <v>1.0</v>
      </c>
      <c r="B3" s="87" t="s">
        <v>32</v>
      </c>
      <c r="C3" s="88" t="s">
        <v>33</v>
      </c>
      <c r="D3" s="89"/>
      <c r="E3" s="89"/>
      <c r="F3" s="89"/>
    </row>
    <row r="4">
      <c r="A4" s="86">
        <v>2.0</v>
      </c>
      <c r="B4" s="87" t="s">
        <v>34</v>
      </c>
      <c r="C4" s="88" t="s">
        <v>33</v>
      </c>
      <c r="D4" s="89"/>
      <c r="E4" s="89"/>
      <c r="F4" s="89"/>
    </row>
    <row r="5">
      <c r="A5" s="86">
        <v>3.0</v>
      </c>
      <c r="B5" s="87" t="s">
        <v>35</v>
      </c>
      <c r="C5" s="88" t="s">
        <v>36</v>
      </c>
      <c r="D5" s="89"/>
      <c r="E5" s="89"/>
      <c r="F5" s="89"/>
    </row>
    <row r="6">
      <c r="A6" s="86">
        <v>4.0</v>
      </c>
      <c r="B6" s="87" t="s">
        <v>37</v>
      </c>
      <c r="C6" s="88" t="s">
        <v>38</v>
      </c>
      <c r="D6" s="89"/>
      <c r="E6" s="90" t="s">
        <v>152</v>
      </c>
      <c r="F6" s="89" t="s">
        <v>153</v>
      </c>
    </row>
    <row r="7">
      <c r="A7" s="86">
        <v>5.0</v>
      </c>
      <c r="B7" s="87" t="s">
        <v>39</v>
      </c>
      <c r="C7" s="88" t="s">
        <v>40</v>
      </c>
      <c r="D7" s="89"/>
      <c r="E7" s="89"/>
      <c r="F7" s="89"/>
    </row>
    <row r="8">
      <c r="A8" s="86">
        <v>6.0</v>
      </c>
      <c r="B8" s="87" t="s">
        <v>41</v>
      </c>
      <c r="C8" s="88" t="s">
        <v>42</v>
      </c>
      <c r="D8" s="89"/>
      <c r="E8" s="89"/>
      <c r="F8" s="89"/>
    </row>
    <row r="9">
      <c r="A9" s="86">
        <v>7.0</v>
      </c>
      <c r="B9" s="87" t="s">
        <v>43</v>
      </c>
      <c r="C9" s="88" t="s">
        <v>44</v>
      </c>
      <c r="D9" s="89"/>
      <c r="E9" s="89"/>
      <c r="F9" s="89"/>
    </row>
    <row r="10">
      <c r="A10" s="86">
        <v>8.0</v>
      </c>
      <c r="B10" s="87" t="s">
        <v>45</v>
      </c>
      <c r="C10" s="88" t="s">
        <v>46</v>
      </c>
      <c r="D10" s="89"/>
      <c r="E10" s="89"/>
      <c r="F10" s="89"/>
    </row>
    <row r="11">
      <c r="A11" s="86">
        <v>9.0</v>
      </c>
      <c r="B11" s="87" t="s">
        <v>47</v>
      </c>
      <c r="C11" s="88" t="s">
        <v>48</v>
      </c>
      <c r="D11" s="89"/>
      <c r="E11" s="89"/>
      <c r="F11" s="89"/>
    </row>
    <row r="12">
      <c r="A12" s="86">
        <v>10.0</v>
      </c>
      <c r="B12" s="87" t="s">
        <v>49</v>
      </c>
      <c r="C12" s="88" t="s">
        <v>50</v>
      </c>
      <c r="D12" s="89"/>
      <c r="E12" s="89"/>
      <c r="F12" s="89"/>
    </row>
    <row r="13">
      <c r="A13" s="86">
        <v>11.0</v>
      </c>
      <c r="B13" s="87" t="s">
        <v>51</v>
      </c>
      <c r="C13" s="88" t="s">
        <v>52</v>
      </c>
      <c r="D13" s="89"/>
      <c r="E13" s="91"/>
      <c r="F13" s="89"/>
    </row>
    <row r="14">
      <c r="A14" s="86">
        <v>12.0</v>
      </c>
      <c r="B14" s="87" t="s">
        <v>53</v>
      </c>
      <c r="C14" s="88" t="s">
        <v>54</v>
      </c>
      <c r="D14" s="89"/>
      <c r="E14" s="89"/>
      <c r="F14" s="89"/>
    </row>
    <row r="15">
      <c r="A15" s="86">
        <v>13.0</v>
      </c>
      <c r="B15" s="87" t="s">
        <v>55</v>
      </c>
      <c r="C15" s="88" t="s">
        <v>56</v>
      </c>
      <c r="D15" s="89"/>
      <c r="E15" s="92" t="s">
        <v>154</v>
      </c>
      <c r="F15" s="92" t="s">
        <v>155</v>
      </c>
    </row>
    <row r="16">
      <c r="A16" s="86">
        <v>14.0</v>
      </c>
      <c r="B16" s="87" t="s">
        <v>57</v>
      </c>
      <c r="C16" s="88" t="s">
        <v>58</v>
      </c>
      <c r="D16" s="89"/>
      <c r="E16" s="92" t="s">
        <v>154</v>
      </c>
      <c r="F16" s="92" t="s">
        <v>155</v>
      </c>
    </row>
    <row r="17">
      <c r="A17" s="86">
        <v>15.0</v>
      </c>
      <c r="B17" s="87" t="s">
        <v>59</v>
      </c>
      <c r="C17" s="88" t="s">
        <v>60</v>
      </c>
      <c r="D17" s="89"/>
      <c r="E17" s="93" t="s">
        <v>156</v>
      </c>
      <c r="F17" s="89" t="s">
        <v>157</v>
      </c>
    </row>
    <row r="18">
      <c r="A18" s="86">
        <v>16.0</v>
      </c>
      <c r="B18" s="87" t="s">
        <v>61</v>
      </c>
      <c r="C18" s="88" t="s">
        <v>62</v>
      </c>
      <c r="D18" s="89"/>
      <c r="E18" s="89"/>
      <c r="F18" s="89"/>
    </row>
    <row r="19">
      <c r="A19" s="86">
        <v>17.0</v>
      </c>
      <c r="B19" s="87" t="s">
        <v>63</v>
      </c>
      <c r="C19" s="88" t="s">
        <v>64</v>
      </c>
      <c r="D19" s="89"/>
      <c r="E19" s="89"/>
      <c r="F19" s="89"/>
    </row>
    <row r="20">
      <c r="A20" s="86">
        <v>18.0</v>
      </c>
      <c r="B20" s="87" t="s">
        <v>65</v>
      </c>
      <c r="C20" s="88" t="s">
        <v>66</v>
      </c>
      <c r="D20" s="89"/>
      <c r="E20" s="89"/>
      <c r="F20" s="89"/>
    </row>
    <row r="21" ht="15.75" customHeight="1">
      <c r="A21" s="86">
        <v>19.0</v>
      </c>
      <c r="B21" s="87" t="s">
        <v>67</v>
      </c>
      <c r="C21" s="88" t="s">
        <v>68</v>
      </c>
      <c r="D21" s="89"/>
      <c r="E21" s="89"/>
      <c r="F21" s="89"/>
    </row>
    <row r="22" ht="15.75" customHeight="1">
      <c r="A22" s="86">
        <v>20.0</v>
      </c>
      <c r="B22" s="87" t="s">
        <v>69</v>
      </c>
      <c r="C22" s="88" t="s">
        <v>70</v>
      </c>
      <c r="D22" s="89"/>
      <c r="E22" s="89"/>
      <c r="F22" s="89"/>
    </row>
    <row r="23" ht="15.75" customHeight="1">
      <c r="A23" s="86">
        <v>21.0</v>
      </c>
      <c r="B23" s="87" t="s">
        <v>71</v>
      </c>
      <c r="C23" s="88" t="s">
        <v>72</v>
      </c>
      <c r="D23" s="89"/>
      <c r="E23" s="89" t="s">
        <v>158</v>
      </c>
      <c r="F23" s="89" t="s">
        <v>159</v>
      </c>
    </row>
    <row r="24" ht="30.0" customHeight="1">
      <c r="A24" s="94">
        <v>22.0</v>
      </c>
      <c r="B24" s="95" t="s">
        <v>73</v>
      </c>
      <c r="C24" s="96" t="s">
        <v>74</v>
      </c>
      <c r="D24" s="97"/>
      <c r="E24" s="98" t="s">
        <v>160</v>
      </c>
      <c r="F24" s="99" t="s">
        <v>161</v>
      </c>
    </row>
    <row r="25" ht="15.0" customHeight="1">
      <c r="A25" s="44"/>
      <c r="B25" s="44"/>
      <c r="C25" s="44"/>
      <c r="D25" s="100"/>
      <c r="E25" s="92" t="s">
        <v>154</v>
      </c>
      <c r="F25" s="92" t="s">
        <v>155</v>
      </c>
    </row>
    <row r="26" ht="15.75" customHeight="1">
      <c r="A26" s="86">
        <v>23.0</v>
      </c>
      <c r="B26" s="87" t="s">
        <v>75</v>
      </c>
      <c r="C26" s="88" t="s">
        <v>76</v>
      </c>
      <c r="D26" s="89"/>
      <c r="E26" s="89"/>
      <c r="F26" s="89"/>
    </row>
    <row r="27" ht="15.75" customHeight="1">
      <c r="A27" s="86">
        <v>24.0</v>
      </c>
      <c r="B27" s="87" t="s">
        <v>77</v>
      </c>
      <c r="C27" s="88" t="s">
        <v>78</v>
      </c>
      <c r="D27" s="89"/>
      <c r="E27" s="89"/>
      <c r="F27" s="89"/>
    </row>
    <row r="28" ht="15.0" customHeight="1">
      <c r="A28" s="94">
        <v>25.0</v>
      </c>
      <c r="B28" s="95" t="s">
        <v>79</v>
      </c>
      <c r="C28" s="95" t="s">
        <v>80</v>
      </c>
      <c r="D28" s="101"/>
      <c r="E28" s="89" t="s">
        <v>158</v>
      </c>
      <c r="F28" s="89" t="s">
        <v>159</v>
      </c>
    </row>
    <row r="29" ht="15.0" customHeight="1">
      <c r="A29" s="44"/>
      <c r="B29" s="44"/>
      <c r="C29" s="44"/>
      <c r="D29" s="44"/>
      <c r="E29" s="92" t="s">
        <v>154</v>
      </c>
      <c r="F29" s="92" t="s">
        <v>155</v>
      </c>
    </row>
    <row r="30" ht="15.75" customHeight="1">
      <c r="A30" s="86">
        <v>26.0</v>
      </c>
      <c r="B30" s="87" t="s">
        <v>81</v>
      </c>
      <c r="C30" s="88" t="s">
        <v>82</v>
      </c>
      <c r="D30" s="89"/>
      <c r="E30" s="89" t="s">
        <v>162</v>
      </c>
      <c r="F30" s="89" t="s">
        <v>163</v>
      </c>
    </row>
    <row r="31" ht="15.75" customHeight="1">
      <c r="A31" s="86">
        <v>27.0</v>
      </c>
      <c r="B31" s="87" t="s">
        <v>83</v>
      </c>
      <c r="C31" s="88" t="s">
        <v>84</v>
      </c>
      <c r="D31" s="89"/>
      <c r="E31" s="92" t="s">
        <v>154</v>
      </c>
      <c r="F31" s="92" t="s">
        <v>155</v>
      </c>
    </row>
    <row r="32" ht="15.75" customHeight="1">
      <c r="A32" s="86">
        <v>28.0</v>
      </c>
      <c r="B32" s="87" t="s">
        <v>85</v>
      </c>
      <c r="C32" s="88" t="s">
        <v>86</v>
      </c>
      <c r="D32" s="89"/>
      <c r="E32" s="89" t="s">
        <v>158</v>
      </c>
      <c r="F32" s="89" t="s">
        <v>159</v>
      </c>
    </row>
    <row r="33" ht="15.75" customHeight="1">
      <c r="A33" s="86">
        <v>29.0</v>
      </c>
      <c r="B33" s="87" t="s">
        <v>87</v>
      </c>
      <c r="C33" s="88" t="s">
        <v>88</v>
      </c>
      <c r="D33" s="89"/>
      <c r="E33" s="89"/>
      <c r="F33" s="89"/>
    </row>
    <row r="34" ht="15.75" customHeight="1">
      <c r="A34" s="86">
        <v>30.0</v>
      </c>
      <c r="B34" s="87" t="s">
        <v>89</v>
      </c>
      <c r="C34" s="88" t="s">
        <v>90</v>
      </c>
      <c r="D34" s="89"/>
      <c r="E34" s="89"/>
      <c r="F34" s="89"/>
    </row>
    <row r="35" ht="15.75" customHeight="1">
      <c r="A35" s="86">
        <v>31.0</v>
      </c>
      <c r="B35" s="87" t="s">
        <v>91</v>
      </c>
      <c r="C35" s="88" t="s">
        <v>92</v>
      </c>
      <c r="D35" s="89"/>
      <c r="E35" s="92" t="s">
        <v>154</v>
      </c>
      <c r="F35" s="92" t="s">
        <v>155</v>
      </c>
    </row>
    <row r="36" ht="15.75" customHeight="1">
      <c r="A36" s="86">
        <v>32.0</v>
      </c>
      <c r="B36" s="87" t="s">
        <v>93</v>
      </c>
      <c r="C36" s="88" t="s">
        <v>94</v>
      </c>
      <c r="D36" s="102" t="s">
        <v>164</v>
      </c>
      <c r="E36" s="103"/>
      <c r="F36" s="104" t="s">
        <v>165</v>
      </c>
    </row>
    <row r="37" ht="15.75" customHeight="1">
      <c r="A37" s="86">
        <v>33.0</v>
      </c>
      <c r="B37" s="87" t="s">
        <v>95</v>
      </c>
      <c r="C37" s="88" t="s">
        <v>96</v>
      </c>
      <c r="D37" s="89"/>
      <c r="E37" s="89"/>
      <c r="F37" s="89"/>
    </row>
    <row r="38" ht="15.75" customHeight="1">
      <c r="A38" s="86">
        <v>34.0</v>
      </c>
      <c r="B38" s="87" t="s">
        <v>97</v>
      </c>
      <c r="C38" s="88" t="s">
        <v>98</v>
      </c>
      <c r="D38" s="89"/>
      <c r="E38" s="89"/>
      <c r="F38" s="89"/>
    </row>
    <row r="39" ht="15.75" customHeight="1">
      <c r="A39" s="86">
        <v>35.0</v>
      </c>
      <c r="B39" s="105" t="s">
        <v>99</v>
      </c>
      <c r="C39" s="88" t="s">
        <v>100</v>
      </c>
      <c r="D39" s="89"/>
      <c r="E39" s="92" t="s">
        <v>154</v>
      </c>
      <c r="F39" s="92" t="s">
        <v>155</v>
      </c>
    </row>
    <row r="40" ht="15.75" customHeight="1">
      <c r="A40" s="86">
        <v>36.0</v>
      </c>
      <c r="B40" s="105" t="s">
        <v>101</v>
      </c>
      <c r="C40" s="88" t="s">
        <v>102</v>
      </c>
      <c r="D40" s="106"/>
      <c r="E40" s="89" t="s">
        <v>166</v>
      </c>
      <c r="F40" s="89" t="s">
        <v>167</v>
      </c>
    </row>
    <row r="41" ht="15.75" customHeight="1">
      <c r="A41" s="86"/>
      <c r="B41" s="105"/>
      <c r="C41" s="88"/>
      <c r="D41" s="106"/>
      <c r="E41" s="92" t="s">
        <v>154</v>
      </c>
      <c r="F41" s="92" t="s">
        <v>155</v>
      </c>
    </row>
    <row r="42" ht="15.75" customHeight="1">
      <c r="A42" s="86">
        <v>37.0</v>
      </c>
      <c r="B42" s="105" t="s">
        <v>103</v>
      </c>
      <c r="C42" s="88" t="s">
        <v>104</v>
      </c>
      <c r="D42" s="89"/>
      <c r="E42" s="107" t="s">
        <v>168</v>
      </c>
      <c r="F42" s="108" t="s">
        <v>169</v>
      </c>
    </row>
    <row r="43" ht="15.75" customHeight="1">
      <c r="A43" s="86">
        <v>38.0</v>
      </c>
      <c r="B43" s="105" t="s">
        <v>105</v>
      </c>
      <c r="C43" s="88" t="s">
        <v>106</v>
      </c>
      <c r="D43" s="89"/>
      <c r="E43" s="89"/>
      <c r="F43" s="89"/>
    </row>
    <row r="44" ht="15.75" customHeight="1">
      <c r="A44" s="86">
        <v>39.0</v>
      </c>
      <c r="B44" s="105" t="s">
        <v>107</v>
      </c>
      <c r="C44" s="88" t="s">
        <v>108</v>
      </c>
      <c r="D44" s="89"/>
      <c r="E44" s="89"/>
      <c r="F44" s="89"/>
    </row>
    <row r="45" ht="15.75" customHeight="1">
      <c r="A45" s="86">
        <v>40.0</v>
      </c>
      <c r="B45" s="105" t="s">
        <v>109</v>
      </c>
      <c r="C45" s="88" t="s">
        <v>110</v>
      </c>
      <c r="D45" s="89"/>
      <c r="E45" s="89"/>
      <c r="F45" s="89"/>
    </row>
    <row r="46" ht="15.75" customHeight="1">
      <c r="A46" s="86">
        <v>41.0</v>
      </c>
      <c r="B46" s="105" t="s">
        <v>111</v>
      </c>
      <c r="C46" s="88" t="s">
        <v>112</v>
      </c>
      <c r="D46" s="89"/>
      <c r="E46" s="104" t="s">
        <v>170</v>
      </c>
      <c r="F46" s="104" t="s">
        <v>171</v>
      </c>
    </row>
    <row r="47" ht="15.75" customHeight="1">
      <c r="A47" s="86">
        <v>42.0</v>
      </c>
      <c r="B47" s="105" t="s">
        <v>113</v>
      </c>
      <c r="C47" s="88" t="s">
        <v>114</v>
      </c>
      <c r="D47" s="89"/>
      <c r="E47" s="98" t="s">
        <v>160</v>
      </c>
      <c r="F47" s="99" t="s">
        <v>161</v>
      </c>
    </row>
    <row r="48" ht="15.75" customHeight="1">
      <c r="A48" s="94">
        <v>43.0</v>
      </c>
      <c r="B48" s="109" t="s">
        <v>115</v>
      </c>
      <c r="C48" s="95" t="s">
        <v>116</v>
      </c>
      <c r="D48" s="97"/>
      <c r="E48" s="98" t="s">
        <v>160</v>
      </c>
      <c r="F48" s="99" t="s">
        <v>161</v>
      </c>
    </row>
    <row r="49" ht="15.0" customHeight="1">
      <c r="A49" s="44"/>
      <c r="B49" s="44"/>
      <c r="C49" s="44"/>
      <c r="D49" s="100"/>
      <c r="E49" s="92" t="s">
        <v>154</v>
      </c>
      <c r="F49" s="92" t="s">
        <v>155</v>
      </c>
    </row>
    <row r="50" ht="15.75" customHeight="1">
      <c r="A50" s="86">
        <v>44.0</v>
      </c>
      <c r="B50" s="105" t="s">
        <v>117</v>
      </c>
      <c r="C50" s="88" t="s">
        <v>118</v>
      </c>
      <c r="D50" s="89"/>
      <c r="E50" s="89"/>
      <c r="F50" s="89"/>
    </row>
    <row r="51" ht="15.75" customHeight="1">
      <c r="A51" s="86">
        <v>45.0</v>
      </c>
      <c r="B51" s="105" t="s">
        <v>119</v>
      </c>
      <c r="C51" s="88" t="s">
        <v>120</v>
      </c>
      <c r="D51" s="89"/>
      <c r="E51" s="89"/>
      <c r="F51" s="89"/>
    </row>
    <row r="52" ht="15.75" customHeight="1">
      <c r="A52" s="86">
        <v>46.0</v>
      </c>
      <c r="B52" s="105" t="s">
        <v>121</v>
      </c>
      <c r="C52" s="88" t="s">
        <v>122</v>
      </c>
      <c r="D52" s="89"/>
      <c r="E52" s="89"/>
      <c r="F52" s="89"/>
    </row>
    <row r="53" ht="15.75" customHeight="1">
      <c r="A53" s="86">
        <v>47.0</v>
      </c>
      <c r="B53" s="105" t="s">
        <v>123</v>
      </c>
      <c r="C53" s="88" t="s">
        <v>124</v>
      </c>
      <c r="D53" s="89"/>
      <c r="E53" s="89"/>
      <c r="F53" s="89"/>
    </row>
    <row r="54" ht="15.75" customHeight="1">
      <c r="A54" s="86">
        <v>48.0</v>
      </c>
      <c r="B54" s="105" t="s">
        <v>125</v>
      </c>
      <c r="C54" s="88" t="s">
        <v>126</v>
      </c>
      <c r="D54" s="89"/>
      <c r="E54" s="89"/>
      <c r="F54" s="89"/>
    </row>
    <row r="55" ht="15.75" customHeight="1">
      <c r="A55" s="86">
        <v>49.0</v>
      </c>
      <c r="B55" s="105" t="s">
        <v>127</v>
      </c>
      <c r="C55" s="88" t="s">
        <v>128</v>
      </c>
      <c r="D55" s="89"/>
      <c r="E55" s="92" t="s">
        <v>154</v>
      </c>
      <c r="F55" s="92" t="s">
        <v>155</v>
      </c>
    </row>
    <row r="56" ht="15.75" customHeight="1">
      <c r="A56" s="86">
        <v>50.0</v>
      </c>
      <c r="B56" s="105" t="s">
        <v>129</v>
      </c>
      <c r="C56" s="88" t="s">
        <v>130</v>
      </c>
      <c r="D56" s="89"/>
      <c r="E56" s="92" t="s">
        <v>154</v>
      </c>
      <c r="F56" s="92" t="s">
        <v>155</v>
      </c>
    </row>
    <row r="57" ht="15.75" customHeight="1">
      <c r="A57" s="86">
        <v>51.0</v>
      </c>
      <c r="B57" s="105" t="s">
        <v>131</v>
      </c>
      <c r="C57" s="88" t="s">
        <v>132</v>
      </c>
      <c r="D57" s="89"/>
      <c r="E57" s="89"/>
      <c r="F57" s="89"/>
    </row>
    <row r="58" ht="15.75" customHeight="1">
      <c r="A58" s="110">
        <v>52.0</v>
      </c>
      <c r="B58" s="111" t="s">
        <v>133</v>
      </c>
      <c r="C58" s="112" t="s">
        <v>134</v>
      </c>
      <c r="D58" s="113"/>
      <c r="E58" s="113"/>
      <c r="F58" s="113"/>
    </row>
    <row r="59" ht="24.75" customHeight="1">
      <c r="A59" s="109">
        <v>53.0</v>
      </c>
      <c r="B59" s="109" t="s">
        <v>135</v>
      </c>
      <c r="C59" s="109" t="s">
        <v>136</v>
      </c>
      <c r="D59" s="101"/>
      <c r="E59" s="102" t="s">
        <v>172</v>
      </c>
      <c r="F59" s="89" t="s">
        <v>173</v>
      </c>
    </row>
    <row r="60" ht="32.25" customHeight="1">
      <c r="A60" s="30"/>
      <c r="B60" s="30"/>
      <c r="C60" s="30"/>
      <c r="D60" s="30"/>
      <c r="E60" s="98" t="s">
        <v>160</v>
      </c>
      <c r="F60" s="99" t="s">
        <v>161</v>
      </c>
    </row>
    <row r="61" ht="15.0" customHeight="1">
      <c r="A61" s="44"/>
      <c r="B61" s="44"/>
      <c r="C61" s="44"/>
      <c r="D61" s="44"/>
      <c r="E61" s="98" t="s">
        <v>154</v>
      </c>
      <c r="F61" s="98" t="s">
        <v>155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4:A25"/>
    <mergeCell ref="B24:B25"/>
    <mergeCell ref="C24:C25"/>
    <mergeCell ref="D24:D25"/>
    <mergeCell ref="B28:B29"/>
    <mergeCell ref="C28:C29"/>
    <mergeCell ref="D28:D29"/>
    <mergeCell ref="C59:C61"/>
    <mergeCell ref="D59:D61"/>
    <mergeCell ref="A28:A29"/>
    <mergeCell ref="A48:A49"/>
    <mergeCell ref="B48:B49"/>
    <mergeCell ref="C48:C49"/>
    <mergeCell ref="D48:D49"/>
    <mergeCell ref="A59:A61"/>
    <mergeCell ref="B59:B6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1.38"/>
    <col customWidth="1" min="3" max="11" width="8.63"/>
    <col customWidth="1" min="12" max="12" width="16.0"/>
    <col customWidth="1" min="13" max="13" width="9.63"/>
    <col customWidth="1" min="14" max="26" width="8.63"/>
  </cols>
  <sheetData>
    <row r="1">
      <c r="A1" s="114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.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15" t="s">
        <v>0</v>
      </c>
      <c r="M3" s="6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6" t="s">
        <v>174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7" t="s">
        <v>175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18" t="s">
        <v>176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19" t="s">
        <v>177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5" t="s">
        <v>178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 t="s">
        <v>179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0" t="s">
        <v>180</v>
      </c>
      <c r="B11" s="121" t="s">
        <v>181</v>
      </c>
      <c r="C11" s="121" t="s">
        <v>182</v>
      </c>
      <c r="D11" s="122" t="s">
        <v>183</v>
      </c>
      <c r="E11" s="123"/>
      <c r="F11" s="121" t="s">
        <v>184</v>
      </c>
      <c r="G11" s="121" t="s">
        <v>185</v>
      </c>
      <c r="H11" s="122" t="s">
        <v>186</v>
      </c>
      <c r="I11" s="123"/>
      <c r="J11" s="122" t="s">
        <v>187</v>
      </c>
      <c r="K11" s="123"/>
      <c r="L11" s="121" t="s">
        <v>188</v>
      </c>
      <c r="M11" s="124" t="s">
        <v>189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7.75" customHeight="1">
      <c r="A12" s="125"/>
      <c r="B12" s="44"/>
      <c r="C12" s="44"/>
      <c r="D12" s="126" t="s">
        <v>190</v>
      </c>
      <c r="E12" s="126" t="s">
        <v>191</v>
      </c>
      <c r="F12" s="44"/>
      <c r="G12" s="44"/>
      <c r="H12" s="126" t="s">
        <v>192</v>
      </c>
      <c r="I12" s="126" t="s">
        <v>193</v>
      </c>
      <c r="J12" s="126" t="s">
        <v>192</v>
      </c>
      <c r="K12" s="126" t="s">
        <v>193</v>
      </c>
      <c r="L12" s="44"/>
      <c r="M12" s="127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28">
        <v>1.0</v>
      </c>
      <c r="B13" s="129" t="s">
        <v>194</v>
      </c>
      <c r="C13" s="130" t="s">
        <v>195</v>
      </c>
      <c r="D13" s="131">
        <v>15.0</v>
      </c>
      <c r="E13" s="131">
        <v>19.0</v>
      </c>
      <c r="F13" s="131" t="s">
        <v>196</v>
      </c>
      <c r="G13" s="132">
        <v>0.5</v>
      </c>
      <c r="H13" s="131" t="s">
        <v>195</v>
      </c>
      <c r="I13" s="131" t="s">
        <v>195</v>
      </c>
      <c r="J13" s="133">
        <v>1.0</v>
      </c>
      <c r="K13" s="130" t="s">
        <v>195</v>
      </c>
      <c r="L13" s="134" t="s">
        <v>197</v>
      </c>
      <c r="M13" s="135" t="s">
        <v>138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28">
        <v>2.0</v>
      </c>
      <c r="B14" s="129" t="s">
        <v>198</v>
      </c>
      <c r="C14" s="130" t="s">
        <v>195</v>
      </c>
      <c r="D14" s="133">
        <v>14.0</v>
      </c>
      <c r="E14" s="133">
        <v>15.0</v>
      </c>
      <c r="F14" s="133">
        <v>2.0</v>
      </c>
      <c r="G14" s="132">
        <v>0.4</v>
      </c>
      <c r="H14" s="133" t="s">
        <v>195</v>
      </c>
      <c r="I14" s="130" t="s">
        <v>195</v>
      </c>
      <c r="J14" s="130" t="s">
        <v>195</v>
      </c>
      <c r="K14" s="130" t="s">
        <v>195</v>
      </c>
      <c r="L14" s="134" t="s">
        <v>199</v>
      </c>
      <c r="M14" s="135" t="s">
        <v>139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7.25" customHeight="1">
      <c r="A15" s="128">
        <v>3.0</v>
      </c>
      <c r="B15" s="129" t="s">
        <v>23</v>
      </c>
      <c r="C15" s="130" t="s">
        <v>200</v>
      </c>
      <c r="D15" s="133">
        <v>28.0</v>
      </c>
      <c r="E15" s="133">
        <v>28.0</v>
      </c>
      <c r="F15" s="133">
        <v>2.5</v>
      </c>
      <c r="G15" s="132">
        <v>0.5</v>
      </c>
      <c r="H15" s="133" t="s">
        <v>195</v>
      </c>
      <c r="I15" s="130" t="s">
        <v>195</v>
      </c>
      <c r="J15" s="133">
        <v>1.0</v>
      </c>
      <c r="K15" s="130" t="s">
        <v>195</v>
      </c>
      <c r="L15" s="134" t="s">
        <v>201</v>
      </c>
      <c r="M15" s="135" t="s">
        <v>140</v>
      </c>
      <c r="N15" s="13"/>
      <c r="O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0.0" customHeight="1">
      <c r="A16" s="128">
        <v>4.0</v>
      </c>
      <c r="B16" s="129" t="s">
        <v>24</v>
      </c>
      <c r="C16" s="130" t="s">
        <v>195</v>
      </c>
      <c r="D16" s="133">
        <v>24.0</v>
      </c>
      <c r="E16" s="133">
        <v>24.0</v>
      </c>
      <c r="F16" s="133">
        <v>2.5</v>
      </c>
      <c r="G16" s="132">
        <v>0.5</v>
      </c>
      <c r="H16" s="133">
        <v>2.0</v>
      </c>
      <c r="I16" s="133">
        <v>2.0</v>
      </c>
      <c r="J16" s="133">
        <v>2.0</v>
      </c>
      <c r="K16" s="133">
        <v>2.0</v>
      </c>
      <c r="L16" s="134" t="s">
        <v>202</v>
      </c>
      <c r="M16" s="135" t="s">
        <v>141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128">
        <v>5.0</v>
      </c>
      <c r="B17" s="129" t="s">
        <v>203</v>
      </c>
      <c r="C17" s="130" t="s">
        <v>195</v>
      </c>
      <c r="D17" s="133">
        <v>6.0</v>
      </c>
      <c r="E17" s="133">
        <v>6.0</v>
      </c>
      <c r="F17" s="133">
        <v>2.5</v>
      </c>
      <c r="G17" s="132">
        <v>0.5</v>
      </c>
      <c r="H17" s="133">
        <v>1.0</v>
      </c>
      <c r="I17" s="133">
        <v>1.0</v>
      </c>
      <c r="J17" s="130" t="s">
        <v>195</v>
      </c>
      <c r="K17" s="130" t="s">
        <v>195</v>
      </c>
      <c r="L17" s="136" t="s">
        <v>204</v>
      </c>
      <c r="M17" s="137" t="s">
        <v>142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28">
        <v>6.0</v>
      </c>
      <c r="B18" s="138" t="s">
        <v>26</v>
      </c>
      <c r="C18" s="130" t="s">
        <v>195</v>
      </c>
      <c r="D18" s="133">
        <v>12.0</v>
      </c>
      <c r="E18" s="133">
        <v>10.0</v>
      </c>
      <c r="F18" s="133">
        <v>2.2</v>
      </c>
      <c r="G18" s="132">
        <v>0.45</v>
      </c>
      <c r="H18" s="133" t="s">
        <v>195</v>
      </c>
      <c r="I18" s="130" t="s">
        <v>195</v>
      </c>
      <c r="J18" s="133">
        <v>1.0</v>
      </c>
      <c r="K18" s="133">
        <v>1.0</v>
      </c>
      <c r="L18" s="134" t="s">
        <v>205</v>
      </c>
      <c r="M18" s="139" t="s">
        <v>143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28">
        <v>7.0</v>
      </c>
      <c r="B19" s="129" t="s">
        <v>27</v>
      </c>
      <c r="C19" s="130" t="s">
        <v>200</v>
      </c>
      <c r="D19" s="140">
        <v>46148.0</v>
      </c>
      <c r="E19" s="140">
        <v>46148.0</v>
      </c>
      <c r="F19" s="133">
        <v>5.0</v>
      </c>
      <c r="G19" s="132">
        <v>0.45</v>
      </c>
      <c r="H19" s="133" t="s">
        <v>195</v>
      </c>
      <c r="I19" s="130" t="s">
        <v>195</v>
      </c>
      <c r="J19" s="130" t="s">
        <v>195</v>
      </c>
      <c r="K19" s="130" t="s">
        <v>195</v>
      </c>
      <c r="L19" s="134" t="s">
        <v>206</v>
      </c>
      <c r="M19" s="137" t="s">
        <v>144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1.5" customHeight="1">
      <c r="A20" s="128">
        <v>8.0</v>
      </c>
      <c r="B20" s="141" t="s">
        <v>28</v>
      </c>
      <c r="C20" s="142" t="s">
        <v>200</v>
      </c>
      <c r="D20" s="143">
        <v>6.0</v>
      </c>
      <c r="E20" s="143">
        <v>6.0</v>
      </c>
      <c r="F20" s="143">
        <v>2.5</v>
      </c>
      <c r="G20" s="144">
        <v>0.5</v>
      </c>
      <c r="H20" s="143" t="s">
        <v>195</v>
      </c>
      <c r="I20" s="142" t="s">
        <v>195</v>
      </c>
      <c r="J20" s="142" t="s">
        <v>195</v>
      </c>
      <c r="K20" s="142" t="s">
        <v>195</v>
      </c>
      <c r="L20" s="145" t="s">
        <v>207</v>
      </c>
      <c r="M20" s="146" t="s">
        <v>145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47" t="s">
        <v>208</v>
      </c>
      <c r="B22" s="148"/>
      <c r="C22" s="148"/>
      <c r="D22" s="148"/>
      <c r="E22" s="148"/>
      <c r="F22" s="148"/>
      <c r="G22" s="149"/>
      <c r="H22" s="150" t="s">
        <v>209</v>
      </c>
      <c r="I22" s="148"/>
      <c r="J22" s="148"/>
      <c r="K22" s="148"/>
      <c r="L22" s="148"/>
      <c r="M22" s="149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5.5" customHeight="1">
      <c r="A23" s="151" t="s">
        <v>210</v>
      </c>
      <c r="B23" s="152"/>
      <c r="C23" s="152"/>
      <c r="D23" s="152"/>
      <c r="E23" s="152"/>
      <c r="F23" s="152"/>
      <c r="G23" s="153"/>
      <c r="H23" s="151" t="s">
        <v>211</v>
      </c>
      <c r="I23" s="152"/>
      <c r="J23" s="152"/>
      <c r="K23" s="152"/>
      <c r="L23" s="152"/>
      <c r="M23" s="15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50" t="s">
        <v>212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0.0" customHeight="1">
      <c r="A25" s="154" t="s">
        <v>213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19" t="s">
        <v>214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D11:E11"/>
    <mergeCell ref="F11:F12"/>
    <mergeCell ref="A22:G22"/>
    <mergeCell ref="A23:G23"/>
    <mergeCell ref="A24:M24"/>
    <mergeCell ref="A25:M25"/>
    <mergeCell ref="A27:B27"/>
    <mergeCell ref="A28:B28"/>
    <mergeCell ref="G11:G12"/>
    <mergeCell ref="H11:I11"/>
    <mergeCell ref="J11:K11"/>
    <mergeCell ref="L11:L12"/>
    <mergeCell ref="H22:M22"/>
    <mergeCell ref="H23:M23"/>
    <mergeCell ref="L3:M3"/>
    <mergeCell ref="A4:M4"/>
    <mergeCell ref="A5:M5"/>
    <mergeCell ref="A7:M7"/>
    <mergeCell ref="A11:A12"/>
    <mergeCell ref="B11:B12"/>
    <mergeCell ref="C11:C12"/>
    <mergeCell ref="M11:M12"/>
  </mergeCells>
  <printOptions horizontalCentered="1"/>
  <pageMargins bottom="0.75" footer="0.0" header="0.0" left="0.7" right="0.7" top="0.75"/>
  <pageSetup paperSize="9" scale="94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3.38"/>
    <col customWidth="1" min="3" max="3" width="24.63"/>
    <col customWidth="1" min="4" max="4" width="11.25"/>
    <col customWidth="1" min="5" max="5" width="10.0"/>
    <col customWidth="1" min="6" max="6" width="12.0"/>
    <col customWidth="1" min="7" max="8" width="11.88"/>
    <col customWidth="1" min="9" max="9" width="11.0"/>
    <col customWidth="1" min="10" max="10" width="9.13"/>
    <col customWidth="1" min="11" max="26" width="12.0"/>
  </cols>
  <sheetData>
    <row r="1">
      <c r="A1" s="13"/>
      <c r="B1" s="13"/>
      <c r="C1" s="13"/>
      <c r="D1" s="13"/>
      <c r="E1" s="13"/>
      <c r="F1" s="13"/>
      <c r="G1" s="1"/>
      <c r="H1" s="1"/>
      <c r="I1" s="3" t="s">
        <v>0</v>
      </c>
      <c r="J1" s="4"/>
      <c r="K1" s="5"/>
      <c r="L1" s="5"/>
      <c r="M1" s="6"/>
      <c r="N1" s="7"/>
      <c r="O1" s="13"/>
      <c r="P1" s="13"/>
      <c r="Q1" s="13"/>
      <c r="R1" s="13"/>
      <c r="S1" s="13"/>
      <c r="T1" s="13"/>
      <c r="U1" s="13"/>
      <c r="V1" s="13"/>
      <c r="W1" s="13"/>
    </row>
    <row r="2">
      <c r="A2" s="155" t="s">
        <v>215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156" t="s">
        <v>216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20.25" customHeight="1">
      <c r="A4" s="156" t="s">
        <v>217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18" t="s">
        <v>218</v>
      </c>
      <c r="B5" s="114" t="s">
        <v>219</v>
      </c>
      <c r="C5" s="114" t="s">
        <v>220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157" t="s">
        <v>221</v>
      </c>
      <c r="B6" s="13"/>
      <c r="C6" s="13"/>
      <c r="D6" s="13"/>
      <c r="E6" s="13"/>
      <c r="F6" s="13"/>
      <c r="G6" s="13"/>
      <c r="H6" s="13"/>
      <c r="I6" s="118" t="s">
        <v>222</v>
      </c>
      <c r="J6" s="118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3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58" t="s">
        <v>223</v>
      </c>
      <c r="B8" s="158" t="s">
        <v>8</v>
      </c>
      <c r="C8" s="158" t="s">
        <v>224</v>
      </c>
      <c r="D8" s="159" t="s">
        <v>194</v>
      </c>
      <c r="E8" s="159" t="s">
        <v>198</v>
      </c>
      <c r="F8" s="159" t="s">
        <v>225</v>
      </c>
      <c r="G8" s="159" t="s">
        <v>226</v>
      </c>
      <c r="H8" s="159" t="s">
        <v>227</v>
      </c>
      <c r="I8" s="160" t="s">
        <v>26</v>
      </c>
      <c r="J8" s="158" t="s">
        <v>228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>
      <c r="A9" s="44"/>
      <c r="B9" s="44"/>
      <c r="C9" s="44"/>
      <c r="D9" s="159" t="s">
        <v>229</v>
      </c>
      <c r="E9" s="159" t="s">
        <v>229</v>
      </c>
      <c r="F9" s="159" t="s">
        <v>229</v>
      </c>
      <c r="G9" s="159" t="s">
        <v>229</v>
      </c>
      <c r="H9" s="159" t="s">
        <v>229</v>
      </c>
      <c r="I9" s="159" t="s">
        <v>229</v>
      </c>
      <c r="J9" s="4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>
      <c r="A10" s="130">
        <v>1.0</v>
      </c>
      <c r="B10" s="161" t="s">
        <v>32</v>
      </c>
      <c r="C10" s="162" t="s">
        <v>33</v>
      </c>
      <c r="D10" s="49">
        <v>39.0</v>
      </c>
      <c r="E10" s="163">
        <v>40.0</v>
      </c>
      <c r="F10" s="164">
        <v>47.0</v>
      </c>
      <c r="G10" s="165">
        <v>30.0</v>
      </c>
      <c r="H10" s="166">
        <v>46.0</v>
      </c>
      <c r="I10" s="167">
        <v>23.0</v>
      </c>
      <c r="J10" s="168">
        <f t="shared" ref="J10:J31" si="1">COUNTIF(D10:I10,"&lt;22")</f>
        <v>0</v>
      </c>
      <c r="K10" s="169"/>
      <c r="L10" s="16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>
      <c r="A11" s="130">
        <v>2.0</v>
      </c>
      <c r="B11" s="161" t="s">
        <v>34</v>
      </c>
      <c r="C11" s="162" t="s">
        <v>33</v>
      </c>
      <c r="D11" s="49">
        <v>42.0</v>
      </c>
      <c r="E11" s="163">
        <v>25.0</v>
      </c>
      <c r="F11" s="164">
        <v>29.0</v>
      </c>
      <c r="G11" s="165">
        <v>35.0</v>
      </c>
      <c r="H11" s="165">
        <v>32.0</v>
      </c>
      <c r="I11" s="167">
        <v>28.0</v>
      </c>
      <c r="J11" s="168">
        <f t="shared" si="1"/>
        <v>0</v>
      </c>
      <c r="K11" s="169"/>
      <c r="L11" s="16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>
      <c r="A12" s="130">
        <v>3.0</v>
      </c>
      <c r="B12" s="161" t="s">
        <v>35</v>
      </c>
      <c r="C12" s="162" t="s">
        <v>36</v>
      </c>
      <c r="D12" s="49">
        <v>34.0</v>
      </c>
      <c r="E12" s="163">
        <v>38.0</v>
      </c>
      <c r="F12" s="164">
        <v>48.0</v>
      </c>
      <c r="G12" s="165">
        <v>38.0</v>
      </c>
      <c r="H12" s="165">
        <v>21.0</v>
      </c>
      <c r="I12" s="167">
        <v>18.0</v>
      </c>
      <c r="J12" s="168">
        <f t="shared" si="1"/>
        <v>2</v>
      </c>
      <c r="K12" s="169"/>
      <c r="L12" s="169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130">
        <v>4.0</v>
      </c>
      <c r="B13" s="161" t="s">
        <v>37</v>
      </c>
      <c r="C13" s="162" t="s">
        <v>38</v>
      </c>
      <c r="D13" s="49">
        <v>10.0</v>
      </c>
      <c r="E13" s="163">
        <v>11.0</v>
      </c>
      <c r="F13" s="164">
        <v>18.0</v>
      </c>
      <c r="G13" s="165">
        <v>21.0</v>
      </c>
      <c r="H13" s="165">
        <v>23.0</v>
      </c>
      <c r="I13" s="167" t="s">
        <v>230</v>
      </c>
      <c r="J13" s="168">
        <f t="shared" si="1"/>
        <v>4</v>
      </c>
      <c r="K13" s="169"/>
      <c r="L13" s="169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130">
        <v>5.0</v>
      </c>
      <c r="B14" s="161" t="s">
        <v>39</v>
      </c>
      <c r="C14" s="162" t="s">
        <v>40</v>
      </c>
      <c r="D14" s="49">
        <v>9.0</v>
      </c>
      <c r="E14" s="163">
        <v>11.0</v>
      </c>
      <c r="F14" s="164">
        <v>8.0</v>
      </c>
      <c r="G14" s="165">
        <v>25.0</v>
      </c>
      <c r="H14" s="165">
        <v>15.0</v>
      </c>
      <c r="I14" s="167">
        <v>10.0</v>
      </c>
      <c r="J14" s="168">
        <f t="shared" si="1"/>
        <v>5</v>
      </c>
      <c r="K14" s="169"/>
      <c r="L14" s="169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>
      <c r="A15" s="130">
        <v>6.0</v>
      </c>
      <c r="B15" s="161" t="s">
        <v>41</v>
      </c>
      <c r="C15" s="162" t="s">
        <v>42</v>
      </c>
      <c r="D15" s="49">
        <v>6.0</v>
      </c>
      <c r="E15" s="163" t="s">
        <v>230</v>
      </c>
      <c r="F15" s="164" t="s">
        <v>230</v>
      </c>
      <c r="G15" s="165">
        <v>15.0</v>
      </c>
      <c r="H15" s="164" t="s">
        <v>230</v>
      </c>
      <c r="I15" s="167">
        <v>5.0</v>
      </c>
      <c r="J15" s="168">
        <f t="shared" si="1"/>
        <v>3</v>
      </c>
      <c r="K15" s="169"/>
      <c r="L15" s="16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>
      <c r="A16" s="130">
        <v>7.0</v>
      </c>
      <c r="B16" s="161" t="s">
        <v>43</v>
      </c>
      <c r="C16" s="162" t="s">
        <v>44</v>
      </c>
      <c r="D16" s="49">
        <v>19.0</v>
      </c>
      <c r="E16" s="163">
        <v>8.0</v>
      </c>
      <c r="F16" s="164">
        <v>15.0</v>
      </c>
      <c r="G16" s="165">
        <v>8.0</v>
      </c>
      <c r="H16" s="49">
        <v>22.0</v>
      </c>
      <c r="I16" s="167">
        <v>13.0</v>
      </c>
      <c r="J16" s="168">
        <f t="shared" si="1"/>
        <v>5</v>
      </c>
      <c r="K16" s="169"/>
      <c r="L16" s="16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30">
        <v>8.0</v>
      </c>
      <c r="B17" s="161" t="s">
        <v>45</v>
      </c>
      <c r="C17" s="162" t="s">
        <v>46</v>
      </c>
      <c r="D17" s="49">
        <v>14.0</v>
      </c>
      <c r="E17" s="163">
        <v>19.0</v>
      </c>
      <c r="F17" s="164">
        <v>27.0</v>
      </c>
      <c r="G17" s="165">
        <v>20.0</v>
      </c>
      <c r="H17" s="165">
        <v>35.0</v>
      </c>
      <c r="I17" s="167">
        <v>16.0</v>
      </c>
      <c r="J17" s="168">
        <f t="shared" si="1"/>
        <v>4</v>
      </c>
      <c r="K17" s="169"/>
      <c r="L17" s="16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130">
        <v>9.0</v>
      </c>
      <c r="B18" s="161" t="s">
        <v>47</v>
      </c>
      <c r="C18" s="162" t="s">
        <v>48</v>
      </c>
      <c r="D18" s="49">
        <v>23.0</v>
      </c>
      <c r="E18" s="163">
        <v>27.0</v>
      </c>
      <c r="F18" s="164" t="s">
        <v>230</v>
      </c>
      <c r="G18" s="165">
        <v>30.0</v>
      </c>
      <c r="H18" s="165">
        <v>33.0</v>
      </c>
      <c r="I18" s="167">
        <v>28.0</v>
      </c>
      <c r="J18" s="168">
        <f t="shared" si="1"/>
        <v>0</v>
      </c>
      <c r="K18" s="169"/>
      <c r="L18" s="16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130">
        <v>10.0</v>
      </c>
      <c r="B19" s="161" t="s">
        <v>49</v>
      </c>
      <c r="C19" s="162" t="s">
        <v>50</v>
      </c>
      <c r="D19" s="49">
        <v>18.0</v>
      </c>
      <c r="E19" s="163">
        <v>6.0</v>
      </c>
      <c r="F19" s="164">
        <v>1.0</v>
      </c>
      <c r="G19" s="165">
        <v>20.0</v>
      </c>
      <c r="H19" s="165">
        <v>19.0</v>
      </c>
      <c r="I19" s="167">
        <v>5.0</v>
      </c>
      <c r="J19" s="168">
        <f t="shared" si="1"/>
        <v>6</v>
      </c>
      <c r="K19" s="169"/>
      <c r="L19" s="16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130">
        <v>11.0</v>
      </c>
      <c r="B20" s="161" t="s">
        <v>51</v>
      </c>
      <c r="C20" s="162" t="s">
        <v>52</v>
      </c>
      <c r="D20" s="49">
        <v>27.0</v>
      </c>
      <c r="E20" s="163">
        <v>19.0</v>
      </c>
      <c r="F20" s="164">
        <v>14.0</v>
      </c>
      <c r="G20" s="165">
        <v>16.0</v>
      </c>
      <c r="H20" s="165">
        <v>33.0</v>
      </c>
      <c r="I20" s="167">
        <v>6.0</v>
      </c>
      <c r="J20" s="168">
        <f t="shared" si="1"/>
        <v>4</v>
      </c>
      <c r="K20" s="169"/>
      <c r="L20" s="169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75" customHeight="1">
      <c r="A21" s="130">
        <v>12.0</v>
      </c>
      <c r="B21" s="161" t="s">
        <v>53</v>
      </c>
      <c r="C21" s="162" t="s">
        <v>54</v>
      </c>
      <c r="D21" s="49">
        <v>39.0</v>
      </c>
      <c r="E21" s="163">
        <v>15.0</v>
      </c>
      <c r="F21" s="164">
        <v>32.0</v>
      </c>
      <c r="G21" s="165">
        <v>26.0</v>
      </c>
      <c r="H21" s="165">
        <v>29.0</v>
      </c>
      <c r="I21" s="167">
        <v>28.0</v>
      </c>
      <c r="J21" s="168">
        <f t="shared" si="1"/>
        <v>1</v>
      </c>
      <c r="K21" s="169"/>
      <c r="L21" s="169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30">
        <v>13.0</v>
      </c>
      <c r="B22" s="161" t="s">
        <v>55</v>
      </c>
      <c r="C22" s="162" t="s">
        <v>56</v>
      </c>
      <c r="D22" s="49">
        <v>10.0</v>
      </c>
      <c r="E22" s="163" t="s">
        <v>230</v>
      </c>
      <c r="F22" s="164">
        <v>4.0</v>
      </c>
      <c r="G22" s="165">
        <v>20.0</v>
      </c>
      <c r="H22" s="165">
        <v>19.0</v>
      </c>
      <c r="I22" s="167">
        <v>10.0</v>
      </c>
      <c r="J22" s="168">
        <f t="shared" si="1"/>
        <v>5</v>
      </c>
      <c r="K22" s="169"/>
      <c r="L22" s="16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30">
        <v>14.0</v>
      </c>
      <c r="B23" s="161" t="s">
        <v>57</v>
      </c>
      <c r="C23" s="162" t="s">
        <v>58</v>
      </c>
      <c r="D23" s="49">
        <v>14.0</v>
      </c>
      <c r="E23" s="163">
        <v>17.0</v>
      </c>
      <c r="F23" s="164">
        <v>13.0</v>
      </c>
      <c r="G23" s="165">
        <v>44.0</v>
      </c>
      <c r="H23" s="165">
        <v>28.0</v>
      </c>
      <c r="I23" s="167">
        <v>13.0</v>
      </c>
      <c r="J23" s="168">
        <f t="shared" si="1"/>
        <v>4</v>
      </c>
      <c r="K23" s="169"/>
      <c r="L23" s="16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30">
        <v>15.0</v>
      </c>
      <c r="B24" s="161" t="s">
        <v>59</v>
      </c>
      <c r="C24" s="162" t="s">
        <v>60</v>
      </c>
      <c r="D24" s="49">
        <v>31.0</v>
      </c>
      <c r="E24" s="163">
        <v>31.0</v>
      </c>
      <c r="F24" s="164">
        <v>15.0</v>
      </c>
      <c r="G24" s="165">
        <v>38.0</v>
      </c>
      <c r="H24" s="165">
        <v>27.0</v>
      </c>
      <c r="I24" s="167">
        <v>18.0</v>
      </c>
      <c r="J24" s="168">
        <f t="shared" si="1"/>
        <v>2</v>
      </c>
      <c r="K24" s="169"/>
      <c r="L24" s="16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30">
        <v>16.0</v>
      </c>
      <c r="B25" s="161" t="s">
        <v>61</v>
      </c>
      <c r="C25" s="162" t="s">
        <v>62</v>
      </c>
      <c r="D25" s="49">
        <v>41.0</v>
      </c>
      <c r="E25" s="163">
        <v>23.0</v>
      </c>
      <c r="F25" s="164">
        <v>42.0</v>
      </c>
      <c r="G25" s="165">
        <v>32.0</v>
      </c>
      <c r="H25" s="165">
        <v>35.0</v>
      </c>
      <c r="I25" s="167">
        <v>24.0</v>
      </c>
      <c r="J25" s="168">
        <f t="shared" si="1"/>
        <v>0</v>
      </c>
      <c r="K25" s="169"/>
      <c r="L25" s="16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5.75" customHeight="1">
      <c r="A26" s="130">
        <v>17.0</v>
      </c>
      <c r="B26" s="161" t="s">
        <v>63</v>
      </c>
      <c r="C26" s="162" t="s">
        <v>64</v>
      </c>
      <c r="D26" s="49" t="s">
        <v>230</v>
      </c>
      <c r="E26" s="163">
        <v>13.0</v>
      </c>
      <c r="F26" s="164" t="s">
        <v>230</v>
      </c>
      <c r="G26" s="165">
        <v>21.0</v>
      </c>
      <c r="H26" s="165">
        <v>33.0</v>
      </c>
      <c r="I26" s="167" t="s">
        <v>230</v>
      </c>
      <c r="J26" s="168">
        <f t="shared" si="1"/>
        <v>2</v>
      </c>
      <c r="K26" s="169"/>
      <c r="L26" s="16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5.75" customHeight="1">
      <c r="A27" s="130">
        <v>18.0</v>
      </c>
      <c r="B27" s="161" t="s">
        <v>65</v>
      </c>
      <c r="C27" s="162" t="s">
        <v>66</v>
      </c>
      <c r="D27" s="49">
        <v>25.0</v>
      </c>
      <c r="E27" s="163">
        <v>11.0</v>
      </c>
      <c r="F27" s="164">
        <v>25.0</v>
      </c>
      <c r="G27" s="165">
        <v>16.0</v>
      </c>
      <c r="H27" s="165">
        <v>30.0</v>
      </c>
      <c r="I27" s="167">
        <v>20.0</v>
      </c>
      <c r="J27" s="168">
        <f t="shared" si="1"/>
        <v>3</v>
      </c>
      <c r="K27" s="169"/>
      <c r="L27" s="16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5.75" customHeight="1">
      <c r="A28" s="130">
        <v>19.0</v>
      </c>
      <c r="B28" s="161" t="s">
        <v>67</v>
      </c>
      <c r="C28" s="162" t="s">
        <v>68</v>
      </c>
      <c r="D28" s="49">
        <v>33.0</v>
      </c>
      <c r="E28" s="163">
        <v>39.0</v>
      </c>
      <c r="F28" s="164">
        <v>24.0</v>
      </c>
      <c r="G28" s="165">
        <v>15.0</v>
      </c>
      <c r="H28" s="165">
        <v>30.0</v>
      </c>
      <c r="I28" s="167">
        <v>18.0</v>
      </c>
      <c r="J28" s="168">
        <f t="shared" si="1"/>
        <v>2</v>
      </c>
      <c r="K28" s="169"/>
      <c r="L28" s="16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5.75" customHeight="1">
      <c r="A29" s="130">
        <v>20.0</v>
      </c>
      <c r="B29" s="161" t="s">
        <v>69</v>
      </c>
      <c r="C29" s="162" t="s">
        <v>70</v>
      </c>
      <c r="D29" s="49" t="s">
        <v>230</v>
      </c>
      <c r="E29" s="163" t="s">
        <v>230</v>
      </c>
      <c r="F29" s="164" t="s">
        <v>230</v>
      </c>
      <c r="G29" s="164" t="s">
        <v>230</v>
      </c>
      <c r="H29" s="164" t="s">
        <v>230</v>
      </c>
      <c r="I29" s="167" t="s">
        <v>230</v>
      </c>
      <c r="J29" s="168">
        <f t="shared" si="1"/>
        <v>0</v>
      </c>
      <c r="K29" s="169"/>
      <c r="L29" s="169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5.75" customHeight="1">
      <c r="A30" s="130">
        <v>21.0</v>
      </c>
      <c r="B30" s="161" t="s">
        <v>71</v>
      </c>
      <c r="C30" s="162" t="s">
        <v>72</v>
      </c>
      <c r="D30" s="49">
        <v>39.0</v>
      </c>
      <c r="E30" s="163">
        <v>32.0</v>
      </c>
      <c r="F30" s="164">
        <v>44.0</v>
      </c>
      <c r="G30" s="165">
        <v>37.0</v>
      </c>
      <c r="H30" s="165">
        <v>35.0</v>
      </c>
      <c r="I30" s="167">
        <v>22.0</v>
      </c>
      <c r="J30" s="168">
        <f t="shared" si="1"/>
        <v>0</v>
      </c>
      <c r="K30" s="169"/>
      <c r="L30" s="169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5.75" customHeight="1">
      <c r="A31" s="130">
        <v>22.0</v>
      </c>
      <c r="B31" s="161" t="s">
        <v>73</v>
      </c>
      <c r="C31" s="162" t="s">
        <v>74</v>
      </c>
      <c r="D31" s="49" t="s">
        <v>230</v>
      </c>
      <c r="E31" s="163">
        <v>39.0</v>
      </c>
      <c r="F31" s="164">
        <v>38.0</v>
      </c>
      <c r="G31" s="165">
        <v>50.0</v>
      </c>
      <c r="H31" s="165">
        <v>38.0</v>
      </c>
      <c r="I31" s="167" t="s">
        <v>230</v>
      </c>
      <c r="J31" s="168">
        <f t="shared" si="1"/>
        <v>0</v>
      </c>
      <c r="K31" s="169"/>
      <c r="L31" s="16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5.75" customHeight="1">
      <c r="A32" s="158" t="s">
        <v>223</v>
      </c>
      <c r="B32" s="158" t="s">
        <v>8</v>
      </c>
      <c r="C32" s="158" t="s">
        <v>224</v>
      </c>
      <c r="D32" s="159" t="s">
        <v>194</v>
      </c>
      <c r="E32" s="159" t="s">
        <v>198</v>
      </c>
      <c r="F32" s="159" t="s">
        <v>225</v>
      </c>
      <c r="G32" s="159" t="s">
        <v>226</v>
      </c>
      <c r="H32" s="159" t="s">
        <v>227</v>
      </c>
      <c r="I32" s="160" t="s">
        <v>26</v>
      </c>
      <c r="J32" s="158" t="s">
        <v>228</v>
      </c>
      <c r="K32" s="169"/>
      <c r="L32" s="16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5.75" customHeight="1">
      <c r="A33" s="44"/>
      <c r="B33" s="44"/>
      <c r="C33" s="44"/>
      <c r="D33" s="159" t="s">
        <v>229</v>
      </c>
      <c r="E33" s="159" t="s">
        <v>229</v>
      </c>
      <c r="F33" s="159" t="s">
        <v>229</v>
      </c>
      <c r="G33" s="159" t="s">
        <v>229</v>
      </c>
      <c r="H33" s="159" t="s">
        <v>229</v>
      </c>
      <c r="I33" s="159" t="s">
        <v>229</v>
      </c>
      <c r="J33" s="44"/>
      <c r="K33" s="169"/>
      <c r="L33" s="16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5.75" customHeight="1">
      <c r="A34" s="130">
        <v>23.0</v>
      </c>
      <c r="B34" s="161" t="s">
        <v>75</v>
      </c>
      <c r="C34" s="162" t="s">
        <v>76</v>
      </c>
      <c r="D34" s="49">
        <v>36.0</v>
      </c>
      <c r="E34" s="163">
        <v>40.0</v>
      </c>
      <c r="F34" s="164">
        <v>41.0</v>
      </c>
      <c r="G34" s="165">
        <v>41.0</v>
      </c>
      <c r="H34" s="165">
        <v>44.0</v>
      </c>
      <c r="I34" s="167">
        <v>24.0</v>
      </c>
      <c r="J34" s="168">
        <f t="shared" ref="J34:J61" si="2">COUNTIF(D34:I34,"&lt;22")</f>
        <v>0</v>
      </c>
      <c r="K34" s="169"/>
      <c r="L34" s="16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5.75" customHeight="1">
      <c r="A35" s="130">
        <v>24.0</v>
      </c>
      <c r="B35" s="161" t="s">
        <v>77</v>
      </c>
      <c r="C35" s="162" t="s">
        <v>78</v>
      </c>
      <c r="D35" s="49">
        <v>24.0</v>
      </c>
      <c r="E35" s="163">
        <v>35.0</v>
      </c>
      <c r="F35" s="164">
        <v>29.0</v>
      </c>
      <c r="G35" s="165">
        <v>23.0</v>
      </c>
      <c r="H35" s="165">
        <v>37.0</v>
      </c>
      <c r="I35" s="167">
        <v>37.0</v>
      </c>
      <c r="J35" s="168">
        <f t="shared" si="2"/>
        <v>0</v>
      </c>
      <c r="K35" s="169"/>
      <c r="L35" s="16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5.75" customHeight="1">
      <c r="A36" s="130">
        <v>25.0</v>
      </c>
      <c r="B36" s="161" t="s">
        <v>79</v>
      </c>
      <c r="C36" s="162" t="s">
        <v>80</v>
      </c>
      <c r="D36" s="49">
        <v>10.0</v>
      </c>
      <c r="E36" s="163">
        <v>21.0</v>
      </c>
      <c r="F36" s="164">
        <v>6.0</v>
      </c>
      <c r="G36" s="165">
        <v>6.0</v>
      </c>
      <c r="H36" s="165">
        <v>32.0</v>
      </c>
      <c r="I36" s="167">
        <v>25.0</v>
      </c>
      <c r="J36" s="168">
        <f t="shared" si="2"/>
        <v>4</v>
      </c>
      <c r="K36" s="169"/>
      <c r="L36" s="16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5.75" customHeight="1">
      <c r="A37" s="130">
        <v>26.0</v>
      </c>
      <c r="B37" s="161" t="s">
        <v>81</v>
      </c>
      <c r="C37" s="162" t="s">
        <v>82</v>
      </c>
      <c r="D37" s="49">
        <v>34.0</v>
      </c>
      <c r="E37" s="163">
        <v>38.0</v>
      </c>
      <c r="F37" s="164">
        <v>41.0</v>
      </c>
      <c r="G37" s="165">
        <v>38.0</v>
      </c>
      <c r="H37" s="165">
        <v>39.0</v>
      </c>
      <c r="I37" s="167">
        <v>31.0</v>
      </c>
      <c r="J37" s="168">
        <f t="shared" si="2"/>
        <v>0</v>
      </c>
      <c r="K37" s="169"/>
      <c r="L37" s="16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5.75" customHeight="1">
      <c r="A38" s="130">
        <v>27.0</v>
      </c>
      <c r="B38" s="161" t="s">
        <v>83</v>
      </c>
      <c r="C38" s="162" t="s">
        <v>84</v>
      </c>
      <c r="D38" s="49">
        <v>40.0</v>
      </c>
      <c r="E38" s="163">
        <v>44.0</v>
      </c>
      <c r="F38" s="164">
        <v>46.0</v>
      </c>
      <c r="G38" s="165">
        <v>47.0</v>
      </c>
      <c r="H38" s="165">
        <v>41.0</v>
      </c>
      <c r="I38" s="167">
        <v>25.0</v>
      </c>
      <c r="J38" s="168">
        <f t="shared" si="2"/>
        <v>0</v>
      </c>
      <c r="K38" s="169"/>
      <c r="L38" s="169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5.75" customHeight="1">
      <c r="A39" s="130">
        <v>28.0</v>
      </c>
      <c r="B39" s="161" t="s">
        <v>85</v>
      </c>
      <c r="C39" s="162" t="s">
        <v>86</v>
      </c>
      <c r="D39" s="49">
        <v>22.0</v>
      </c>
      <c r="E39" s="163">
        <v>33.0</v>
      </c>
      <c r="F39" s="164">
        <v>24.0</v>
      </c>
      <c r="G39" s="165">
        <v>23.0</v>
      </c>
      <c r="H39" s="165">
        <v>37.0</v>
      </c>
      <c r="I39" s="167">
        <v>31.0</v>
      </c>
      <c r="J39" s="168">
        <f t="shared" si="2"/>
        <v>0</v>
      </c>
      <c r="K39" s="169"/>
      <c r="L39" s="16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5.75" customHeight="1">
      <c r="A40" s="130">
        <v>29.0</v>
      </c>
      <c r="B40" s="161" t="s">
        <v>87</v>
      </c>
      <c r="C40" s="162" t="s">
        <v>88</v>
      </c>
      <c r="D40" s="49">
        <v>31.0</v>
      </c>
      <c r="E40" s="163">
        <v>45.0</v>
      </c>
      <c r="F40" s="164">
        <v>42.0</v>
      </c>
      <c r="G40" s="165">
        <v>36.0</v>
      </c>
      <c r="H40" s="165">
        <v>41.0</v>
      </c>
      <c r="I40" s="167">
        <v>31.0</v>
      </c>
      <c r="J40" s="168">
        <f t="shared" si="2"/>
        <v>0</v>
      </c>
      <c r="K40" s="169"/>
      <c r="L40" s="16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5.75" customHeight="1">
      <c r="A41" s="130">
        <v>30.0</v>
      </c>
      <c r="B41" s="161" t="s">
        <v>89</v>
      </c>
      <c r="C41" s="162" t="s">
        <v>90</v>
      </c>
      <c r="D41" s="49">
        <v>26.0</v>
      </c>
      <c r="E41" s="163">
        <v>39.0</v>
      </c>
      <c r="F41" s="164">
        <v>41.0</v>
      </c>
      <c r="G41" s="165">
        <v>25.0</v>
      </c>
      <c r="H41" s="165">
        <v>23.0</v>
      </c>
      <c r="I41" s="167">
        <v>30.0</v>
      </c>
      <c r="J41" s="168">
        <f t="shared" si="2"/>
        <v>0</v>
      </c>
      <c r="K41" s="169"/>
      <c r="L41" s="16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5.75" customHeight="1">
      <c r="A42" s="130">
        <v>31.0</v>
      </c>
      <c r="B42" s="161" t="s">
        <v>91</v>
      </c>
      <c r="C42" s="162" t="s">
        <v>92</v>
      </c>
      <c r="D42" s="49">
        <v>36.0</v>
      </c>
      <c r="E42" s="163">
        <v>44.0</v>
      </c>
      <c r="F42" s="164">
        <v>31.0</v>
      </c>
      <c r="G42" s="165">
        <v>43.0</v>
      </c>
      <c r="H42" s="165">
        <v>46.0</v>
      </c>
      <c r="I42" s="167">
        <v>22.0</v>
      </c>
      <c r="J42" s="168">
        <f t="shared" si="2"/>
        <v>0</v>
      </c>
      <c r="K42" s="169"/>
      <c r="L42" s="16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5.75" customHeight="1">
      <c r="A43" s="130">
        <v>32.0</v>
      </c>
      <c r="B43" s="161" t="s">
        <v>93</v>
      </c>
      <c r="C43" s="170" t="s">
        <v>94</v>
      </c>
      <c r="D43" s="49">
        <v>22.0</v>
      </c>
      <c r="E43" s="163">
        <v>19.0</v>
      </c>
      <c r="F43" s="164">
        <v>24.0</v>
      </c>
      <c r="G43" s="165">
        <v>13.0</v>
      </c>
      <c r="H43" s="165">
        <v>40.0</v>
      </c>
      <c r="I43" s="167">
        <v>13.0</v>
      </c>
      <c r="J43" s="168">
        <f t="shared" si="2"/>
        <v>3</v>
      </c>
      <c r="K43" s="169"/>
      <c r="L43" s="16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5.75" customHeight="1">
      <c r="A44" s="130">
        <v>33.0</v>
      </c>
      <c r="B44" s="161" t="s">
        <v>95</v>
      </c>
      <c r="C44" s="162" t="s">
        <v>96</v>
      </c>
      <c r="D44" s="49">
        <v>40.0</v>
      </c>
      <c r="E44" s="163">
        <v>47.0</v>
      </c>
      <c r="F44" s="164">
        <v>40.0</v>
      </c>
      <c r="G44" s="165">
        <v>31.0</v>
      </c>
      <c r="H44" s="165">
        <v>32.0</v>
      </c>
      <c r="I44" s="167">
        <v>26.0</v>
      </c>
      <c r="J44" s="168">
        <f t="shared" si="2"/>
        <v>0</v>
      </c>
      <c r="K44" s="169"/>
      <c r="L44" s="169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5.75" customHeight="1">
      <c r="A45" s="130">
        <v>34.0</v>
      </c>
      <c r="B45" s="161" t="s">
        <v>97</v>
      </c>
      <c r="C45" s="162" t="s">
        <v>98</v>
      </c>
      <c r="D45" s="49">
        <v>16.0</v>
      </c>
      <c r="E45" s="163">
        <v>9.0</v>
      </c>
      <c r="F45" s="164">
        <v>19.0</v>
      </c>
      <c r="G45" s="165">
        <v>16.0</v>
      </c>
      <c r="H45" s="165">
        <v>15.0</v>
      </c>
      <c r="I45" s="167">
        <v>14.0</v>
      </c>
      <c r="J45" s="168">
        <f t="shared" si="2"/>
        <v>6</v>
      </c>
      <c r="K45" s="169"/>
      <c r="L45" s="16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5.75" customHeight="1">
      <c r="A46" s="130">
        <v>35.0</v>
      </c>
      <c r="B46" s="161" t="s">
        <v>99</v>
      </c>
      <c r="C46" s="162" t="s">
        <v>100</v>
      </c>
      <c r="D46" s="49">
        <v>33.0</v>
      </c>
      <c r="E46" s="163">
        <v>45.0</v>
      </c>
      <c r="F46" s="164">
        <v>47.0</v>
      </c>
      <c r="G46" s="165">
        <v>37.0</v>
      </c>
      <c r="H46" s="165">
        <v>45.0</v>
      </c>
      <c r="I46" s="167">
        <v>42.0</v>
      </c>
      <c r="J46" s="168">
        <f t="shared" si="2"/>
        <v>0</v>
      </c>
      <c r="K46" s="169"/>
      <c r="L46" s="169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5.75" customHeight="1">
      <c r="A47" s="130">
        <v>36.0</v>
      </c>
      <c r="B47" s="161" t="s">
        <v>101</v>
      </c>
      <c r="C47" s="162" t="s">
        <v>102</v>
      </c>
      <c r="D47" s="49">
        <v>28.0</v>
      </c>
      <c r="E47" s="163">
        <v>33.0</v>
      </c>
      <c r="F47" s="164">
        <v>39.0</v>
      </c>
      <c r="G47" s="165">
        <v>30.0</v>
      </c>
      <c r="H47" s="165">
        <v>50.0</v>
      </c>
      <c r="I47" s="167">
        <v>30.0</v>
      </c>
      <c r="J47" s="168">
        <f t="shared" si="2"/>
        <v>0</v>
      </c>
      <c r="K47" s="169"/>
      <c r="L47" s="16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5.75" customHeight="1">
      <c r="A48" s="130">
        <v>37.0</v>
      </c>
      <c r="B48" s="161" t="s">
        <v>103</v>
      </c>
      <c r="C48" s="162" t="s">
        <v>104</v>
      </c>
      <c r="D48" s="49">
        <v>5.0</v>
      </c>
      <c r="E48" s="163" t="s">
        <v>230</v>
      </c>
      <c r="F48" s="164" t="s">
        <v>230</v>
      </c>
      <c r="G48" s="164" t="s">
        <v>230</v>
      </c>
      <c r="H48" s="164" t="s">
        <v>230</v>
      </c>
      <c r="I48" s="167">
        <v>14.0</v>
      </c>
      <c r="J48" s="168">
        <f t="shared" si="2"/>
        <v>2</v>
      </c>
      <c r="K48" s="169"/>
      <c r="L48" s="16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5.75" customHeight="1">
      <c r="A49" s="130">
        <v>38.0</v>
      </c>
      <c r="B49" s="161" t="s">
        <v>105</v>
      </c>
      <c r="C49" s="162" t="s">
        <v>106</v>
      </c>
      <c r="D49" s="49">
        <v>1.0</v>
      </c>
      <c r="E49" s="163" t="s">
        <v>230</v>
      </c>
      <c r="F49" s="164" t="s">
        <v>230</v>
      </c>
      <c r="G49" s="165">
        <v>11.0</v>
      </c>
      <c r="H49" s="166">
        <v>34.0</v>
      </c>
      <c r="I49" s="167">
        <v>6.0</v>
      </c>
      <c r="J49" s="168">
        <f t="shared" si="2"/>
        <v>3</v>
      </c>
      <c r="K49" s="169"/>
      <c r="L49" s="169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5.75" customHeight="1">
      <c r="A50" s="130">
        <v>39.0</v>
      </c>
      <c r="B50" s="161" t="s">
        <v>107</v>
      </c>
      <c r="C50" s="162" t="s">
        <v>108</v>
      </c>
      <c r="D50" s="49" t="s">
        <v>230</v>
      </c>
      <c r="E50" s="163" t="s">
        <v>230</v>
      </c>
      <c r="F50" s="164" t="s">
        <v>230</v>
      </c>
      <c r="G50" s="164" t="s">
        <v>230</v>
      </c>
      <c r="H50" s="164" t="s">
        <v>230</v>
      </c>
      <c r="I50" s="167" t="s">
        <v>230</v>
      </c>
      <c r="J50" s="168">
        <f t="shared" si="2"/>
        <v>0</v>
      </c>
      <c r="K50" s="169"/>
      <c r="L50" s="169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5.75" customHeight="1">
      <c r="A51" s="130">
        <v>40.0</v>
      </c>
      <c r="B51" s="161" t="s">
        <v>109</v>
      </c>
      <c r="C51" s="162" t="s">
        <v>110</v>
      </c>
      <c r="D51" s="49">
        <v>34.0</v>
      </c>
      <c r="E51" s="163">
        <v>21.0</v>
      </c>
      <c r="F51" s="164">
        <v>18.0</v>
      </c>
      <c r="G51" s="165">
        <v>26.0</v>
      </c>
      <c r="H51" s="165">
        <v>32.0</v>
      </c>
      <c r="I51" s="167">
        <v>30.0</v>
      </c>
      <c r="J51" s="168">
        <f t="shared" si="2"/>
        <v>2</v>
      </c>
      <c r="K51" s="169"/>
      <c r="L51" s="169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5.75" customHeight="1">
      <c r="A52" s="130">
        <v>41.0</v>
      </c>
      <c r="B52" s="161" t="s">
        <v>111</v>
      </c>
      <c r="C52" s="162" t="s">
        <v>112</v>
      </c>
      <c r="D52" s="49">
        <v>26.0</v>
      </c>
      <c r="E52" s="163">
        <v>20.0</v>
      </c>
      <c r="F52" s="164">
        <v>17.0</v>
      </c>
      <c r="G52" s="165">
        <v>25.0</v>
      </c>
      <c r="H52" s="165">
        <v>46.0</v>
      </c>
      <c r="I52" s="167">
        <v>18.0</v>
      </c>
      <c r="J52" s="168">
        <f t="shared" si="2"/>
        <v>3</v>
      </c>
      <c r="K52" s="169"/>
      <c r="L52" s="169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5.75" customHeight="1">
      <c r="A53" s="130">
        <v>42.0</v>
      </c>
      <c r="B53" s="161" t="s">
        <v>113</v>
      </c>
      <c r="C53" s="162" t="s">
        <v>114</v>
      </c>
      <c r="D53" s="49">
        <v>18.0</v>
      </c>
      <c r="E53" s="163" t="s">
        <v>230</v>
      </c>
      <c r="F53" s="164" t="s">
        <v>230</v>
      </c>
      <c r="G53" s="164" t="s">
        <v>230</v>
      </c>
      <c r="H53" s="164" t="s">
        <v>230</v>
      </c>
      <c r="I53" s="167" t="s">
        <v>230</v>
      </c>
      <c r="J53" s="168">
        <f t="shared" si="2"/>
        <v>1</v>
      </c>
      <c r="K53" s="169"/>
      <c r="L53" s="169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5.75" customHeight="1">
      <c r="A54" s="130">
        <v>43.0</v>
      </c>
      <c r="B54" s="161" t="s">
        <v>115</v>
      </c>
      <c r="C54" s="162" t="s">
        <v>116</v>
      </c>
      <c r="D54" s="49">
        <v>33.0</v>
      </c>
      <c r="E54" s="163">
        <v>20.0</v>
      </c>
      <c r="F54" s="164">
        <v>30.0</v>
      </c>
      <c r="G54" s="165">
        <v>17.0</v>
      </c>
      <c r="H54" s="165">
        <v>50.0</v>
      </c>
      <c r="I54" s="167">
        <v>29.0</v>
      </c>
      <c r="J54" s="168">
        <f t="shared" si="2"/>
        <v>2</v>
      </c>
      <c r="K54" s="169"/>
      <c r="L54" s="169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5.75" customHeight="1">
      <c r="A55" s="130">
        <v>44.0</v>
      </c>
      <c r="B55" s="161" t="s">
        <v>117</v>
      </c>
      <c r="C55" s="162" t="s">
        <v>118</v>
      </c>
      <c r="D55" s="49" t="s">
        <v>230</v>
      </c>
      <c r="E55" s="163">
        <v>25.0</v>
      </c>
      <c r="F55" s="164">
        <v>32.0</v>
      </c>
      <c r="G55" s="165">
        <v>27.0</v>
      </c>
      <c r="H55" s="165">
        <v>41.0</v>
      </c>
      <c r="I55" s="167">
        <v>22.0</v>
      </c>
      <c r="J55" s="168">
        <f t="shared" si="2"/>
        <v>0</v>
      </c>
      <c r="K55" s="169"/>
      <c r="L55" s="169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5.75" customHeight="1">
      <c r="A56" s="130">
        <v>45.0</v>
      </c>
      <c r="B56" s="161" t="s">
        <v>119</v>
      </c>
      <c r="C56" s="162" t="s">
        <v>120</v>
      </c>
      <c r="D56" s="49">
        <v>28.0</v>
      </c>
      <c r="E56" s="163">
        <v>41.0</v>
      </c>
      <c r="F56" s="164">
        <v>42.0</v>
      </c>
      <c r="G56" s="165">
        <v>21.0</v>
      </c>
      <c r="H56" s="165">
        <v>24.0</v>
      </c>
      <c r="I56" s="167">
        <v>27.0</v>
      </c>
      <c r="J56" s="168">
        <f t="shared" si="2"/>
        <v>1</v>
      </c>
      <c r="K56" s="169"/>
      <c r="L56" s="169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5.75" customHeight="1">
      <c r="A57" s="130">
        <v>46.0</v>
      </c>
      <c r="B57" s="161" t="s">
        <v>121</v>
      </c>
      <c r="C57" s="162" t="s">
        <v>122</v>
      </c>
      <c r="D57" s="49" t="s">
        <v>230</v>
      </c>
      <c r="E57" s="163" t="s">
        <v>230</v>
      </c>
      <c r="F57" s="164" t="s">
        <v>230</v>
      </c>
      <c r="G57" s="164" t="s">
        <v>230</v>
      </c>
      <c r="H57" s="164" t="s">
        <v>230</v>
      </c>
      <c r="I57" s="167" t="s">
        <v>230</v>
      </c>
      <c r="J57" s="168">
        <f t="shared" si="2"/>
        <v>0</v>
      </c>
      <c r="K57" s="169"/>
      <c r="L57" s="169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5.75" customHeight="1">
      <c r="A58" s="130">
        <v>47.0</v>
      </c>
      <c r="B58" s="161" t="s">
        <v>123</v>
      </c>
      <c r="C58" s="162" t="s">
        <v>124</v>
      </c>
      <c r="D58" s="49">
        <v>21.0</v>
      </c>
      <c r="E58" s="163">
        <v>36.0</v>
      </c>
      <c r="F58" s="164">
        <v>33.0</v>
      </c>
      <c r="G58" s="165">
        <v>17.0</v>
      </c>
      <c r="H58" s="165">
        <v>35.0</v>
      </c>
      <c r="I58" s="167">
        <v>24.0</v>
      </c>
      <c r="J58" s="168">
        <f t="shared" si="2"/>
        <v>2</v>
      </c>
      <c r="K58" s="169"/>
      <c r="L58" s="169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5.75" customHeight="1">
      <c r="A59" s="130">
        <v>48.0</v>
      </c>
      <c r="B59" s="161" t="s">
        <v>125</v>
      </c>
      <c r="C59" s="162" t="s">
        <v>126</v>
      </c>
      <c r="D59" s="49">
        <v>17.0</v>
      </c>
      <c r="E59" s="163">
        <v>10.0</v>
      </c>
      <c r="F59" s="164">
        <v>13.0</v>
      </c>
      <c r="G59" s="165">
        <v>18.0</v>
      </c>
      <c r="H59" s="165">
        <v>36.0</v>
      </c>
      <c r="I59" s="167">
        <v>14.0</v>
      </c>
      <c r="J59" s="168">
        <f t="shared" si="2"/>
        <v>5</v>
      </c>
      <c r="K59" s="169"/>
      <c r="L59" s="169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5.75" customHeight="1">
      <c r="A60" s="130">
        <v>49.0</v>
      </c>
      <c r="B60" s="161" t="s">
        <v>127</v>
      </c>
      <c r="C60" s="162" t="s">
        <v>128</v>
      </c>
      <c r="D60" s="49">
        <v>18.0</v>
      </c>
      <c r="E60" s="163">
        <v>10.0</v>
      </c>
      <c r="F60" s="164">
        <v>14.0</v>
      </c>
      <c r="G60" s="165">
        <v>17.0</v>
      </c>
      <c r="H60" s="165">
        <v>24.0</v>
      </c>
      <c r="I60" s="167">
        <v>18.0</v>
      </c>
      <c r="J60" s="168">
        <f t="shared" si="2"/>
        <v>5</v>
      </c>
      <c r="K60" s="169"/>
      <c r="L60" s="169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5.75" customHeight="1">
      <c r="A61" s="130">
        <v>50.0</v>
      </c>
      <c r="B61" s="161" t="s">
        <v>129</v>
      </c>
      <c r="C61" s="162" t="s">
        <v>130</v>
      </c>
      <c r="D61" s="49">
        <v>37.0</v>
      </c>
      <c r="E61" s="163">
        <v>38.0</v>
      </c>
      <c r="F61" s="164">
        <v>41.0</v>
      </c>
      <c r="G61" s="165">
        <v>32.0</v>
      </c>
      <c r="H61" s="165">
        <v>37.0</v>
      </c>
      <c r="I61" s="167">
        <v>32.0</v>
      </c>
      <c r="J61" s="168">
        <f t="shared" si="2"/>
        <v>0</v>
      </c>
      <c r="K61" s="169"/>
      <c r="L61" s="169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5.75" customHeight="1">
      <c r="A62" s="158" t="s">
        <v>223</v>
      </c>
      <c r="B62" s="158" t="s">
        <v>8</v>
      </c>
      <c r="C62" s="158" t="s">
        <v>224</v>
      </c>
      <c r="D62" s="159" t="s">
        <v>194</v>
      </c>
      <c r="E62" s="159" t="s">
        <v>198</v>
      </c>
      <c r="F62" s="159" t="s">
        <v>225</v>
      </c>
      <c r="G62" s="159" t="s">
        <v>226</v>
      </c>
      <c r="H62" s="159" t="s">
        <v>227</v>
      </c>
      <c r="I62" s="160" t="s">
        <v>26</v>
      </c>
      <c r="J62" s="158" t="s">
        <v>228</v>
      </c>
      <c r="K62" s="169"/>
      <c r="L62" s="169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5.75" customHeight="1">
      <c r="A63" s="44"/>
      <c r="B63" s="44"/>
      <c r="C63" s="44"/>
      <c r="D63" s="159" t="s">
        <v>229</v>
      </c>
      <c r="E63" s="159" t="s">
        <v>229</v>
      </c>
      <c r="F63" s="159" t="s">
        <v>229</v>
      </c>
      <c r="G63" s="159" t="s">
        <v>229</v>
      </c>
      <c r="H63" s="159" t="s">
        <v>229</v>
      </c>
      <c r="I63" s="159" t="s">
        <v>229</v>
      </c>
      <c r="J63" s="44"/>
      <c r="K63" s="169"/>
      <c r="L63" s="169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5.75" customHeight="1">
      <c r="A64" s="130">
        <v>51.0</v>
      </c>
      <c r="B64" s="161" t="s">
        <v>131</v>
      </c>
      <c r="C64" s="162" t="s">
        <v>132</v>
      </c>
      <c r="D64" s="49">
        <v>31.0</v>
      </c>
      <c r="E64" s="163">
        <v>37.0</v>
      </c>
      <c r="F64" s="164">
        <v>43.0</v>
      </c>
      <c r="G64" s="165">
        <v>28.0</v>
      </c>
      <c r="H64" s="165">
        <v>44.0</v>
      </c>
      <c r="I64" s="167">
        <v>24.0</v>
      </c>
      <c r="J64" s="168">
        <f t="shared" ref="J64:J66" si="3">COUNTIF(D64:I64,"&lt;22")</f>
        <v>0</v>
      </c>
      <c r="K64" s="169"/>
      <c r="L64" s="169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5.75" customHeight="1">
      <c r="A65" s="130">
        <v>52.0</v>
      </c>
      <c r="B65" s="161" t="s">
        <v>133</v>
      </c>
      <c r="C65" s="162" t="s">
        <v>134</v>
      </c>
      <c r="D65" s="49" t="s">
        <v>230</v>
      </c>
      <c r="E65" s="163" t="s">
        <v>230</v>
      </c>
      <c r="F65" s="164" t="s">
        <v>230</v>
      </c>
      <c r="G65" s="164" t="s">
        <v>230</v>
      </c>
      <c r="H65" s="164" t="s">
        <v>230</v>
      </c>
      <c r="I65" s="167" t="s">
        <v>230</v>
      </c>
      <c r="J65" s="168">
        <f t="shared" si="3"/>
        <v>0</v>
      </c>
      <c r="K65" s="169"/>
      <c r="L65" s="169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5.75" customHeight="1">
      <c r="A66" s="130">
        <v>53.0</v>
      </c>
      <c r="B66" s="161" t="s">
        <v>135</v>
      </c>
      <c r="C66" s="162" t="s">
        <v>136</v>
      </c>
      <c r="D66" s="49">
        <v>28.0</v>
      </c>
      <c r="E66" s="163">
        <v>42.0</v>
      </c>
      <c r="F66" s="164">
        <v>49.0</v>
      </c>
      <c r="G66" s="165">
        <v>29.0</v>
      </c>
      <c r="H66" s="165">
        <v>50.0</v>
      </c>
      <c r="I66" s="167">
        <v>25.0</v>
      </c>
      <c r="J66" s="168">
        <f t="shared" si="3"/>
        <v>0</v>
      </c>
      <c r="K66" s="169"/>
      <c r="L66" s="169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5.75" customHeight="1">
      <c r="A67" s="171" t="s">
        <v>231</v>
      </c>
      <c r="B67" s="152"/>
      <c r="C67" s="153"/>
      <c r="D67" s="172">
        <f>(53-D68)</f>
        <v>46</v>
      </c>
      <c r="E67" s="173">
        <v>45.0</v>
      </c>
      <c r="F67" s="172">
        <f t="shared" ref="F67:I67" si="4">(53-F68)</f>
        <v>43</v>
      </c>
      <c r="G67" s="172">
        <f t="shared" si="4"/>
        <v>47</v>
      </c>
      <c r="H67" s="172">
        <f t="shared" si="4"/>
        <v>46</v>
      </c>
      <c r="I67" s="172">
        <f t="shared" si="4"/>
        <v>45</v>
      </c>
      <c r="J67" s="174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5.75" customHeight="1">
      <c r="A68" s="175" t="s">
        <v>232</v>
      </c>
      <c r="B68" s="66"/>
      <c r="C68" s="67"/>
      <c r="D68" s="172">
        <f>COUNTIF(D10:D65,"AB")</f>
        <v>7</v>
      </c>
      <c r="E68" s="173">
        <v>8.0</v>
      </c>
      <c r="F68" s="172">
        <f t="shared" ref="F68:I68" si="5">COUNTIF(F10:F65,"AB")</f>
        <v>10</v>
      </c>
      <c r="G68" s="172">
        <f t="shared" si="5"/>
        <v>6</v>
      </c>
      <c r="H68" s="172">
        <f t="shared" si="5"/>
        <v>7</v>
      </c>
      <c r="I68" s="172">
        <f t="shared" si="5"/>
        <v>8</v>
      </c>
      <c r="J68" s="174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5.75" customHeight="1">
      <c r="A69" s="175" t="s">
        <v>233</v>
      </c>
      <c r="B69" s="66"/>
      <c r="C69" s="67"/>
      <c r="D69" s="172">
        <f>COUNTIF(D10:D66,"&lt;22")</f>
        <v>16</v>
      </c>
      <c r="E69" s="173">
        <v>11.0</v>
      </c>
      <c r="F69" s="172">
        <f t="shared" ref="F69:I69" si="6">COUNTIF(F10:F66,"&lt;22")</f>
        <v>14</v>
      </c>
      <c r="G69" s="172">
        <f t="shared" si="6"/>
        <v>19</v>
      </c>
      <c r="H69" s="172">
        <f t="shared" si="6"/>
        <v>5</v>
      </c>
      <c r="I69" s="172">
        <f t="shared" si="6"/>
        <v>19</v>
      </c>
      <c r="J69" s="174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5.75" customHeight="1">
      <c r="A70" s="176" t="s">
        <v>137</v>
      </c>
      <c r="B70" s="66"/>
      <c r="C70" s="67"/>
      <c r="D70" s="172" t="s">
        <v>138</v>
      </c>
      <c r="E70" s="172" t="s">
        <v>139</v>
      </c>
      <c r="F70" s="172" t="s">
        <v>140</v>
      </c>
      <c r="G70" s="172" t="s">
        <v>141</v>
      </c>
      <c r="H70" s="172" t="s">
        <v>149</v>
      </c>
      <c r="I70" s="172" t="s">
        <v>143</v>
      </c>
      <c r="J70" s="177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27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5.75" customHeight="1">
      <c r="A72" s="178" t="s">
        <v>234</v>
      </c>
      <c r="B72" s="13"/>
      <c r="C72" s="13"/>
      <c r="D72" s="13"/>
      <c r="E72" s="178" t="s">
        <v>235</v>
      </c>
      <c r="G72" s="13"/>
      <c r="H72" s="13"/>
      <c r="I72" s="178" t="s">
        <v>236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78" t="s">
        <v>237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0">
    <mergeCell ref="A2:J2"/>
    <mergeCell ref="A3:J3"/>
    <mergeCell ref="A4:J4"/>
    <mergeCell ref="C5:I5"/>
    <mergeCell ref="B8:B9"/>
    <mergeCell ref="C8:C9"/>
    <mergeCell ref="J8:J9"/>
    <mergeCell ref="C62:C63"/>
    <mergeCell ref="J62:J63"/>
    <mergeCell ref="A67:C67"/>
    <mergeCell ref="A68:C68"/>
    <mergeCell ref="A69:C69"/>
    <mergeCell ref="A70:C70"/>
    <mergeCell ref="A8:A9"/>
    <mergeCell ref="A32:A33"/>
    <mergeCell ref="B32:B33"/>
    <mergeCell ref="C32:C33"/>
    <mergeCell ref="J32:J33"/>
    <mergeCell ref="A62:A63"/>
    <mergeCell ref="B62:B6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12.88"/>
    <col customWidth="1" min="3" max="3" width="18.25"/>
    <col customWidth="1" min="4" max="4" width="14.5"/>
    <col customWidth="1" min="5" max="5" width="17.38"/>
    <col customWidth="1" min="6" max="6" width="14.0"/>
    <col customWidth="1" min="7" max="7" width="53.63"/>
    <col customWidth="1" min="8" max="27" width="12.0"/>
  </cols>
  <sheetData>
    <row r="1" ht="19.5" customHeight="1">
      <c r="A1" s="179" t="s">
        <v>0</v>
      </c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ht="30.0" customHeight="1">
      <c r="A2" s="181" t="s">
        <v>238</v>
      </c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</row>
    <row r="3" ht="15.0" customHeight="1">
      <c r="A3" s="182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ht="15.0" customHeight="1">
      <c r="A4" s="183" t="s">
        <v>239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</row>
    <row r="5" ht="21.0" customHeight="1">
      <c r="A5" s="184" t="s">
        <v>240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ht="15.0" customHeight="1">
      <c r="A6" s="185"/>
      <c r="B6" s="186"/>
      <c r="C6" s="186"/>
      <c r="D6" s="186"/>
      <c r="E6" s="186"/>
      <c r="F6" s="186"/>
      <c r="G6" s="186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</row>
    <row r="7" ht="39.0" customHeight="1">
      <c r="A7" s="187" t="s">
        <v>7</v>
      </c>
      <c r="B7" s="187" t="s">
        <v>8</v>
      </c>
      <c r="C7" s="187" t="s">
        <v>29</v>
      </c>
      <c r="D7" s="188" t="s">
        <v>241</v>
      </c>
      <c r="E7" s="188" t="s">
        <v>242</v>
      </c>
      <c r="F7" s="187" t="s">
        <v>243</v>
      </c>
      <c r="G7" s="187" t="s">
        <v>244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</row>
    <row r="8">
      <c r="A8" s="57">
        <v>1.0</v>
      </c>
      <c r="B8" s="161" t="s">
        <v>53</v>
      </c>
      <c r="C8" s="162" t="s">
        <v>54</v>
      </c>
      <c r="D8" s="189">
        <v>57.5649530075188</v>
      </c>
      <c r="E8" s="49" t="s">
        <v>245</v>
      </c>
      <c r="F8" s="190" t="s">
        <v>246</v>
      </c>
      <c r="G8" s="191" t="s">
        <v>247</v>
      </c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ht="28.5" customHeight="1">
      <c r="A9" s="57">
        <v>2.0</v>
      </c>
      <c r="B9" s="161" t="s">
        <v>63</v>
      </c>
      <c r="C9" s="162" t="s">
        <v>64</v>
      </c>
      <c r="D9" s="189">
        <v>33.54558270676692</v>
      </c>
      <c r="E9" s="167" t="s">
        <v>248</v>
      </c>
      <c r="F9" s="44"/>
      <c r="G9" s="192" t="s">
        <v>249</v>
      </c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>
      <c r="A10" s="57">
        <v>3.0</v>
      </c>
      <c r="B10" s="161" t="s">
        <v>81</v>
      </c>
      <c r="C10" s="162" t="s">
        <v>82</v>
      </c>
      <c r="D10" s="189">
        <v>66.09455827067669</v>
      </c>
      <c r="E10" s="49" t="s">
        <v>250</v>
      </c>
      <c r="F10" s="190" t="s">
        <v>251</v>
      </c>
      <c r="G10" s="191" t="s">
        <v>252</v>
      </c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</row>
    <row r="11" ht="31.5" customHeight="1">
      <c r="A11" s="57">
        <v>4.0</v>
      </c>
      <c r="B11" s="161" t="s">
        <v>97</v>
      </c>
      <c r="C11" s="162" t="s">
        <v>98</v>
      </c>
      <c r="D11" s="189">
        <v>68.31672932330827</v>
      </c>
      <c r="E11" s="167" t="s">
        <v>253</v>
      </c>
      <c r="F11" s="30"/>
      <c r="G11" s="192" t="s">
        <v>254</v>
      </c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</row>
    <row r="12" ht="30.75" customHeight="1">
      <c r="A12" s="57">
        <v>5.0</v>
      </c>
      <c r="B12" s="161" t="s">
        <v>103</v>
      </c>
      <c r="C12" s="162" t="s">
        <v>104</v>
      </c>
      <c r="D12" s="189">
        <v>65.42747493734336</v>
      </c>
      <c r="E12" s="167" t="s">
        <v>255</v>
      </c>
      <c r="F12" s="30"/>
      <c r="G12" s="192" t="s">
        <v>254</v>
      </c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</row>
    <row r="13" ht="15.0" customHeight="1">
      <c r="A13" s="57">
        <v>6.0</v>
      </c>
      <c r="B13" s="161" t="s">
        <v>107</v>
      </c>
      <c r="C13" s="162" t="s">
        <v>108</v>
      </c>
      <c r="D13" s="189">
        <v>23.47394423558897</v>
      </c>
      <c r="E13" s="49" t="s">
        <v>256</v>
      </c>
      <c r="F13" s="44"/>
      <c r="G13" s="192" t="s">
        <v>257</v>
      </c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</row>
    <row r="14">
      <c r="A14" s="57">
        <v>7.0</v>
      </c>
      <c r="B14" s="161" t="s">
        <v>121</v>
      </c>
      <c r="C14" s="170" t="s">
        <v>122</v>
      </c>
      <c r="D14" s="189">
        <v>10.363408521303258</v>
      </c>
      <c r="E14" s="49" t="s">
        <v>256</v>
      </c>
      <c r="F14" s="190" t="s">
        <v>258</v>
      </c>
      <c r="G14" s="192" t="s">
        <v>259</v>
      </c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</row>
    <row r="15" ht="15.0" customHeight="1">
      <c r="A15" s="57">
        <v>8.0</v>
      </c>
      <c r="B15" s="161" t="s">
        <v>133</v>
      </c>
      <c r="C15" s="162" t="s">
        <v>134</v>
      </c>
      <c r="D15" s="189">
        <v>53.70034461152883</v>
      </c>
      <c r="E15" s="49" t="s">
        <v>256</v>
      </c>
      <c r="F15" s="44"/>
      <c r="G15" s="191" t="s">
        <v>260</v>
      </c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</row>
    <row r="16" ht="15.75" customHeight="1">
      <c r="A16" s="193"/>
      <c r="B16" s="193"/>
      <c r="C16" s="193"/>
      <c r="D16" s="193"/>
      <c r="E16" s="193"/>
      <c r="F16" s="193"/>
      <c r="G16" s="193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</row>
    <row r="17" ht="15.75" customHeight="1">
      <c r="A17" s="193"/>
      <c r="B17" s="193"/>
      <c r="C17" s="193"/>
      <c r="D17" s="193"/>
      <c r="E17" s="193"/>
      <c r="F17" s="193"/>
      <c r="G17" s="193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</row>
    <row r="18" ht="15.75" customHeight="1">
      <c r="A18" s="18"/>
      <c r="B18" s="12" t="s">
        <v>261</v>
      </c>
      <c r="C18" s="18"/>
      <c r="D18" s="18"/>
      <c r="E18" s="18"/>
      <c r="F18" s="18"/>
      <c r="G18" s="12" t="s">
        <v>262</v>
      </c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</row>
    <row r="19" ht="15.75" customHeight="1">
      <c r="A19" s="16"/>
      <c r="B19" s="16"/>
      <c r="C19" s="16"/>
      <c r="D19" s="16"/>
      <c r="E19" s="16"/>
      <c r="F19" s="16"/>
      <c r="G19" s="16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</row>
    <row r="22" ht="15.75" customHeight="1">
      <c r="A22" s="180"/>
      <c r="B22" s="180"/>
      <c r="C22" s="180"/>
      <c r="D22" s="180"/>
      <c r="E22" s="180"/>
      <c r="F22" s="180"/>
      <c r="G22" s="194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9">
    <mergeCell ref="F10:F13"/>
    <mergeCell ref="F14:F15"/>
    <mergeCell ref="A1:G1"/>
    <mergeCell ref="A2:G2"/>
    <mergeCell ref="A3:G3"/>
    <mergeCell ref="A4:G4"/>
    <mergeCell ref="A5:G5"/>
    <mergeCell ref="A6:G6"/>
    <mergeCell ref="F8:F9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9.38"/>
    <col customWidth="1" min="3" max="3" width="14.63"/>
    <col customWidth="1" min="4" max="25" width="4.0"/>
    <col customWidth="1" min="26" max="26" width="6.63"/>
    <col customWidth="1" min="27" max="27" width="7.88"/>
  </cols>
  <sheetData>
    <row r="1" ht="11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5"/>
      <c r="T1" s="1"/>
      <c r="U1" s="7" t="s">
        <v>263</v>
      </c>
    </row>
    <row r="2" ht="18.75" customHeight="1">
      <c r="A2" s="196" t="s">
        <v>238</v>
      </c>
    </row>
    <row r="3" ht="11.25" customHeight="1">
      <c r="A3" s="197" t="s">
        <v>264</v>
      </c>
    </row>
    <row r="4" ht="11.25" customHeight="1">
      <c r="A4" s="197" t="s">
        <v>265</v>
      </c>
    </row>
    <row r="5" ht="11.25" customHeight="1">
      <c r="A5" s="20"/>
      <c r="B5" s="198" t="s">
        <v>266</v>
      </c>
      <c r="D5" s="20"/>
      <c r="E5" s="20"/>
      <c r="F5" s="20"/>
      <c r="G5" s="20"/>
      <c r="H5" s="20"/>
      <c r="I5" s="20"/>
      <c r="J5" s="20"/>
      <c r="K5" s="199"/>
      <c r="L5" s="20"/>
      <c r="M5" s="20"/>
      <c r="N5" s="76"/>
      <c r="O5" s="76"/>
      <c r="P5" s="76"/>
      <c r="Q5" s="76"/>
      <c r="R5" s="76"/>
      <c r="S5" s="200"/>
      <c r="T5" s="21"/>
      <c r="U5" s="201"/>
      <c r="V5" s="21"/>
      <c r="W5" s="21"/>
      <c r="X5" s="202" t="s">
        <v>267</v>
      </c>
    </row>
    <row r="6" ht="18.75" customHeight="1">
      <c r="A6" s="20"/>
      <c r="B6" s="19" t="s">
        <v>268</v>
      </c>
      <c r="C6" s="20"/>
      <c r="D6" s="76"/>
      <c r="E6" s="20"/>
      <c r="F6" s="20"/>
      <c r="G6" s="20"/>
      <c r="H6" s="20"/>
      <c r="I6" s="20"/>
      <c r="J6" s="20"/>
      <c r="K6" s="199"/>
      <c r="L6" s="19" t="s">
        <v>269</v>
      </c>
      <c r="M6" s="20"/>
      <c r="N6" s="20"/>
      <c r="O6" s="19" t="s">
        <v>270</v>
      </c>
      <c r="P6" s="20"/>
      <c r="Q6" s="20"/>
      <c r="R6" s="20"/>
      <c r="S6" s="200" t="s">
        <v>271</v>
      </c>
      <c r="T6" s="21"/>
      <c r="U6" s="201"/>
      <c r="V6" s="21"/>
      <c r="W6" s="21"/>
      <c r="X6" s="21"/>
      <c r="Y6" s="203" t="s">
        <v>272</v>
      </c>
      <c r="Z6" s="21"/>
    </row>
    <row r="7" ht="11.25" customHeight="1">
      <c r="A7" s="204" t="s">
        <v>7</v>
      </c>
      <c r="B7" s="205" t="s">
        <v>8</v>
      </c>
      <c r="C7" s="206" t="s">
        <v>9</v>
      </c>
      <c r="D7" s="207">
        <v>20.0</v>
      </c>
      <c r="E7" s="26"/>
      <c r="F7" s="207">
        <v>18.0</v>
      </c>
      <c r="G7" s="26"/>
      <c r="H7" s="207">
        <v>16.0</v>
      </c>
      <c r="I7" s="26"/>
      <c r="J7" s="207">
        <v>16.0</v>
      </c>
      <c r="K7" s="26"/>
      <c r="L7" s="207">
        <v>12.0</v>
      </c>
      <c r="M7" s="26"/>
      <c r="N7" s="207">
        <v>8.0</v>
      </c>
      <c r="O7" s="26"/>
      <c r="P7" s="208"/>
      <c r="Q7" s="26"/>
      <c r="R7" s="207">
        <v>3.0</v>
      </c>
      <c r="S7" s="26"/>
      <c r="T7" s="207">
        <v>5.0</v>
      </c>
      <c r="U7" s="26"/>
      <c r="V7" s="207">
        <v>4.0</v>
      </c>
      <c r="W7" s="26"/>
      <c r="X7" s="207">
        <v>5.0</v>
      </c>
      <c r="Y7" s="26"/>
      <c r="Z7" s="209" t="s">
        <v>10</v>
      </c>
    </row>
    <row r="8" ht="22.5" customHeight="1">
      <c r="A8" s="30"/>
      <c r="B8" s="30"/>
      <c r="C8" s="206" t="s">
        <v>273</v>
      </c>
      <c r="D8" s="210" t="s">
        <v>274</v>
      </c>
      <c r="E8" s="26"/>
      <c r="F8" s="210" t="s">
        <v>275</v>
      </c>
      <c r="G8" s="26"/>
      <c r="H8" s="210" t="s">
        <v>276</v>
      </c>
      <c r="I8" s="26"/>
      <c r="J8" s="210" t="s">
        <v>277</v>
      </c>
      <c r="K8" s="26"/>
      <c r="L8" s="210" t="s">
        <v>278</v>
      </c>
      <c r="M8" s="26"/>
      <c r="N8" s="210" t="s">
        <v>279</v>
      </c>
      <c r="O8" s="26"/>
      <c r="P8" s="208" t="s">
        <v>280</v>
      </c>
      <c r="Q8" s="26"/>
      <c r="R8" s="210" t="s">
        <v>281</v>
      </c>
      <c r="S8" s="26"/>
      <c r="T8" s="210" t="s">
        <v>282</v>
      </c>
      <c r="U8" s="26"/>
      <c r="V8" s="210" t="s">
        <v>283</v>
      </c>
      <c r="W8" s="26"/>
      <c r="X8" s="210" t="s">
        <v>284</v>
      </c>
      <c r="Y8" s="26"/>
      <c r="Z8" s="30"/>
    </row>
    <row r="9" ht="11.25" customHeight="1">
      <c r="A9" s="30"/>
      <c r="B9" s="30"/>
      <c r="C9" s="204" t="s">
        <v>29</v>
      </c>
      <c r="D9" s="205" t="s">
        <v>30</v>
      </c>
      <c r="E9" s="205" t="s">
        <v>31</v>
      </c>
      <c r="F9" s="205" t="s">
        <v>30</v>
      </c>
      <c r="G9" s="205" t="s">
        <v>31</v>
      </c>
      <c r="H9" s="205" t="s">
        <v>30</v>
      </c>
      <c r="I9" s="211" t="s">
        <v>31</v>
      </c>
      <c r="J9" s="205" t="s">
        <v>30</v>
      </c>
      <c r="K9" s="205" t="s">
        <v>31</v>
      </c>
      <c r="L9" s="205" t="s">
        <v>30</v>
      </c>
      <c r="M9" s="205" t="s">
        <v>31</v>
      </c>
      <c r="N9" s="205" t="s">
        <v>30</v>
      </c>
      <c r="O9" s="205" t="s">
        <v>31</v>
      </c>
      <c r="P9" s="205" t="s">
        <v>30</v>
      </c>
      <c r="Q9" s="211" t="s">
        <v>31</v>
      </c>
      <c r="R9" s="211" t="s">
        <v>30</v>
      </c>
      <c r="S9" s="212" t="s">
        <v>31</v>
      </c>
      <c r="T9" s="211" t="s">
        <v>30</v>
      </c>
      <c r="U9" s="213" t="s">
        <v>31</v>
      </c>
      <c r="V9" s="205" t="s">
        <v>30</v>
      </c>
      <c r="W9" s="205" t="s">
        <v>31</v>
      </c>
      <c r="X9" s="205" t="s">
        <v>30</v>
      </c>
      <c r="Y9" s="205" t="s">
        <v>31</v>
      </c>
      <c r="Z9" s="30"/>
    </row>
    <row r="10" ht="11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1.25" customHeight="1">
      <c r="A11" s="214">
        <v>1.0</v>
      </c>
      <c r="B11" s="215" t="s">
        <v>285</v>
      </c>
      <c r="C11" s="216" t="s">
        <v>286</v>
      </c>
      <c r="D11" s="217">
        <v>3.0</v>
      </c>
      <c r="E11" s="218">
        <v>15.0</v>
      </c>
      <c r="F11" s="217">
        <v>4.0</v>
      </c>
      <c r="G11" s="219">
        <v>22.22222222222222</v>
      </c>
      <c r="H11" s="220">
        <v>4.0</v>
      </c>
      <c r="I11" s="220">
        <v>25.0</v>
      </c>
      <c r="J11" s="217">
        <v>3.0</v>
      </c>
      <c r="K11" s="219">
        <v>20.0</v>
      </c>
      <c r="L11" s="217">
        <v>2.0</v>
      </c>
      <c r="M11" s="219">
        <v>16.666666666666664</v>
      </c>
      <c r="N11" s="217">
        <v>2.0</v>
      </c>
      <c r="O11" s="218">
        <v>25.0</v>
      </c>
      <c r="P11" s="221">
        <v>2.0</v>
      </c>
      <c r="Q11" s="222">
        <v>67.0</v>
      </c>
      <c r="R11" s="223">
        <v>1.0</v>
      </c>
      <c r="S11" s="223">
        <v>33.33333333333333</v>
      </c>
      <c r="T11" s="224">
        <v>0.0</v>
      </c>
      <c r="U11" s="220">
        <v>0.0</v>
      </c>
      <c r="V11" s="217">
        <v>1.0</v>
      </c>
      <c r="W11" s="218">
        <v>25.0</v>
      </c>
      <c r="X11" s="217">
        <v>2.0</v>
      </c>
      <c r="Y11" s="218">
        <v>40.0</v>
      </c>
      <c r="Z11" s="225">
        <v>26.292929292929294</v>
      </c>
    </row>
    <row r="12" ht="11.25" customHeight="1">
      <c r="A12" s="214">
        <v>2.0</v>
      </c>
      <c r="B12" s="215" t="s">
        <v>287</v>
      </c>
      <c r="C12" s="216" t="s">
        <v>288</v>
      </c>
      <c r="D12" s="217">
        <v>4.0</v>
      </c>
      <c r="E12" s="218">
        <v>20.0</v>
      </c>
      <c r="F12" s="217">
        <v>8.0</v>
      </c>
      <c r="G12" s="219">
        <v>44.44444444444444</v>
      </c>
      <c r="H12" s="220">
        <v>12.0</v>
      </c>
      <c r="I12" s="220">
        <v>75.0</v>
      </c>
      <c r="J12" s="217">
        <v>5.0</v>
      </c>
      <c r="K12" s="219">
        <v>33.333333333333336</v>
      </c>
      <c r="L12" s="217">
        <v>3.0</v>
      </c>
      <c r="M12" s="219">
        <v>25.0</v>
      </c>
      <c r="N12" s="217">
        <v>3.0</v>
      </c>
      <c r="O12" s="218">
        <v>38.0</v>
      </c>
      <c r="P12" s="221">
        <v>1.0</v>
      </c>
      <c r="Q12" s="222">
        <v>33.0</v>
      </c>
      <c r="R12" s="223">
        <v>2.0</v>
      </c>
      <c r="S12" s="223">
        <v>66.66666666666666</v>
      </c>
      <c r="T12" s="224">
        <v>1.0</v>
      </c>
      <c r="U12" s="220">
        <v>20.0</v>
      </c>
      <c r="V12" s="224">
        <v>1.0</v>
      </c>
      <c r="W12" s="218">
        <v>25.0</v>
      </c>
      <c r="X12" s="224">
        <v>3.0</v>
      </c>
      <c r="Y12" s="218">
        <v>60.0</v>
      </c>
      <c r="Z12" s="225">
        <v>40.04040404040404</v>
      </c>
    </row>
    <row r="13" ht="11.25" customHeight="1">
      <c r="A13" s="214">
        <v>3.0</v>
      </c>
      <c r="B13" s="215" t="s">
        <v>289</v>
      </c>
      <c r="C13" s="216" t="s">
        <v>290</v>
      </c>
      <c r="D13" s="217">
        <v>5.0</v>
      </c>
      <c r="E13" s="218">
        <v>25.0</v>
      </c>
      <c r="F13" s="217">
        <v>9.0</v>
      </c>
      <c r="G13" s="219">
        <v>50.0</v>
      </c>
      <c r="H13" s="220">
        <v>8.0</v>
      </c>
      <c r="I13" s="220">
        <v>50.0</v>
      </c>
      <c r="J13" s="217">
        <v>7.0</v>
      </c>
      <c r="K13" s="219">
        <v>46.66666666666667</v>
      </c>
      <c r="L13" s="217">
        <v>2.0</v>
      </c>
      <c r="M13" s="219">
        <v>16.666666666666664</v>
      </c>
      <c r="N13" s="217">
        <v>3.0</v>
      </c>
      <c r="O13" s="218">
        <v>38.0</v>
      </c>
      <c r="P13" s="221">
        <v>2.0</v>
      </c>
      <c r="Q13" s="222">
        <v>67.0</v>
      </c>
      <c r="R13" s="223">
        <v>2.0</v>
      </c>
      <c r="S13" s="223">
        <v>66.66666666666666</v>
      </c>
      <c r="T13" s="224">
        <v>2.0</v>
      </c>
      <c r="U13" s="220">
        <v>40.0</v>
      </c>
      <c r="V13" s="224">
        <v>0.0</v>
      </c>
      <c r="W13" s="218">
        <v>0.0</v>
      </c>
      <c r="X13" s="224">
        <v>2.0</v>
      </c>
      <c r="Y13" s="218">
        <v>40.0</v>
      </c>
      <c r="Z13" s="225">
        <v>40.0</v>
      </c>
    </row>
    <row r="14" ht="24.0" customHeight="1">
      <c r="A14" s="226" t="s">
        <v>137</v>
      </c>
      <c r="B14" s="227"/>
      <c r="C14" s="26"/>
      <c r="D14" s="228" t="s">
        <v>291</v>
      </c>
      <c r="E14" s="26"/>
      <c r="F14" s="228" t="s">
        <v>292</v>
      </c>
      <c r="G14" s="26"/>
      <c r="H14" s="229" t="s">
        <v>293</v>
      </c>
      <c r="I14" s="26"/>
      <c r="J14" s="228" t="s">
        <v>294</v>
      </c>
      <c r="K14" s="26"/>
      <c r="L14" s="228" t="s">
        <v>295</v>
      </c>
      <c r="M14" s="26"/>
      <c r="N14" s="228" t="s">
        <v>296</v>
      </c>
      <c r="O14" s="26"/>
      <c r="P14" s="230" t="s">
        <v>297</v>
      </c>
      <c r="Q14" s="26"/>
      <c r="R14" s="228" t="s">
        <v>298</v>
      </c>
      <c r="S14" s="26"/>
      <c r="T14" s="228" t="s">
        <v>291</v>
      </c>
      <c r="U14" s="26"/>
      <c r="V14" s="228" t="s">
        <v>292</v>
      </c>
      <c r="W14" s="26"/>
      <c r="X14" s="228" t="s">
        <v>295</v>
      </c>
      <c r="Y14" s="26"/>
      <c r="Z14" s="225"/>
    </row>
    <row r="15" ht="11.25" customHeight="1">
      <c r="A15" s="11"/>
      <c r="B15" s="80"/>
      <c r="C15" s="72"/>
      <c r="D15" s="73"/>
      <c r="E15" s="73"/>
      <c r="F15" s="11"/>
      <c r="G15" s="11"/>
      <c r="H15" s="75"/>
      <c r="I15" s="75"/>
      <c r="J15" s="11"/>
      <c r="K15" s="76"/>
      <c r="L15" s="11"/>
      <c r="M15" s="76"/>
      <c r="N15" s="11"/>
      <c r="O15" s="76"/>
      <c r="P15" s="11"/>
      <c r="Q15" s="11"/>
      <c r="R15" s="11"/>
      <c r="S15" s="231"/>
      <c r="T15" s="11"/>
      <c r="U15" s="11"/>
      <c r="V15" s="11"/>
      <c r="W15" s="11"/>
      <c r="X15" s="202"/>
      <c r="Y15" s="76"/>
      <c r="Z15" s="78"/>
    </row>
    <row r="16" ht="29.25" customHeight="1">
      <c r="A16" s="80"/>
      <c r="B16" s="76"/>
      <c r="C16" s="80" t="s">
        <v>299</v>
      </c>
      <c r="D16" s="76"/>
      <c r="E16" s="76"/>
      <c r="F16" s="232"/>
      <c r="G16" s="2"/>
      <c r="H16" s="76"/>
      <c r="I16" s="233"/>
      <c r="J16" s="11"/>
      <c r="K16" s="11"/>
      <c r="L16" s="234" t="s">
        <v>300</v>
      </c>
      <c r="Q16" s="232"/>
      <c r="R16" s="232"/>
      <c r="S16" s="235"/>
      <c r="T16" s="232"/>
      <c r="U16" s="7"/>
      <c r="V16" s="234" t="s">
        <v>301</v>
      </c>
    </row>
    <row r="17" ht="11.2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ht="11.2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 ht="11.2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 ht="11.2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 ht="11.2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 ht="11.2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 ht="11.2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 ht="11.2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 ht="11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 ht="11.2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ht="11.2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ht="11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ht="11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ht="11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ht="11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ht="11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ht="11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ht="11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ht="11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ht="11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ht="11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ht="11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ht="11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ht="11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ht="11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ht="11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ht="11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ht="11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ht="11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ht="11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ht="11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ht="11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ht="11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ht="11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ht="11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ht="11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ht="11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ht="11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ht="11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ht="11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ht="11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ht="11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ht="11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ht="11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ht="11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ht="11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ht="11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ht="11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ht="11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ht="11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ht="11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ht="11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ht="11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ht="11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ht="11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ht="11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ht="11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ht="11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ht="11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ht="11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ht="11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ht="11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ht="11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ht="11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ht="11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ht="11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ht="11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ht="11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ht="11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ht="11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ht="11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ht="11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ht="11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ht="11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ht="11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ht="11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ht="11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ht="11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ht="11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ht="11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ht="11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ht="11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ht="11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ht="11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ht="11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ht="11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ht="11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ht="11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ht="11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ht="11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ht="11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ht="11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ht="11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ht="11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ht="11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ht="11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ht="11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ht="11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ht="11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ht="11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ht="11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ht="11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ht="11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ht="11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ht="11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ht="11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ht="11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ht="11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ht="11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ht="11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ht="11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ht="11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ht="11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ht="11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ht="11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ht="11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ht="11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ht="11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ht="11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ht="11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ht="11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ht="11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ht="11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ht="11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H9:H10"/>
    <mergeCell ref="I9:I10"/>
    <mergeCell ref="J9:J10"/>
    <mergeCell ref="K9:K10"/>
    <mergeCell ref="U1:Z1"/>
    <mergeCell ref="A2:Z2"/>
    <mergeCell ref="A3:Z3"/>
    <mergeCell ref="A4:Z4"/>
    <mergeCell ref="X5:Z5"/>
    <mergeCell ref="A7:A10"/>
    <mergeCell ref="Z7:Z10"/>
    <mergeCell ref="B7:B10"/>
    <mergeCell ref="D8:E8"/>
    <mergeCell ref="C9:C10"/>
    <mergeCell ref="D9:D10"/>
    <mergeCell ref="E9:E10"/>
    <mergeCell ref="A14:C14"/>
    <mergeCell ref="D14:E14"/>
    <mergeCell ref="T14:U14"/>
    <mergeCell ref="V14:W14"/>
    <mergeCell ref="X14:Y14"/>
    <mergeCell ref="V16:Z16"/>
    <mergeCell ref="F14:G14"/>
    <mergeCell ref="H14:I14"/>
    <mergeCell ref="J14:K14"/>
    <mergeCell ref="L14:M14"/>
    <mergeCell ref="N14:O14"/>
    <mergeCell ref="P14:Q14"/>
    <mergeCell ref="R14:S14"/>
    <mergeCell ref="L16:P16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printOptions/>
  <pageMargins bottom="0.75" footer="0.0" header="0.0" left="0.75" right="0.25" top="0.75"/>
  <pageSetup paperSize="9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0.13"/>
    <col customWidth="1" min="3" max="3" width="25.13"/>
    <col customWidth="1" min="4" max="4" width="5.88"/>
    <col customWidth="1" min="5" max="5" width="3.88"/>
    <col customWidth="1" min="6" max="6" width="5.63"/>
    <col customWidth="1" min="7" max="7" width="3.88"/>
    <col customWidth="1" min="8" max="8" width="6.13"/>
    <col customWidth="1" min="9" max="9" width="4.88"/>
    <col customWidth="1" min="10" max="10" width="7.38"/>
    <col customWidth="1" min="11" max="11" width="3.13"/>
    <col customWidth="1" min="12" max="12" width="6.38"/>
    <col customWidth="1" min="13" max="13" width="3.13"/>
    <col customWidth="1" min="14" max="14" width="4.38"/>
    <col customWidth="1" min="15" max="16" width="5.13"/>
    <col customWidth="1" min="17" max="17" width="4.13"/>
    <col customWidth="1" min="18" max="18" width="5.38"/>
    <col customWidth="1" min="19" max="19" width="3.88"/>
    <col customWidth="1" min="20" max="20" width="6.38"/>
    <col customWidth="1" min="21" max="21" width="3.38"/>
    <col customWidth="1" min="22" max="22" width="6.38"/>
    <col customWidth="1" min="23" max="23" width="4.38"/>
    <col customWidth="1" min="24" max="24" width="6.13"/>
    <col customWidth="1" min="25" max="25" width="5.0"/>
    <col customWidth="1" min="26" max="26" width="4.88"/>
    <col customWidth="1" min="27" max="27" width="7.88"/>
  </cols>
  <sheetData>
    <row r="1" ht="11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5"/>
      <c r="T1" s="1"/>
      <c r="U1" s="7" t="s">
        <v>263</v>
      </c>
    </row>
    <row r="2" ht="11.25" customHeight="1">
      <c r="A2" s="236" t="s">
        <v>238</v>
      </c>
    </row>
    <row r="3" ht="11.25" customHeight="1">
      <c r="A3" s="11" t="s">
        <v>264</v>
      </c>
    </row>
    <row r="4" ht="11.25" customHeight="1">
      <c r="A4" s="11" t="s">
        <v>265</v>
      </c>
    </row>
    <row r="5" ht="11.25" customHeight="1">
      <c r="A5" s="20"/>
      <c r="B5" s="198" t="s">
        <v>266</v>
      </c>
      <c r="D5" s="20"/>
      <c r="E5" s="20"/>
      <c r="F5" s="20"/>
      <c r="G5" s="20"/>
      <c r="H5" s="20"/>
      <c r="I5" s="20"/>
      <c r="J5" s="20"/>
      <c r="K5" s="199"/>
      <c r="L5" s="20"/>
      <c r="M5" s="20"/>
      <c r="N5" s="76"/>
      <c r="O5" s="76"/>
      <c r="P5" s="76"/>
      <c r="Q5" s="76"/>
      <c r="R5" s="76"/>
      <c r="S5" s="200"/>
      <c r="T5" s="21"/>
      <c r="U5" s="201"/>
      <c r="V5" s="21"/>
      <c r="W5" s="21"/>
      <c r="X5" s="202" t="s">
        <v>267</v>
      </c>
    </row>
    <row r="6" ht="11.25" customHeight="1">
      <c r="A6" s="20"/>
      <c r="B6" s="19" t="s">
        <v>268</v>
      </c>
      <c r="C6" s="20"/>
      <c r="D6" s="76"/>
      <c r="E6" s="20"/>
      <c r="F6" s="20"/>
      <c r="G6" s="20"/>
      <c r="H6" s="20"/>
      <c r="I6" s="20"/>
      <c r="J6" s="20"/>
      <c r="K6" s="199"/>
      <c r="L6" s="19" t="s">
        <v>269</v>
      </c>
      <c r="M6" s="20"/>
      <c r="N6" s="20"/>
      <c r="O6" s="19" t="s">
        <v>270</v>
      </c>
      <c r="P6" s="20"/>
      <c r="Q6" s="20"/>
      <c r="R6" s="20"/>
      <c r="S6" s="200"/>
      <c r="T6" s="21" t="s">
        <v>302</v>
      </c>
      <c r="U6" s="201"/>
      <c r="V6" s="21"/>
      <c r="W6" s="21"/>
      <c r="X6" s="21"/>
      <c r="Y6" s="21"/>
      <c r="Z6" s="21"/>
    </row>
    <row r="7" ht="11.25" customHeight="1">
      <c r="A7" s="204" t="s">
        <v>7</v>
      </c>
      <c r="B7" s="205" t="s">
        <v>8</v>
      </c>
      <c r="C7" s="206" t="s">
        <v>9</v>
      </c>
      <c r="D7" s="237">
        <v>20.0</v>
      </c>
      <c r="E7" s="26"/>
      <c r="F7" s="237">
        <v>18.0</v>
      </c>
      <c r="G7" s="26"/>
      <c r="H7" s="237">
        <v>16.0</v>
      </c>
      <c r="I7" s="26"/>
      <c r="J7" s="237">
        <v>16.0</v>
      </c>
      <c r="K7" s="26"/>
      <c r="L7" s="237">
        <v>12.0</v>
      </c>
      <c r="M7" s="26"/>
      <c r="N7" s="237">
        <v>8.0</v>
      </c>
      <c r="O7" s="26"/>
      <c r="P7" s="238"/>
      <c r="Q7" s="26"/>
      <c r="R7" s="237">
        <v>3.0</v>
      </c>
      <c r="S7" s="26"/>
      <c r="T7" s="237"/>
      <c r="U7" s="26"/>
      <c r="V7" s="237">
        <v>4.0</v>
      </c>
      <c r="W7" s="26"/>
      <c r="X7" s="237">
        <v>5.0</v>
      </c>
      <c r="Y7" s="26"/>
      <c r="Z7" s="239" t="s">
        <v>10</v>
      </c>
    </row>
    <row r="8" ht="22.5" customHeight="1">
      <c r="A8" s="30"/>
      <c r="B8" s="30"/>
      <c r="C8" s="206" t="s">
        <v>273</v>
      </c>
      <c r="D8" s="240" t="s">
        <v>274</v>
      </c>
      <c r="E8" s="26"/>
      <c r="F8" s="240" t="s">
        <v>275</v>
      </c>
      <c r="G8" s="26"/>
      <c r="H8" s="240" t="s">
        <v>276</v>
      </c>
      <c r="I8" s="26"/>
      <c r="J8" s="240" t="s">
        <v>277</v>
      </c>
      <c r="K8" s="26"/>
      <c r="L8" s="240" t="s">
        <v>278</v>
      </c>
      <c r="M8" s="26"/>
      <c r="N8" s="240" t="s">
        <v>279</v>
      </c>
      <c r="O8" s="26"/>
      <c r="P8" s="238" t="s">
        <v>280</v>
      </c>
      <c r="Q8" s="26"/>
      <c r="R8" s="240" t="s">
        <v>281</v>
      </c>
      <c r="S8" s="26"/>
      <c r="T8" s="240" t="s">
        <v>282</v>
      </c>
      <c r="U8" s="26"/>
      <c r="V8" s="240" t="s">
        <v>283</v>
      </c>
      <c r="W8" s="26"/>
      <c r="X8" s="240" t="s">
        <v>284</v>
      </c>
      <c r="Y8" s="26"/>
      <c r="Z8" s="30"/>
    </row>
    <row r="9" ht="11.25" customHeight="1">
      <c r="A9" s="30"/>
      <c r="B9" s="30"/>
      <c r="C9" s="204" t="s">
        <v>29</v>
      </c>
      <c r="D9" s="241" t="s">
        <v>30</v>
      </c>
      <c r="E9" s="241" t="s">
        <v>31</v>
      </c>
      <c r="F9" s="241" t="s">
        <v>30</v>
      </c>
      <c r="G9" s="241" t="s">
        <v>31</v>
      </c>
      <c r="H9" s="241" t="s">
        <v>30</v>
      </c>
      <c r="I9" s="242" t="s">
        <v>31</v>
      </c>
      <c r="J9" s="241" t="s">
        <v>30</v>
      </c>
      <c r="K9" s="241" t="s">
        <v>31</v>
      </c>
      <c r="L9" s="241" t="s">
        <v>30</v>
      </c>
      <c r="M9" s="241" t="s">
        <v>31</v>
      </c>
      <c r="N9" s="241" t="s">
        <v>30</v>
      </c>
      <c r="O9" s="241" t="s">
        <v>31</v>
      </c>
      <c r="P9" s="241" t="s">
        <v>30</v>
      </c>
      <c r="Q9" s="242" t="s">
        <v>31</v>
      </c>
      <c r="R9" s="242" t="s">
        <v>30</v>
      </c>
      <c r="S9" s="243" t="s">
        <v>31</v>
      </c>
      <c r="T9" s="242" t="s">
        <v>30</v>
      </c>
      <c r="U9" s="244" t="s">
        <v>31</v>
      </c>
      <c r="V9" s="241" t="s">
        <v>30</v>
      </c>
      <c r="W9" s="241" t="s">
        <v>31</v>
      </c>
      <c r="X9" s="241" t="s">
        <v>30</v>
      </c>
      <c r="Y9" s="241" t="s">
        <v>31</v>
      </c>
      <c r="Z9" s="30"/>
    </row>
    <row r="10" ht="11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1.25" customHeight="1">
      <c r="A11" s="47">
        <v>1.0</v>
      </c>
      <c r="B11" s="215" t="s">
        <v>303</v>
      </c>
      <c r="C11" s="245" t="s">
        <v>304</v>
      </c>
      <c r="D11" s="215">
        <v>12.0</v>
      </c>
      <c r="E11" s="246">
        <v>60.0</v>
      </c>
      <c r="F11" s="215">
        <v>15.0</v>
      </c>
      <c r="G11" s="247">
        <v>83.33333333333333</v>
      </c>
      <c r="H11" s="248">
        <v>8.0</v>
      </c>
      <c r="I11" s="248">
        <v>50.0</v>
      </c>
      <c r="J11" s="215">
        <v>11.0</v>
      </c>
      <c r="K11" s="247">
        <v>73.33333333333334</v>
      </c>
      <c r="L11" s="215">
        <v>7.0</v>
      </c>
      <c r="M11" s="247">
        <v>58.333333333333336</v>
      </c>
      <c r="N11" s="215">
        <v>6.0</v>
      </c>
      <c r="O11" s="246">
        <v>75.0</v>
      </c>
      <c r="P11" s="249">
        <v>3.0</v>
      </c>
      <c r="Q11" s="250">
        <v>100.0</v>
      </c>
      <c r="R11" s="251">
        <v>3.0</v>
      </c>
      <c r="S11" s="251">
        <v>100.0</v>
      </c>
      <c r="T11" s="252">
        <v>4.0</v>
      </c>
      <c r="U11" s="248">
        <v>80.0</v>
      </c>
      <c r="V11" s="252">
        <v>2.0</v>
      </c>
      <c r="W11" s="246">
        <v>50.0</v>
      </c>
      <c r="X11" s="252">
        <v>3.0</v>
      </c>
      <c r="Y11" s="246">
        <v>60.0</v>
      </c>
      <c r="Z11" s="253">
        <v>71.81818181818181</v>
      </c>
    </row>
    <row r="12" ht="11.25" customHeight="1">
      <c r="A12" s="47">
        <v>2.0</v>
      </c>
      <c r="B12" s="215" t="s">
        <v>305</v>
      </c>
      <c r="C12" s="245" t="s">
        <v>306</v>
      </c>
      <c r="D12" s="215">
        <v>9.0</v>
      </c>
      <c r="E12" s="246">
        <v>45.0</v>
      </c>
      <c r="F12" s="215">
        <v>12.0</v>
      </c>
      <c r="G12" s="247">
        <v>66.66666666666667</v>
      </c>
      <c r="H12" s="248">
        <v>12.0</v>
      </c>
      <c r="I12" s="248">
        <v>75.0</v>
      </c>
      <c r="J12" s="215">
        <v>4.0</v>
      </c>
      <c r="K12" s="247">
        <v>26.666666666666668</v>
      </c>
      <c r="L12" s="215">
        <v>5.0</v>
      </c>
      <c r="M12" s="247">
        <v>41.66666666666667</v>
      </c>
      <c r="N12" s="215">
        <v>6.0</v>
      </c>
      <c r="O12" s="246">
        <v>75.0</v>
      </c>
      <c r="P12" s="249">
        <v>3.0</v>
      </c>
      <c r="Q12" s="250">
        <v>100.0</v>
      </c>
      <c r="R12" s="251">
        <v>3.0</v>
      </c>
      <c r="S12" s="251">
        <v>100.0</v>
      </c>
      <c r="T12" s="252">
        <v>3.0</v>
      </c>
      <c r="U12" s="248">
        <v>60.0</v>
      </c>
      <c r="V12" s="252">
        <v>1.0</v>
      </c>
      <c r="W12" s="246">
        <v>25.0</v>
      </c>
      <c r="X12" s="252">
        <v>3.0</v>
      </c>
      <c r="Y12" s="246">
        <v>60.0</v>
      </c>
      <c r="Z12" s="253">
        <v>61.36363636363637</v>
      </c>
    </row>
    <row r="13" ht="11.25" customHeight="1">
      <c r="A13" s="47">
        <v>3.0</v>
      </c>
      <c r="B13" s="215" t="s">
        <v>307</v>
      </c>
      <c r="C13" s="245" t="s">
        <v>308</v>
      </c>
      <c r="D13" s="215">
        <v>11.0</v>
      </c>
      <c r="E13" s="246">
        <v>55.00000000000001</v>
      </c>
      <c r="F13" s="215">
        <v>14.0</v>
      </c>
      <c r="G13" s="247">
        <v>77.77777777777777</v>
      </c>
      <c r="H13" s="248">
        <v>16.0</v>
      </c>
      <c r="I13" s="248">
        <v>100.0</v>
      </c>
      <c r="J13" s="215">
        <v>12.0</v>
      </c>
      <c r="K13" s="247">
        <v>80.0</v>
      </c>
      <c r="L13" s="215">
        <v>4.0</v>
      </c>
      <c r="M13" s="247">
        <v>33.33333333333333</v>
      </c>
      <c r="N13" s="215">
        <v>3.0</v>
      </c>
      <c r="O13" s="246">
        <v>38.0</v>
      </c>
      <c r="P13" s="249">
        <v>2.0</v>
      </c>
      <c r="Q13" s="250">
        <v>67.0</v>
      </c>
      <c r="R13" s="251">
        <v>2.0</v>
      </c>
      <c r="S13" s="251">
        <v>66.66666666666666</v>
      </c>
      <c r="T13" s="252">
        <v>3.0</v>
      </c>
      <c r="U13" s="248">
        <v>60.0</v>
      </c>
      <c r="V13" s="252">
        <v>3.0</v>
      </c>
      <c r="W13" s="246">
        <v>75.0</v>
      </c>
      <c r="X13" s="252">
        <v>4.0</v>
      </c>
      <c r="Y13" s="246">
        <v>80.0</v>
      </c>
      <c r="Z13" s="253">
        <v>66.6161616161616</v>
      </c>
    </row>
    <row r="14" ht="11.25" customHeight="1">
      <c r="A14" s="47">
        <v>4.0</v>
      </c>
      <c r="B14" s="215" t="s">
        <v>309</v>
      </c>
      <c r="C14" s="245" t="s">
        <v>310</v>
      </c>
      <c r="D14" s="215">
        <v>13.0</v>
      </c>
      <c r="E14" s="246">
        <v>65.0</v>
      </c>
      <c r="F14" s="215">
        <v>15.0</v>
      </c>
      <c r="G14" s="247">
        <v>83.33333333333333</v>
      </c>
      <c r="H14" s="248">
        <v>8.0</v>
      </c>
      <c r="I14" s="248">
        <v>50.0</v>
      </c>
      <c r="J14" s="215">
        <v>10.0</v>
      </c>
      <c r="K14" s="247">
        <v>66.66666666666667</v>
      </c>
      <c r="L14" s="215">
        <v>7.0</v>
      </c>
      <c r="M14" s="247">
        <v>58.333333333333336</v>
      </c>
      <c r="N14" s="215">
        <v>6.0</v>
      </c>
      <c r="O14" s="246">
        <v>75.0</v>
      </c>
      <c r="P14" s="249">
        <v>3.0</v>
      </c>
      <c r="Q14" s="250">
        <v>100.0</v>
      </c>
      <c r="R14" s="251">
        <v>3.0</v>
      </c>
      <c r="S14" s="251">
        <v>100.0</v>
      </c>
      <c r="T14" s="252">
        <v>4.0</v>
      </c>
      <c r="U14" s="248">
        <v>80.0</v>
      </c>
      <c r="V14" s="252">
        <v>3.0</v>
      </c>
      <c r="W14" s="246">
        <v>75.0</v>
      </c>
      <c r="X14" s="252">
        <v>3.0</v>
      </c>
      <c r="Y14" s="246">
        <v>60.0</v>
      </c>
      <c r="Z14" s="253">
        <v>73.93939393939394</v>
      </c>
    </row>
    <row r="15" ht="11.25" customHeight="1">
      <c r="A15" s="47">
        <v>5.0</v>
      </c>
      <c r="B15" s="215" t="s">
        <v>311</v>
      </c>
      <c r="C15" s="254" t="s">
        <v>312</v>
      </c>
      <c r="D15" s="215">
        <v>11.0</v>
      </c>
      <c r="E15" s="246">
        <v>55.00000000000001</v>
      </c>
      <c r="F15" s="215">
        <v>14.0</v>
      </c>
      <c r="G15" s="247">
        <v>77.77777777777777</v>
      </c>
      <c r="H15" s="248">
        <v>8.0</v>
      </c>
      <c r="I15" s="248">
        <v>50.0</v>
      </c>
      <c r="J15" s="215">
        <v>10.0</v>
      </c>
      <c r="K15" s="247">
        <v>66.66666666666667</v>
      </c>
      <c r="L15" s="215">
        <v>6.0</v>
      </c>
      <c r="M15" s="247">
        <v>50.0</v>
      </c>
      <c r="N15" s="215">
        <v>4.0</v>
      </c>
      <c r="O15" s="246">
        <v>50.0</v>
      </c>
      <c r="P15" s="249">
        <v>3.0</v>
      </c>
      <c r="Q15" s="250">
        <v>100.0</v>
      </c>
      <c r="R15" s="251">
        <v>2.0</v>
      </c>
      <c r="S15" s="251">
        <v>66.66666666666666</v>
      </c>
      <c r="T15" s="252">
        <v>3.0</v>
      </c>
      <c r="U15" s="248">
        <v>60.0</v>
      </c>
      <c r="V15" s="252">
        <v>2.0</v>
      </c>
      <c r="W15" s="246">
        <v>50.0</v>
      </c>
      <c r="X15" s="252">
        <v>2.0</v>
      </c>
      <c r="Y15" s="246">
        <v>40.0</v>
      </c>
      <c r="Z15" s="253">
        <v>60.55555555555555</v>
      </c>
    </row>
    <row r="16" ht="11.25" customHeight="1">
      <c r="A16" s="47">
        <v>6.0</v>
      </c>
      <c r="B16" s="215" t="s">
        <v>313</v>
      </c>
      <c r="C16" s="254" t="s">
        <v>314</v>
      </c>
      <c r="D16" s="215">
        <v>12.0</v>
      </c>
      <c r="E16" s="246">
        <v>60.0</v>
      </c>
      <c r="F16" s="215">
        <v>16.0</v>
      </c>
      <c r="G16" s="247">
        <v>88.88888888888889</v>
      </c>
      <c r="H16" s="248">
        <v>12.0</v>
      </c>
      <c r="I16" s="248">
        <v>75.0</v>
      </c>
      <c r="J16" s="215">
        <v>9.0</v>
      </c>
      <c r="K16" s="247">
        <v>60.0</v>
      </c>
      <c r="L16" s="215">
        <v>9.0</v>
      </c>
      <c r="M16" s="247">
        <v>75.0</v>
      </c>
      <c r="N16" s="215">
        <v>6.0</v>
      </c>
      <c r="O16" s="246">
        <v>75.0</v>
      </c>
      <c r="P16" s="249">
        <v>2.0</v>
      </c>
      <c r="Q16" s="250">
        <v>67.0</v>
      </c>
      <c r="R16" s="251">
        <v>2.0</v>
      </c>
      <c r="S16" s="251">
        <v>66.66666666666666</v>
      </c>
      <c r="T16" s="252">
        <v>4.0</v>
      </c>
      <c r="U16" s="248">
        <v>80.0</v>
      </c>
      <c r="V16" s="252">
        <v>3.0</v>
      </c>
      <c r="W16" s="246">
        <v>75.0</v>
      </c>
      <c r="X16" s="252">
        <v>4.0</v>
      </c>
      <c r="Y16" s="246">
        <v>80.0</v>
      </c>
      <c r="Z16" s="253">
        <v>72.95959595959596</v>
      </c>
    </row>
    <row r="17" ht="11.25" customHeight="1">
      <c r="A17" s="47">
        <v>7.0</v>
      </c>
      <c r="B17" s="215" t="s">
        <v>315</v>
      </c>
      <c r="C17" s="245" t="s">
        <v>316</v>
      </c>
      <c r="D17" s="215">
        <v>13.0</v>
      </c>
      <c r="E17" s="246">
        <v>65.0</v>
      </c>
      <c r="F17" s="215">
        <v>15.0</v>
      </c>
      <c r="G17" s="247">
        <v>83.33333333333333</v>
      </c>
      <c r="H17" s="248">
        <v>8.0</v>
      </c>
      <c r="I17" s="248">
        <v>50.0</v>
      </c>
      <c r="J17" s="252">
        <v>10.0</v>
      </c>
      <c r="K17" s="251">
        <v>66.66666666666667</v>
      </c>
      <c r="L17" s="252">
        <v>7.0</v>
      </c>
      <c r="M17" s="251">
        <v>58.333333333333336</v>
      </c>
      <c r="N17" s="252">
        <v>6.0</v>
      </c>
      <c r="O17" s="248">
        <v>75.0</v>
      </c>
      <c r="P17" s="249">
        <v>3.0</v>
      </c>
      <c r="Q17" s="255">
        <v>100.0</v>
      </c>
      <c r="R17" s="251">
        <v>3.0</v>
      </c>
      <c r="S17" s="251">
        <v>100.0</v>
      </c>
      <c r="T17" s="252">
        <v>3.0</v>
      </c>
      <c r="U17" s="248">
        <v>75.0</v>
      </c>
      <c r="V17" s="252">
        <v>4.0</v>
      </c>
      <c r="W17" s="246">
        <v>80.0</v>
      </c>
      <c r="X17" s="252">
        <v>3.0</v>
      </c>
      <c r="Y17" s="246">
        <v>60.0</v>
      </c>
      <c r="Z17" s="253">
        <v>73.93939393939394</v>
      </c>
    </row>
    <row r="18" ht="11.25" customHeight="1">
      <c r="A18" s="47">
        <v>8.0</v>
      </c>
      <c r="B18" s="215" t="s">
        <v>317</v>
      </c>
      <c r="C18" s="245" t="s">
        <v>318</v>
      </c>
      <c r="D18" s="215">
        <v>14.0</v>
      </c>
      <c r="E18" s="246">
        <v>70.0</v>
      </c>
      <c r="F18" s="215">
        <v>14.0</v>
      </c>
      <c r="G18" s="247">
        <v>77.77777777777777</v>
      </c>
      <c r="H18" s="248">
        <v>8.0</v>
      </c>
      <c r="I18" s="248">
        <v>50.0</v>
      </c>
      <c r="J18" s="252">
        <v>8.0</v>
      </c>
      <c r="K18" s="251">
        <v>53.333333333333336</v>
      </c>
      <c r="L18" s="252">
        <v>7.0</v>
      </c>
      <c r="M18" s="251">
        <v>58.333333333333336</v>
      </c>
      <c r="N18" s="252">
        <v>5.0</v>
      </c>
      <c r="O18" s="248">
        <v>63.0</v>
      </c>
      <c r="P18" s="249">
        <v>3.0</v>
      </c>
      <c r="Q18" s="255">
        <v>100.0</v>
      </c>
      <c r="R18" s="251">
        <v>2.0</v>
      </c>
      <c r="S18" s="251">
        <v>66.66666666666666</v>
      </c>
      <c r="T18" s="252">
        <v>2.0</v>
      </c>
      <c r="U18" s="248">
        <v>50.0</v>
      </c>
      <c r="V18" s="252">
        <v>3.0</v>
      </c>
      <c r="W18" s="246">
        <v>60.0</v>
      </c>
      <c r="X18" s="252">
        <v>4.0</v>
      </c>
      <c r="Y18" s="246">
        <v>80.0</v>
      </c>
      <c r="Z18" s="253">
        <v>66.28282828282828</v>
      </c>
    </row>
    <row r="19" ht="11.25" customHeight="1">
      <c r="A19" s="47">
        <v>9.0</v>
      </c>
      <c r="B19" s="215" t="s">
        <v>319</v>
      </c>
      <c r="C19" s="254" t="s">
        <v>320</v>
      </c>
      <c r="D19" s="215">
        <v>12.0</v>
      </c>
      <c r="E19" s="246">
        <v>60.0</v>
      </c>
      <c r="F19" s="215">
        <v>11.0</v>
      </c>
      <c r="G19" s="247">
        <v>61.111111111111114</v>
      </c>
      <c r="H19" s="248">
        <v>8.0</v>
      </c>
      <c r="I19" s="248">
        <v>50.0</v>
      </c>
      <c r="J19" s="252">
        <v>11.0</v>
      </c>
      <c r="K19" s="251">
        <v>73.33333333333334</v>
      </c>
      <c r="L19" s="252">
        <v>6.0</v>
      </c>
      <c r="M19" s="251">
        <v>50.0</v>
      </c>
      <c r="N19" s="252">
        <v>6.0</v>
      </c>
      <c r="O19" s="248">
        <v>75.0</v>
      </c>
      <c r="P19" s="249">
        <v>3.0</v>
      </c>
      <c r="Q19" s="250">
        <v>100.0</v>
      </c>
      <c r="R19" s="251">
        <v>3.0</v>
      </c>
      <c r="S19" s="251">
        <v>100.0</v>
      </c>
      <c r="T19" s="252">
        <v>3.0</v>
      </c>
      <c r="U19" s="248">
        <v>75.0</v>
      </c>
      <c r="V19" s="252">
        <v>3.0</v>
      </c>
      <c r="W19" s="248">
        <v>60.0</v>
      </c>
      <c r="X19" s="252">
        <v>3.0</v>
      </c>
      <c r="Y19" s="248">
        <v>60.0</v>
      </c>
      <c r="Z19" s="253">
        <v>69.4949494949495</v>
      </c>
    </row>
    <row r="20" ht="11.25" customHeight="1">
      <c r="A20" s="47">
        <v>10.0</v>
      </c>
      <c r="B20" s="215" t="s">
        <v>321</v>
      </c>
      <c r="C20" s="245" t="s">
        <v>322</v>
      </c>
      <c r="D20" s="215">
        <v>13.0</v>
      </c>
      <c r="E20" s="246">
        <v>65.0</v>
      </c>
      <c r="F20" s="215">
        <v>12.0</v>
      </c>
      <c r="G20" s="247">
        <v>66.66666666666667</v>
      </c>
      <c r="H20" s="248">
        <v>12.0</v>
      </c>
      <c r="I20" s="248">
        <v>75.0</v>
      </c>
      <c r="J20" s="252">
        <v>9.0</v>
      </c>
      <c r="K20" s="251">
        <v>60.0</v>
      </c>
      <c r="L20" s="252">
        <v>7.0</v>
      </c>
      <c r="M20" s="251">
        <v>58.333333333333336</v>
      </c>
      <c r="N20" s="252">
        <v>6.0</v>
      </c>
      <c r="O20" s="248">
        <v>75.0</v>
      </c>
      <c r="P20" s="249">
        <v>3.0</v>
      </c>
      <c r="Q20" s="250">
        <v>100.0</v>
      </c>
      <c r="R20" s="251">
        <v>3.0</v>
      </c>
      <c r="S20" s="251">
        <v>100.0</v>
      </c>
      <c r="T20" s="252">
        <v>3.0</v>
      </c>
      <c r="U20" s="248">
        <v>75.0</v>
      </c>
      <c r="V20" s="252">
        <v>3.0</v>
      </c>
      <c r="W20" s="248">
        <v>60.0</v>
      </c>
      <c r="X20" s="252">
        <v>4.0</v>
      </c>
      <c r="Y20" s="248">
        <v>80.0</v>
      </c>
      <c r="Z20" s="253">
        <v>74.0909090909091</v>
      </c>
    </row>
    <row r="21" ht="11.25" customHeight="1">
      <c r="A21" s="47">
        <v>11.0</v>
      </c>
      <c r="B21" s="215" t="s">
        <v>323</v>
      </c>
      <c r="C21" s="245" t="s">
        <v>324</v>
      </c>
      <c r="D21" s="215">
        <v>11.0</v>
      </c>
      <c r="E21" s="246">
        <v>55.00000000000001</v>
      </c>
      <c r="F21" s="215">
        <v>14.0</v>
      </c>
      <c r="G21" s="247">
        <v>77.77777777777777</v>
      </c>
      <c r="H21" s="248">
        <v>12.0</v>
      </c>
      <c r="I21" s="248">
        <v>75.0</v>
      </c>
      <c r="J21" s="252">
        <v>10.0</v>
      </c>
      <c r="K21" s="251">
        <v>66.66666666666667</v>
      </c>
      <c r="L21" s="252">
        <v>5.0</v>
      </c>
      <c r="M21" s="251">
        <v>41.66666666666667</v>
      </c>
      <c r="N21" s="252">
        <v>6.0</v>
      </c>
      <c r="O21" s="248">
        <v>75.0</v>
      </c>
      <c r="P21" s="249">
        <v>3.0</v>
      </c>
      <c r="Q21" s="250">
        <v>100.0</v>
      </c>
      <c r="R21" s="251">
        <v>3.0</v>
      </c>
      <c r="S21" s="251">
        <v>100.0</v>
      </c>
      <c r="T21" s="252">
        <v>1.0</v>
      </c>
      <c r="U21" s="248">
        <v>25.0</v>
      </c>
      <c r="V21" s="252">
        <v>3.0</v>
      </c>
      <c r="W21" s="246">
        <v>60.0</v>
      </c>
      <c r="X21" s="252">
        <v>2.0</v>
      </c>
      <c r="Y21" s="246">
        <v>40.0</v>
      </c>
      <c r="Z21" s="253">
        <v>65.1010101010101</v>
      </c>
    </row>
    <row r="22" ht="24.0" customHeight="1">
      <c r="A22" s="256" t="s">
        <v>137</v>
      </c>
      <c r="B22" s="186"/>
      <c r="C22" s="257"/>
      <c r="D22" s="258" t="s">
        <v>291</v>
      </c>
      <c r="E22" s="257"/>
      <c r="F22" s="259" t="s">
        <v>292</v>
      </c>
      <c r="G22" s="257"/>
      <c r="H22" s="260" t="s">
        <v>293</v>
      </c>
      <c r="I22" s="261"/>
      <c r="J22" s="259" t="s">
        <v>294</v>
      </c>
      <c r="K22" s="257"/>
      <c r="L22" s="259" t="s">
        <v>295</v>
      </c>
      <c r="M22" s="257"/>
      <c r="N22" s="259" t="s">
        <v>296</v>
      </c>
      <c r="O22" s="257"/>
      <c r="P22" s="262" t="s">
        <v>297</v>
      </c>
      <c r="Q22" s="257"/>
      <c r="R22" s="259" t="s">
        <v>298</v>
      </c>
      <c r="S22" s="257"/>
      <c r="T22" s="259" t="s">
        <v>291</v>
      </c>
      <c r="U22" s="257"/>
      <c r="V22" s="259" t="s">
        <v>292</v>
      </c>
      <c r="W22" s="186"/>
      <c r="X22" s="259" t="s">
        <v>295</v>
      </c>
      <c r="Y22" s="257"/>
      <c r="Z22" s="263"/>
    </row>
    <row r="23" ht="11.25" customHeight="1">
      <c r="A23" s="11"/>
      <c r="B23" s="80"/>
      <c r="C23" s="72"/>
      <c r="D23" s="73"/>
      <c r="E23" s="73"/>
      <c r="F23" s="11"/>
      <c r="G23" s="11"/>
      <c r="H23" s="75"/>
      <c r="I23" s="75"/>
      <c r="J23" s="11"/>
      <c r="K23" s="76"/>
      <c r="L23" s="11"/>
      <c r="M23" s="76"/>
      <c r="N23" s="11"/>
      <c r="O23" s="76"/>
      <c r="P23" s="11"/>
      <c r="Q23" s="11"/>
      <c r="R23" s="11"/>
      <c r="S23" s="231"/>
      <c r="T23" s="11"/>
      <c r="U23" s="11"/>
      <c r="V23" s="11"/>
      <c r="W23" s="11"/>
      <c r="X23" s="202"/>
      <c r="Y23" s="76"/>
      <c r="Z23" s="78"/>
    </row>
    <row r="24" ht="29.25" customHeight="1">
      <c r="A24" s="80"/>
      <c r="B24" s="76"/>
      <c r="C24" s="80" t="s">
        <v>299</v>
      </c>
      <c r="D24" s="76"/>
      <c r="E24" s="76"/>
      <c r="F24" s="232"/>
      <c r="G24" s="2"/>
      <c r="H24" s="76"/>
      <c r="I24" s="233"/>
      <c r="J24" s="11"/>
      <c r="K24" s="11"/>
      <c r="L24" s="234" t="s">
        <v>300</v>
      </c>
      <c r="Q24" s="232"/>
      <c r="R24" s="232"/>
      <c r="S24" s="235"/>
      <c r="T24" s="232"/>
      <c r="U24" s="7"/>
      <c r="V24" s="234" t="s">
        <v>301</v>
      </c>
    </row>
    <row r="25" ht="11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 ht="11.2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ht="11.2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ht="11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ht="11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ht="11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ht="11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ht="11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ht="11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ht="11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ht="11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ht="11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ht="11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ht="11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ht="11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ht="11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ht="11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ht="11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ht="11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ht="11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ht="11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ht="11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ht="11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ht="11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ht="11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ht="11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ht="11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ht="11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ht="11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ht="11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ht="11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ht="11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ht="11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ht="11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ht="11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ht="11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ht="11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ht="11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ht="11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ht="11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ht="11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ht="11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ht="11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ht="11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ht="11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ht="11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ht="11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ht="11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ht="11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ht="11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ht="11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ht="11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ht="11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ht="11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ht="11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ht="11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ht="11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ht="11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ht="11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ht="11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ht="11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ht="11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ht="11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ht="11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ht="11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ht="11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ht="11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ht="11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ht="11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ht="11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ht="11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ht="11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ht="11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ht="11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ht="11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ht="11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ht="11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ht="11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ht="11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ht="11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ht="11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ht="11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ht="11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ht="11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ht="11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ht="11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ht="11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ht="11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ht="11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ht="11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ht="11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ht="11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ht="11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ht="11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ht="11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ht="11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ht="11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ht="11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ht="11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ht="11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ht="11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ht="11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ht="11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ht="11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ht="11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ht="11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ht="11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ht="11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ht="11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ht="11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ht="11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ht="11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ht="11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ht="11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ht="11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ht="11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ht="11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ht="11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ht="11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ht="11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ht="11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ht="11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ht="11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ht="11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H9:H10"/>
    <mergeCell ref="I9:I10"/>
    <mergeCell ref="J9:J10"/>
    <mergeCell ref="K9:K10"/>
    <mergeCell ref="U1:Z1"/>
    <mergeCell ref="A2:Z2"/>
    <mergeCell ref="A3:Z3"/>
    <mergeCell ref="A4:Z4"/>
    <mergeCell ref="X5:Z5"/>
    <mergeCell ref="A7:A10"/>
    <mergeCell ref="Z7:Z10"/>
    <mergeCell ref="B7:B10"/>
    <mergeCell ref="D8:E8"/>
    <mergeCell ref="C9:C10"/>
    <mergeCell ref="D9:D10"/>
    <mergeCell ref="E9:E10"/>
    <mergeCell ref="A22:C22"/>
    <mergeCell ref="D22:E22"/>
    <mergeCell ref="T22:U22"/>
    <mergeCell ref="V22:W22"/>
    <mergeCell ref="X22:Y22"/>
    <mergeCell ref="V24:Z24"/>
    <mergeCell ref="F22:G22"/>
    <mergeCell ref="H22:I22"/>
    <mergeCell ref="J22:K22"/>
    <mergeCell ref="L22:M22"/>
    <mergeCell ref="N22:O22"/>
    <mergeCell ref="P22:Q22"/>
    <mergeCell ref="R22:S22"/>
    <mergeCell ref="L24:P24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conditionalFormatting sqref="U21">
    <cfRule type="notContainsBlanks" dxfId="0" priority="1">
      <formula>LEN(TRIM(U21))&gt;0</formula>
    </cfRule>
  </conditionalFormatting>
  <printOptions/>
  <pageMargins bottom="0.0" footer="0.0" header="0.0" left="0.5" right="0.0" top="0.75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0.0"/>
    <col customWidth="1" min="3" max="3" width="17.63"/>
    <col customWidth="1" min="4" max="4" width="5.88"/>
    <col customWidth="1" min="5" max="5" width="3.88"/>
    <col customWidth="1" min="6" max="6" width="5.63"/>
    <col customWidth="1" min="7" max="7" width="3.88"/>
    <col customWidth="1" min="8" max="8" width="4.88"/>
    <col customWidth="1" min="9" max="9" width="3.88"/>
    <col customWidth="1" min="10" max="10" width="6.0"/>
    <col customWidth="1" min="11" max="11" width="4.13"/>
    <col customWidth="1" min="12" max="12" width="5.0"/>
    <col customWidth="1" min="13" max="13" width="3.88"/>
    <col customWidth="1" min="14" max="14" width="4.38"/>
    <col customWidth="1" min="15" max="16" width="5.13"/>
    <col customWidth="1" min="17" max="17" width="4.13"/>
    <col customWidth="1" min="18" max="18" width="4.38"/>
    <col customWidth="1" min="19" max="19" width="3.88"/>
    <col customWidth="1" min="20" max="20" width="5.38"/>
    <col customWidth="1" min="21" max="21" width="3.88"/>
    <col customWidth="1" min="22" max="22" width="5.13"/>
    <col customWidth="1" min="23" max="23" width="3.38"/>
    <col customWidth="1" min="24" max="24" width="6.13"/>
    <col customWidth="1" min="25" max="25" width="3.88"/>
    <col customWidth="1" min="26" max="26" width="6.63"/>
    <col customWidth="1" min="27" max="27" width="7.88"/>
  </cols>
  <sheetData>
    <row r="1" ht="11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5"/>
      <c r="T1" s="1"/>
      <c r="U1" s="7" t="s">
        <v>263</v>
      </c>
    </row>
    <row r="2" ht="11.25" customHeight="1">
      <c r="A2" s="236" t="s">
        <v>238</v>
      </c>
    </row>
    <row r="3" ht="11.25" customHeight="1">
      <c r="A3" s="11" t="s">
        <v>264</v>
      </c>
    </row>
    <row r="4" ht="11.25" customHeight="1">
      <c r="A4" s="11" t="s">
        <v>265</v>
      </c>
    </row>
    <row r="5" ht="11.25" customHeight="1">
      <c r="A5" s="20"/>
      <c r="B5" s="198" t="s">
        <v>266</v>
      </c>
      <c r="D5" s="20"/>
      <c r="E5" s="20"/>
      <c r="F5" s="20"/>
      <c r="G5" s="20"/>
      <c r="H5" s="20"/>
      <c r="I5" s="20"/>
      <c r="J5" s="20"/>
      <c r="K5" s="199"/>
      <c r="L5" s="20"/>
      <c r="M5" s="20"/>
      <c r="N5" s="76"/>
      <c r="O5" s="76"/>
      <c r="P5" s="76"/>
      <c r="Q5" s="76"/>
      <c r="R5" s="76"/>
      <c r="S5" s="200"/>
      <c r="T5" s="21"/>
      <c r="U5" s="201"/>
      <c r="V5" s="21"/>
      <c r="W5" s="21"/>
      <c r="X5" s="202" t="s">
        <v>267</v>
      </c>
    </row>
    <row r="6" ht="11.25" customHeight="1">
      <c r="A6" s="20"/>
      <c r="B6" s="19" t="s">
        <v>268</v>
      </c>
      <c r="C6" s="20"/>
      <c r="D6" s="76"/>
      <c r="E6" s="20"/>
      <c r="F6" s="20"/>
      <c r="G6" s="20"/>
      <c r="H6" s="20"/>
      <c r="I6" s="20"/>
      <c r="J6" s="20"/>
      <c r="K6" s="199"/>
      <c r="L6" s="19" t="s">
        <v>269</v>
      </c>
      <c r="M6" s="20"/>
      <c r="N6" s="20"/>
      <c r="O6" s="19" t="s">
        <v>270</v>
      </c>
      <c r="P6" s="20"/>
      <c r="Q6" s="20"/>
      <c r="R6" s="20"/>
      <c r="S6" s="200"/>
      <c r="T6" s="21" t="s">
        <v>325</v>
      </c>
      <c r="U6" s="201"/>
      <c r="V6" s="21"/>
      <c r="W6" s="21"/>
      <c r="X6" s="21"/>
      <c r="Y6" s="21"/>
      <c r="Z6" s="21"/>
    </row>
    <row r="7" ht="11.25" customHeight="1">
      <c r="A7" s="204" t="s">
        <v>7</v>
      </c>
      <c r="B7" s="205" t="s">
        <v>8</v>
      </c>
      <c r="C7" s="206" t="s">
        <v>9</v>
      </c>
      <c r="D7" s="207">
        <v>20.0</v>
      </c>
      <c r="E7" s="26"/>
      <c r="F7" s="207">
        <v>18.0</v>
      </c>
      <c r="G7" s="26"/>
      <c r="H7" s="207">
        <v>16.0</v>
      </c>
      <c r="I7" s="26"/>
      <c r="J7" s="207">
        <v>16.0</v>
      </c>
      <c r="K7" s="26"/>
      <c r="L7" s="207">
        <v>12.0</v>
      </c>
      <c r="M7" s="26"/>
      <c r="N7" s="207">
        <v>8.0</v>
      </c>
      <c r="O7" s="26"/>
      <c r="P7" s="208"/>
      <c r="Q7" s="26"/>
      <c r="R7" s="207">
        <v>3.0</v>
      </c>
      <c r="S7" s="26"/>
      <c r="T7" s="207"/>
      <c r="U7" s="26"/>
      <c r="V7" s="207">
        <v>4.0</v>
      </c>
      <c r="W7" s="26"/>
      <c r="X7" s="207">
        <v>5.0</v>
      </c>
      <c r="Y7" s="26"/>
      <c r="Z7" s="209" t="s">
        <v>10</v>
      </c>
    </row>
    <row r="8" ht="22.5" customHeight="1">
      <c r="A8" s="30"/>
      <c r="B8" s="30"/>
      <c r="C8" s="206" t="s">
        <v>273</v>
      </c>
      <c r="D8" s="210" t="s">
        <v>274</v>
      </c>
      <c r="E8" s="26"/>
      <c r="F8" s="210" t="s">
        <v>275</v>
      </c>
      <c r="G8" s="26"/>
      <c r="H8" s="210" t="s">
        <v>276</v>
      </c>
      <c r="I8" s="26"/>
      <c r="J8" s="210" t="s">
        <v>277</v>
      </c>
      <c r="K8" s="26"/>
      <c r="L8" s="210" t="s">
        <v>278</v>
      </c>
      <c r="M8" s="26"/>
      <c r="N8" s="210" t="s">
        <v>279</v>
      </c>
      <c r="O8" s="26"/>
      <c r="P8" s="208" t="s">
        <v>280</v>
      </c>
      <c r="Q8" s="26"/>
      <c r="R8" s="210" t="s">
        <v>281</v>
      </c>
      <c r="S8" s="26"/>
      <c r="T8" s="210" t="s">
        <v>282</v>
      </c>
      <c r="U8" s="26"/>
      <c r="V8" s="210" t="s">
        <v>283</v>
      </c>
      <c r="W8" s="26"/>
      <c r="X8" s="210" t="s">
        <v>284</v>
      </c>
      <c r="Y8" s="26"/>
      <c r="Z8" s="30"/>
    </row>
    <row r="9" ht="11.25" customHeight="1">
      <c r="A9" s="30"/>
      <c r="B9" s="30"/>
      <c r="C9" s="204" t="s">
        <v>29</v>
      </c>
      <c r="D9" s="205" t="s">
        <v>30</v>
      </c>
      <c r="E9" s="205" t="s">
        <v>31</v>
      </c>
      <c r="F9" s="205" t="s">
        <v>30</v>
      </c>
      <c r="G9" s="205" t="s">
        <v>31</v>
      </c>
      <c r="H9" s="205" t="s">
        <v>30</v>
      </c>
      <c r="I9" s="211" t="s">
        <v>31</v>
      </c>
      <c r="J9" s="205" t="s">
        <v>30</v>
      </c>
      <c r="K9" s="205" t="s">
        <v>31</v>
      </c>
      <c r="L9" s="205" t="s">
        <v>30</v>
      </c>
      <c r="M9" s="205" t="s">
        <v>31</v>
      </c>
      <c r="N9" s="205" t="s">
        <v>30</v>
      </c>
      <c r="O9" s="205" t="s">
        <v>31</v>
      </c>
      <c r="P9" s="205" t="s">
        <v>30</v>
      </c>
      <c r="Q9" s="264" t="s">
        <v>31</v>
      </c>
      <c r="R9" s="264" t="s">
        <v>30</v>
      </c>
      <c r="S9" s="265" t="s">
        <v>31</v>
      </c>
      <c r="T9" s="264" t="s">
        <v>30</v>
      </c>
      <c r="U9" s="266" t="s">
        <v>31</v>
      </c>
      <c r="V9" s="267" t="s">
        <v>30</v>
      </c>
      <c r="W9" s="205" t="s">
        <v>31</v>
      </c>
      <c r="X9" s="205" t="s">
        <v>30</v>
      </c>
      <c r="Y9" s="205" t="s">
        <v>31</v>
      </c>
      <c r="Z9" s="30"/>
    </row>
    <row r="10" ht="11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1.25" customHeight="1">
      <c r="A11" s="214">
        <v>1.0</v>
      </c>
      <c r="B11" s="215" t="s">
        <v>326</v>
      </c>
      <c r="C11" s="216" t="s">
        <v>327</v>
      </c>
      <c r="D11" s="215">
        <v>15.0</v>
      </c>
      <c r="E11" s="246">
        <v>75.0</v>
      </c>
      <c r="F11" s="215">
        <v>12.0</v>
      </c>
      <c r="G11" s="247">
        <v>66.66666666666667</v>
      </c>
      <c r="H11" s="248">
        <v>16.0</v>
      </c>
      <c r="I11" s="248">
        <v>100.0</v>
      </c>
      <c r="J11" s="215">
        <v>9.0</v>
      </c>
      <c r="K11" s="247">
        <v>60.0</v>
      </c>
      <c r="L11" s="215">
        <v>10.0</v>
      </c>
      <c r="M11" s="247">
        <v>83.33333333333334</v>
      </c>
      <c r="N11" s="215">
        <v>7.0</v>
      </c>
      <c r="O11" s="246">
        <v>88.0</v>
      </c>
      <c r="P11" s="249">
        <v>2.0</v>
      </c>
      <c r="Q11" s="250">
        <v>67.0</v>
      </c>
      <c r="R11" s="251">
        <v>2.0</v>
      </c>
      <c r="S11" s="251">
        <v>66.66666666666666</v>
      </c>
      <c r="T11" s="252">
        <v>3.0</v>
      </c>
      <c r="U11" s="248">
        <v>60.0</v>
      </c>
      <c r="V11" s="252">
        <v>3.0</v>
      </c>
      <c r="W11" s="246">
        <v>75.0</v>
      </c>
      <c r="X11" s="252">
        <v>4.0</v>
      </c>
      <c r="Y11" s="246">
        <v>80.0</v>
      </c>
      <c r="Z11" s="253">
        <v>74.69696969696969</v>
      </c>
    </row>
    <row r="12" ht="11.25" customHeight="1">
      <c r="A12" s="214">
        <v>2.0</v>
      </c>
      <c r="B12" s="215" t="s">
        <v>328</v>
      </c>
      <c r="C12" s="216" t="s">
        <v>329</v>
      </c>
      <c r="D12" s="215">
        <v>14.0</v>
      </c>
      <c r="E12" s="246">
        <v>70.0</v>
      </c>
      <c r="F12" s="215">
        <v>14.0</v>
      </c>
      <c r="G12" s="247">
        <v>77.77777777777777</v>
      </c>
      <c r="H12" s="248">
        <v>12.0</v>
      </c>
      <c r="I12" s="248">
        <v>75.0</v>
      </c>
      <c r="J12" s="268">
        <v>11.0</v>
      </c>
      <c r="K12" s="247">
        <v>73.33333333333334</v>
      </c>
      <c r="L12" s="215">
        <v>9.0</v>
      </c>
      <c r="M12" s="247">
        <v>75.0</v>
      </c>
      <c r="N12" s="215">
        <v>7.0</v>
      </c>
      <c r="O12" s="246">
        <v>88.0</v>
      </c>
      <c r="P12" s="249">
        <v>2.0</v>
      </c>
      <c r="Q12" s="250">
        <v>67.0</v>
      </c>
      <c r="R12" s="251">
        <v>3.0</v>
      </c>
      <c r="S12" s="251">
        <v>100.0</v>
      </c>
      <c r="T12" s="252">
        <v>5.0</v>
      </c>
      <c r="U12" s="248">
        <v>100.0</v>
      </c>
      <c r="V12" s="252">
        <v>3.0</v>
      </c>
      <c r="W12" s="246">
        <v>75.0</v>
      </c>
      <c r="X12" s="252">
        <v>3.0</v>
      </c>
      <c r="Y12" s="246">
        <v>60.0</v>
      </c>
      <c r="Z12" s="253">
        <v>78.28282828282828</v>
      </c>
    </row>
    <row r="13" ht="11.25" customHeight="1">
      <c r="A13" s="214">
        <v>3.0</v>
      </c>
      <c r="B13" s="215" t="s">
        <v>330</v>
      </c>
      <c r="C13" s="216" t="s">
        <v>331</v>
      </c>
      <c r="D13" s="215">
        <v>16.0</v>
      </c>
      <c r="E13" s="246">
        <v>80.0</v>
      </c>
      <c r="F13" s="215">
        <v>16.0</v>
      </c>
      <c r="G13" s="247">
        <v>88.88888888888889</v>
      </c>
      <c r="H13" s="248">
        <v>12.0</v>
      </c>
      <c r="I13" s="248">
        <v>75.0</v>
      </c>
      <c r="J13" s="252">
        <v>13.0</v>
      </c>
      <c r="K13" s="251">
        <v>86.66666666666667</v>
      </c>
      <c r="L13" s="252">
        <v>8.0</v>
      </c>
      <c r="M13" s="251">
        <v>66.66666666666666</v>
      </c>
      <c r="N13" s="252">
        <v>6.0</v>
      </c>
      <c r="O13" s="248">
        <v>75.0</v>
      </c>
      <c r="P13" s="249">
        <v>3.0</v>
      </c>
      <c r="Q13" s="255">
        <v>100.0</v>
      </c>
      <c r="R13" s="251">
        <v>3.0</v>
      </c>
      <c r="S13" s="251">
        <v>100.0</v>
      </c>
      <c r="T13" s="252">
        <v>3.0</v>
      </c>
      <c r="U13" s="248">
        <v>75.0</v>
      </c>
      <c r="V13" s="252">
        <v>4.0</v>
      </c>
      <c r="W13" s="246">
        <v>80.0</v>
      </c>
      <c r="X13" s="252">
        <v>4.0</v>
      </c>
      <c r="Y13" s="246">
        <v>80.0</v>
      </c>
      <c r="Z13" s="253">
        <v>82.47474747474747</v>
      </c>
    </row>
    <row r="14" ht="11.25" customHeight="1">
      <c r="A14" s="214">
        <v>4.0</v>
      </c>
      <c r="B14" s="215" t="s">
        <v>332</v>
      </c>
      <c r="C14" s="216" t="s">
        <v>333</v>
      </c>
      <c r="D14" s="215">
        <v>17.0</v>
      </c>
      <c r="E14" s="246">
        <v>85.0</v>
      </c>
      <c r="F14" s="215">
        <v>16.0</v>
      </c>
      <c r="G14" s="247">
        <v>88.88888888888889</v>
      </c>
      <c r="H14" s="248">
        <v>12.0</v>
      </c>
      <c r="I14" s="248">
        <v>75.0</v>
      </c>
      <c r="J14" s="252">
        <v>13.0</v>
      </c>
      <c r="K14" s="251">
        <v>86.66666666666667</v>
      </c>
      <c r="L14" s="252">
        <v>8.0</v>
      </c>
      <c r="M14" s="251">
        <v>66.66666666666666</v>
      </c>
      <c r="N14" s="252">
        <v>7.0</v>
      </c>
      <c r="O14" s="248">
        <v>88.0</v>
      </c>
      <c r="P14" s="249">
        <v>3.0</v>
      </c>
      <c r="Q14" s="250">
        <v>100.0</v>
      </c>
      <c r="R14" s="251">
        <v>3.0</v>
      </c>
      <c r="S14" s="251">
        <v>100.0</v>
      </c>
      <c r="T14" s="252">
        <v>3.0</v>
      </c>
      <c r="U14" s="248">
        <v>75.0</v>
      </c>
      <c r="V14" s="252">
        <v>4.0</v>
      </c>
      <c r="W14" s="248">
        <v>80.0</v>
      </c>
      <c r="X14" s="252">
        <v>2.0</v>
      </c>
      <c r="Y14" s="248">
        <v>40.0</v>
      </c>
      <c r="Z14" s="253">
        <v>80.47474747474747</v>
      </c>
    </row>
    <row r="15" ht="11.25" customHeight="1">
      <c r="A15" s="214">
        <v>5.0</v>
      </c>
      <c r="B15" s="215" t="s">
        <v>334</v>
      </c>
      <c r="C15" s="216" t="s">
        <v>335</v>
      </c>
      <c r="D15" s="215">
        <v>16.0</v>
      </c>
      <c r="E15" s="246">
        <v>80.0</v>
      </c>
      <c r="F15" s="215">
        <v>14.0</v>
      </c>
      <c r="G15" s="247">
        <v>77.77777777777777</v>
      </c>
      <c r="H15" s="248">
        <v>16.0</v>
      </c>
      <c r="I15" s="248">
        <v>100.0</v>
      </c>
      <c r="J15" s="252">
        <v>13.0</v>
      </c>
      <c r="K15" s="251">
        <v>86.66666666666667</v>
      </c>
      <c r="L15" s="252">
        <v>8.0</v>
      </c>
      <c r="M15" s="251">
        <v>66.66666666666666</v>
      </c>
      <c r="N15" s="252">
        <v>6.0</v>
      </c>
      <c r="O15" s="248">
        <v>75.0</v>
      </c>
      <c r="P15" s="249">
        <v>3.0</v>
      </c>
      <c r="Q15" s="250">
        <v>100.0</v>
      </c>
      <c r="R15" s="251">
        <v>3.0</v>
      </c>
      <c r="S15" s="251">
        <v>100.0</v>
      </c>
      <c r="T15" s="252">
        <v>3.0</v>
      </c>
      <c r="U15" s="248">
        <v>75.0</v>
      </c>
      <c r="V15" s="252">
        <v>5.0</v>
      </c>
      <c r="W15" s="248">
        <v>100.0</v>
      </c>
      <c r="X15" s="252">
        <v>3.0</v>
      </c>
      <c r="Y15" s="248">
        <v>60.0</v>
      </c>
      <c r="Z15" s="253">
        <v>83.73737373737373</v>
      </c>
    </row>
    <row r="16" ht="11.25" customHeight="1">
      <c r="A16" s="214">
        <v>6.0</v>
      </c>
      <c r="B16" s="215" t="s">
        <v>336</v>
      </c>
      <c r="C16" s="216" t="s">
        <v>337</v>
      </c>
      <c r="D16" s="215">
        <v>16.0</v>
      </c>
      <c r="E16" s="246">
        <v>80.0</v>
      </c>
      <c r="F16" s="215">
        <v>13.0</v>
      </c>
      <c r="G16" s="247">
        <v>72.22222222222223</v>
      </c>
      <c r="H16" s="248">
        <v>8.0</v>
      </c>
      <c r="I16" s="248">
        <v>50.0</v>
      </c>
      <c r="J16" s="252">
        <v>13.0</v>
      </c>
      <c r="K16" s="251">
        <v>86.66666666666667</v>
      </c>
      <c r="L16" s="252">
        <v>9.0</v>
      </c>
      <c r="M16" s="251">
        <v>75.0</v>
      </c>
      <c r="N16" s="252">
        <v>8.0</v>
      </c>
      <c r="O16" s="248">
        <v>100.0</v>
      </c>
      <c r="P16" s="249">
        <v>3.0</v>
      </c>
      <c r="Q16" s="250">
        <v>100.0</v>
      </c>
      <c r="R16" s="251">
        <v>3.0</v>
      </c>
      <c r="S16" s="251">
        <v>100.0</v>
      </c>
      <c r="T16" s="252">
        <v>4.0</v>
      </c>
      <c r="U16" s="248">
        <v>100.0</v>
      </c>
      <c r="V16" s="252">
        <v>3.0</v>
      </c>
      <c r="W16" s="248">
        <v>60.0</v>
      </c>
      <c r="X16" s="252">
        <v>2.0</v>
      </c>
      <c r="Y16" s="248">
        <v>40.0</v>
      </c>
      <c r="Z16" s="253">
        <v>78.53535353535354</v>
      </c>
    </row>
    <row r="17" ht="11.25" customHeight="1">
      <c r="A17" s="214">
        <v>7.0</v>
      </c>
      <c r="B17" s="215" t="s">
        <v>338</v>
      </c>
      <c r="C17" s="216" t="s">
        <v>339</v>
      </c>
      <c r="D17" s="215">
        <v>15.0</v>
      </c>
      <c r="E17" s="246">
        <v>75.0</v>
      </c>
      <c r="F17" s="215">
        <v>14.0</v>
      </c>
      <c r="G17" s="247">
        <v>77.77777777777777</v>
      </c>
      <c r="H17" s="248">
        <v>12.0</v>
      </c>
      <c r="I17" s="248">
        <v>75.0</v>
      </c>
      <c r="J17" s="252">
        <v>12.0</v>
      </c>
      <c r="K17" s="251">
        <v>80.0</v>
      </c>
      <c r="L17" s="252">
        <v>8.0</v>
      </c>
      <c r="M17" s="251">
        <v>66.66666666666666</v>
      </c>
      <c r="N17" s="252">
        <v>6.0</v>
      </c>
      <c r="O17" s="248">
        <v>75.0</v>
      </c>
      <c r="P17" s="249">
        <v>3.0</v>
      </c>
      <c r="Q17" s="250">
        <v>100.0</v>
      </c>
      <c r="R17" s="251">
        <v>3.0</v>
      </c>
      <c r="S17" s="251">
        <v>100.0</v>
      </c>
      <c r="T17" s="252">
        <v>4.0</v>
      </c>
      <c r="U17" s="248">
        <v>100.0</v>
      </c>
      <c r="V17" s="252">
        <v>3.0</v>
      </c>
      <c r="W17" s="248">
        <v>60.0</v>
      </c>
      <c r="X17" s="252">
        <v>5.0</v>
      </c>
      <c r="Y17" s="248">
        <v>100.0</v>
      </c>
      <c r="Z17" s="253">
        <v>82.67676767676768</v>
      </c>
    </row>
    <row r="18" ht="11.25" customHeight="1">
      <c r="A18" s="214">
        <v>9.0</v>
      </c>
      <c r="B18" s="215" t="s">
        <v>340</v>
      </c>
      <c r="C18" s="216" t="s">
        <v>341</v>
      </c>
      <c r="D18" s="215">
        <v>16.0</v>
      </c>
      <c r="E18" s="246">
        <v>80.0</v>
      </c>
      <c r="F18" s="215">
        <v>16.0</v>
      </c>
      <c r="G18" s="247">
        <v>88.88888888888889</v>
      </c>
      <c r="H18" s="248">
        <v>12.0</v>
      </c>
      <c r="I18" s="248">
        <v>75.0</v>
      </c>
      <c r="J18" s="252">
        <v>13.0</v>
      </c>
      <c r="K18" s="251">
        <v>86.66666666666667</v>
      </c>
      <c r="L18" s="252">
        <v>7.0</v>
      </c>
      <c r="M18" s="251">
        <v>58.333333333333336</v>
      </c>
      <c r="N18" s="252">
        <v>6.0</v>
      </c>
      <c r="O18" s="248">
        <v>75.0</v>
      </c>
      <c r="P18" s="249">
        <v>3.0</v>
      </c>
      <c r="Q18" s="250">
        <v>100.0</v>
      </c>
      <c r="R18" s="251">
        <v>3.0</v>
      </c>
      <c r="S18" s="251">
        <v>100.0</v>
      </c>
      <c r="T18" s="252">
        <v>4.0</v>
      </c>
      <c r="U18" s="248">
        <v>100.0</v>
      </c>
      <c r="V18" s="252">
        <v>3.0</v>
      </c>
      <c r="W18" s="248">
        <v>60.0</v>
      </c>
      <c r="X18" s="252">
        <v>4.0</v>
      </c>
      <c r="Y18" s="248">
        <v>80.0</v>
      </c>
      <c r="Z18" s="253">
        <v>82.17171717171718</v>
      </c>
    </row>
    <row r="19" ht="11.25" customHeight="1">
      <c r="A19" s="214">
        <v>10.0</v>
      </c>
      <c r="B19" s="215" t="s">
        <v>342</v>
      </c>
      <c r="C19" s="216" t="s">
        <v>343</v>
      </c>
      <c r="D19" s="215">
        <v>16.0</v>
      </c>
      <c r="E19" s="246">
        <v>80.0</v>
      </c>
      <c r="F19" s="215">
        <v>14.0</v>
      </c>
      <c r="G19" s="247">
        <v>77.77777777777777</v>
      </c>
      <c r="H19" s="248">
        <v>12.0</v>
      </c>
      <c r="I19" s="248">
        <v>75.0</v>
      </c>
      <c r="J19" s="252">
        <v>15.0</v>
      </c>
      <c r="K19" s="251">
        <v>100.0</v>
      </c>
      <c r="L19" s="252">
        <v>8.0</v>
      </c>
      <c r="M19" s="251">
        <v>66.66666666666666</v>
      </c>
      <c r="N19" s="252">
        <v>7.0</v>
      </c>
      <c r="O19" s="248">
        <v>88.0</v>
      </c>
      <c r="P19" s="249">
        <v>3.0</v>
      </c>
      <c r="Q19" s="250">
        <v>100.0</v>
      </c>
      <c r="R19" s="251">
        <v>3.0</v>
      </c>
      <c r="S19" s="251">
        <v>100.0</v>
      </c>
      <c r="T19" s="252">
        <v>3.0</v>
      </c>
      <c r="U19" s="248">
        <v>75.0</v>
      </c>
      <c r="V19" s="252">
        <v>4.0</v>
      </c>
      <c r="W19" s="248">
        <v>80.0</v>
      </c>
      <c r="X19" s="252">
        <v>4.0</v>
      </c>
      <c r="Y19" s="248">
        <v>80.0</v>
      </c>
      <c r="Z19" s="253">
        <v>83.85858585858585</v>
      </c>
    </row>
    <row r="20" ht="11.25" customHeight="1">
      <c r="A20" s="214">
        <v>11.0</v>
      </c>
      <c r="B20" s="215" t="s">
        <v>344</v>
      </c>
      <c r="C20" s="216" t="s">
        <v>345</v>
      </c>
      <c r="D20" s="215">
        <v>16.0</v>
      </c>
      <c r="E20" s="246">
        <v>80.0</v>
      </c>
      <c r="F20" s="215">
        <v>13.0</v>
      </c>
      <c r="G20" s="247">
        <v>72.22222222222223</v>
      </c>
      <c r="H20" s="248">
        <v>12.0</v>
      </c>
      <c r="I20" s="248">
        <v>75.0</v>
      </c>
      <c r="J20" s="252">
        <v>13.0</v>
      </c>
      <c r="K20" s="251">
        <v>86.66666666666667</v>
      </c>
      <c r="L20" s="252">
        <v>7.0</v>
      </c>
      <c r="M20" s="251">
        <v>58.333333333333336</v>
      </c>
      <c r="N20" s="252">
        <v>5.0</v>
      </c>
      <c r="O20" s="248">
        <v>63.0</v>
      </c>
      <c r="P20" s="249">
        <v>3.0</v>
      </c>
      <c r="Q20" s="250">
        <v>100.0</v>
      </c>
      <c r="R20" s="251">
        <v>2.0</v>
      </c>
      <c r="S20" s="251">
        <v>66.66666666666666</v>
      </c>
      <c r="T20" s="252">
        <v>4.0</v>
      </c>
      <c r="U20" s="248">
        <v>100.0</v>
      </c>
      <c r="V20" s="252">
        <v>3.0</v>
      </c>
      <c r="W20" s="248">
        <v>60.0</v>
      </c>
      <c r="X20" s="252">
        <v>4.0</v>
      </c>
      <c r="Y20" s="248">
        <v>80.0</v>
      </c>
      <c r="Z20" s="253">
        <v>76.53535353535352</v>
      </c>
    </row>
    <row r="21" ht="11.25" customHeight="1">
      <c r="A21" s="214">
        <v>12.0</v>
      </c>
      <c r="B21" s="215" t="s">
        <v>346</v>
      </c>
      <c r="C21" s="216" t="s">
        <v>347</v>
      </c>
      <c r="D21" s="215">
        <v>14.0</v>
      </c>
      <c r="E21" s="246">
        <v>70.0</v>
      </c>
      <c r="F21" s="215">
        <v>17.0</v>
      </c>
      <c r="G21" s="247">
        <v>94.44444444444444</v>
      </c>
      <c r="H21" s="248">
        <v>16.0</v>
      </c>
      <c r="I21" s="248">
        <v>100.0</v>
      </c>
      <c r="J21" s="252">
        <v>12.0</v>
      </c>
      <c r="K21" s="251">
        <v>80.0</v>
      </c>
      <c r="L21" s="252">
        <v>6.0</v>
      </c>
      <c r="M21" s="251">
        <v>50.0</v>
      </c>
      <c r="N21" s="252">
        <v>5.0</v>
      </c>
      <c r="O21" s="248">
        <v>63.0</v>
      </c>
      <c r="P21" s="249">
        <v>3.0</v>
      </c>
      <c r="Q21" s="250">
        <v>100.0</v>
      </c>
      <c r="R21" s="251">
        <v>3.0</v>
      </c>
      <c r="S21" s="251">
        <v>100.0</v>
      </c>
      <c r="T21" s="252">
        <v>4.0</v>
      </c>
      <c r="U21" s="248">
        <v>100.0</v>
      </c>
      <c r="V21" s="252">
        <v>3.0</v>
      </c>
      <c r="W21" s="248">
        <v>60.0</v>
      </c>
      <c r="X21" s="252">
        <v>4.0</v>
      </c>
      <c r="Y21" s="248">
        <v>80.0</v>
      </c>
      <c r="Z21" s="253">
        <v>81.58585858585859</v>
      </c>
    </row>
    <row r="22" ht="11.25" customHeight="1">
      <c r="A22" s="214">
        <v>13.0</v>
      </c>
      <c r="B22" s="215" t="s">
        <v>348</v>
      </c>
      <c r="C22" s="216" t="s">
        <v>349</v>
      </c>
      <c r="D22" s="252">
        <v>11.0</v>
      </c>
      <c r="E22" s="248">
        <v>55.00000000000001</v>
      </c>
      <c r="F22" s="252">
        <v>14.0</v>
      </c>
      <c r="G22" s="251">
        <v>77.77777777777777</v>
      </c>
      <c r="H22" s="248">
        <v>12.0</v>
      </c>
      <c r="I22" s="248">
        <v>75.0</v>
      </c>
      <c r="J22" s="252">
        <v>11.0</v>
      </c>
      <c r="K22" s="251">
        <v>73.33333333333334</v>
      </c>
      <c r="L22" s="252">
        <v>7.0</v>
      </c>
      <c r="M22" s="251">
        <v>58.333333333333336</v>
      </c>
      <c r="N22" s="252">
        <v>6.0</v>
      </c>
      <c r="O22" s="248">
        <v>75.0</v>
      </c>
      <c r="P22" s="249">
        <v>3.0</v>
      </c>
      <c r="Q22" s="250">
        <v>100.0</v>
      </c>
      <c r="R22" s="251">
        <v>3.0</v>
      </c>
      <c r="S22" s="251">
        <v>100.0</v>
      </c>
      <c r="T22" s="252">
        <v>3.0</v>
      </c>
      <c r="U22" s="248">
        <v>75.0</v>
      </c>
      <c r="V22" s="252">
        <v>3.0</v>
      </c>
      <c r="W22" s="248">
        <v>60.0</v>
      </c>
      <c r="X22" s="252">
        <v>4.0</v>
      </c>
      <c r="Y22" s="248">
        <v>80.0</v>
      </c>
      <c r="Z22" s="269">
        <v>75.4040404040404</v>
      </c>
    </row>
    <row r="23" ht="11.25" customHeight="1">
      <c r="A23" s="214">
        <v>14.0</v>
      </c>
      <c r="B23" s="215" t="s">
        <v>350</v>
      </c>
      <c r="C23" s="216" t="s">
        <v>351</v>
      </c>
      <c r="D23" s="252">
        <v>17.0</v>
      </c>
      <c r="E23" s="248">
        <v>85.0</v>
      </c>
      <c r="F23" s="252">
        <v>17.0</v>
      </c>
      <c r="G23" s="251">
        <v>94.44444444444444</v>
      </c>
      <c r="H23" s="248">
        <v>16.0</v>
      </c>
      <c r="I23" s="248">
        <v>100.0</v>
      </c>
      <c r="J23" s="252">
        <v>9.0</v>
      </c>
      <c r="K23" s="251">
        <v>60.0</v>
      </c>
      <c r="L23" s="252">
        <v>7.0</v>
      </c>
      <c r="M23" s="251">
        <v>58.333333333333336</v>
      </c>
      <c r="N23" s="252">
        <v>5.0</v>
      </c>
      <c r="O23" s="248">
        <v>63.0</v>
      </c>
      <c r="P23" s="249">
        <v>3.0</v>
      </c>
      <c r="Q23" s="250">
        <v>100.0</v>
      </c>
      <c r="R23" s="251">
        <v>3.0</v>
      </c>
      <c r="S23" s="251">
        <v>100.0</v>
      </c>
      <c r="T23" s="252">
        <v>4.0</v>
      </c>
      <c r="U23" s="248">
        <v>100.0</v>
      </c>
      <c r="V23" s="252">
        <v>3.0</v>
      </c>
      <c r="W23" s="248">
        <v>60.0</v>
      </c>
      <c r="X23" s="252">
        <v>5.0</v>
      </c>
      <c r="Y23" s="248">
        <v>100.0</v>
      </c>
      <c r="Z23" s="269">
        <v>83.70707070707071</v>
      </c>
    </row>
    <row r="24" ht="10.5" customHeight="1">
      <c r="A24" s="270">
        <v>15.0</v>
      </c>
      <c r="B24" s="271" t="s">
        <v>352</v>
      </c>
      <c r="C24" s="272" t="s">
        <v>353</v>
      </c>
      <c r="D24" s="273">
        <v>14.0</v>
      </c>
      <c r="E24" s="274">
        <v>70.0</v>
      </c>
      <c r="F24" s="273">
        <v>16.0</v>
      </c>
      <c r="G24" s="275">
        <v>88.88888888888889</v>
      </c>
      <c r="H24" s="274">
        <v>16.0</v>
      </c>
      <c r="I24" s="274">
        <v>100.0</v>
      </c>
      <c r="J24" s="273">
        <v>10.0</v>
      </c>
      <c r="K24" s="275">
        <v>66.66666666666667</v>
      </c>
      <c r="L24" s="276">
        <v>7.0</v>
      </c>
      <c r="M24" s="275">
        <v>58.333333333333336</v>
      </c>
      <c r="N24" s="273">
        <v>6.0</v>
      </c>
      <c r="O24" s="274">
        <v>75.0</v>
      </c>
      <c r="P24" s="277">
        <v>3.0</v>
      </c>
      <c r="Q24" s="278">
        <v>100.0</v>
      </c>
      <c r="R24" s="275">
        <v>3.0</v>
      </c>
      <c r="S24" s="275">
        <v>100.0</v>
      </c>
      <c r="T24" s="273">
        <v>2.0</v>
      </c>
      <c r="U24" s="274">
        <v>50.0</v>
      </c>
      <c r="V24" s="273">
        <v>3.0</v>
      </c>
      <c r="W24" s="274">
        <v>60.0</v>
      </c>
      <c r="X24" s="273">
        <v>4.0</v>
      </c>
      <c r="Y24" s="274">
        <v>80.0</v>
      </c>
      <c r="Z24" s="279">
        <v>77.17171717171718</v>
      </c>
    </row>
    <row r="25" ht="24.0" customHeight="1">
      <c r="A25" s="226" t="s">
        <v>137</v>
      </c>
      <c r="B25" s="227"/>
      <c r="C25" s="26"/>
      <c r="D25" s="258" t="s">
        <v>291</v>
      </c>
      <c r="E25" s="257"/>
      <c r="F25" s="259" t="s">
        <v>292</v>
      </c>
      <c r="G25" s="257"/>
      <c r="H25" s="260" t="s">
        <v>293</v>
      </c>
      <c r="I25" s="261"/>
      <c r="J25" s="259" t="s">
        <v>294</v>
      </c>
      <c r="K25" s="257"/>
      <c r="L25" s="259" t="s">
        <v>295</v>
      </c>
      <c r="M25" s="257"/>
      <c r="N25" s="259" t="s">
        <v>296</v>
      </c>
      <c r="O25" s="257"/>
      <c r="P25" s="262" t="s">
        <v>297</v>
      </c>
      <c r="Q25" s="257"/>
      <c r="R25" s="259" t="s">
        <v>298</v>
      </c>
      <c r="S25" s="257"/>
      <c r="T25" s="259" t="s">
        <v>291</v>
      </c>
      <c r="U25" s="257"/>
      <c r="V25" s="259" t="s">
        <v>292</v>
      </c>
      <c r="W25" s="186"/>
      <c r="X25" s="259" t="s">
        <v>295</v>
      </c>
      <c r="Y25" s="257"/>
      <c r="Z25" s="263"/>
    </row>
    <row r="26" ht="11.25" customHeight="1">
      <c r="A26" s="11"/>
      <c r="B26" s="80"/>
      <c r="C26" s="72"/>
      <c r="D26" s="73"/>
      <c r="E26" s="73"/>
      <c r="F26" s="11"/>
      <c r="G26" s="11"/>
      <c r="H26" s="75"/>
      <c r="I26" s="75"/>
      <c r="J26" s="11"/>
      <c r="K26" s="76"/>
      <c r="L26" s="11"/>
      <c r="M26" s="76"/>
      <c r="N26" s="11"/>
      <c r="O26" s="76"/>
      <c r="P26" s="11"/>
      <c r="Q26" s="11"/>
      <c r="R26" s="11"/>
      <c r="S26" s="231"/>
      <c r="T26" s="11"/>
      <c r="U26" s="11"/>
      <c r="V26" s="11"/>
      <c r="W26" s="11"/>
      <c r="X26" s="202"/>
      <c r="Y26" s="76"/>
      <c r="Z26" s="78"/>
    </row>
    <row r="27" ht="29.25" customHeight="1">
      <c r="A27" s="80"/>
      <c r="B27" s="76"/>
      <c r="C27" s="80" t="s">
        <v>299</v>
      </c>
      <c r="D27" s="76"/>
      <c r="E27" s="76"/>
      <c r="F27" s="232"/>
      <c r="G27" s="2"/>
      <c r="H27" s="76"/>
      <c r="I27" s="233"/>
      <c r="J27" s="11"/>
      <c r="K27" s="11"/>
      <c r="L27" s="234" t="s">
        <v>300</v>
      </c>
      <c r="Q27" s="232"/>
      <c r="R27" s="232"/>
      <c r="S27" s="235"/>
      <c r="T27" s="232"/>
      <c r="U27" s="7"/>
      <c r="V27" s="234" t="s">
        <v>301</v>
      </c>
    </row>
    <row r="28" ht="11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ht="11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ht="11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ht="11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ht="11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ht="11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ht="11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ht="11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ht="11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ht="11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ht="11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ht="11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ht="11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ht="11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ht="11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ht="11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ht="11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ht="11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ht="11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ht="11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ht="11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ht="11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ht="11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ht="11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ht="11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ht="11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ht="11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ht="11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ht="11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ht="11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ht="11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ht="11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ht="11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ht="11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ht="11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ht="11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ht="11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ht="11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ht="11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ht="11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ht="11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ht="11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ht="11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ht="11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ht="11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ht="11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ht="11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ht="11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ht="11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ht="11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ht="11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ht="11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ht="11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ht="11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ht="11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ht="11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ht="11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ht="11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ht="11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ht="11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ht="11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ht="11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ht="11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ht="11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ht="11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ht="11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ht="11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ht="11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ht="11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ht="11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ht="11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ht="11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ht="11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ht="11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ht="11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ht="11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ht="11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ht="11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ht="11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ht="11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ht="11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ht="11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ht="11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ht="11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ht="11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ht="11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ht="11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ht="11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ht="11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ht="11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ht="11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ht="11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ht="11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ht="11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ht="11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ht="11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ht="11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ht="11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ht="11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ht="11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ht="11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ht="11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ht="11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ht="11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ht="11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ht="11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ht="11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ht="11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ht="11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ht="11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ht="11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ht="11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ht="11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ht="11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ht="11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ht="11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ht="11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ht="11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ht="11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ht="11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ht="11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ht="11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 ht="11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 ht="11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H9:H10"/>
    <mergeCell ref="I9:I10"/>
    <mergeCell ref="J9:J10"/>
    <mergeCell ref="K9:K10"/>
    <mergeCell ref="U1:Z1"/>
    <mergeCell ref="A2:Z2"/>
    <mergeCell ref="A3:Z3"/>
    <mergeCell ref="A4:Z4"/>
    <mergeCell ref="X5:Z5"/>
    <mergeCell ref="A7:A10"/>
    <mergeCell ref="Z7:Z10"/>
    <mergeCell ref="B7:B10"/>
    <mergeCell ref="D8:E8"/>
    <mergeCell ref="C9:C10"/>
    <mergeCell ref="D9:D10"/>
    <mergeCell ref="E9:E10"/>
    <mergeCell ref="A25:C25"/>
    <mergeCell ref="D25:E25"/>
    <mergeCell ref="T25:U25"/>
    <mergeCell ref="V25:W25"/>
    <mergeCell ref="X25:Y25"/>
    <mergeCell ref="V27:Z27"/>
    <mergeCell ref="F25:G25"/>
    <mergeCell ref="H25:I25"/>
    <mergeCell ref="J25:K25"/>
    <mergeCell ref="L25:M25"/>
    <mergeCell ref="N25:O25"/>
    <mergeCell ref="P25:Q25"/>
    <mergeCell ref="R25:S25"/>
    <mergeCell ref="L27:P27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conditionalFormatting sqref="U24">
    <cfRule type="notContainsBlanks" dxfId="0" priority="1">
      <formula>LEN(TRIM(U24))&gt;0</formula>
    </cfRule>
  </conditionalFormatting>
  <printOptions/>
  <pageMargins bottom="0.75" footer="0.0" header="0.0" left="0.75" right="0.0" top="0.75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1.13"/>
    <col customWidth="1" min="3" max="3" width="26.38"/>
    <col customWidth="1" min="4" max="8" width="3.88"/>
    <col customWidth="1" min="9" max="9" width="4.88"/>
    <col customWidth="1" min="10" max="16" width="3.88"/>
    <col customWidth="1" min="17" max="17" width="4.63"/>
    <col customWidth="1" min="18" max="22" width="3.88"/>
    <col customWidth="1" min="23" max="23" width="4.0"/>
    <col customWidth="1" min="24" max="24" width="3.88"/>
    <col customWidth="1" min="25" max="25" width="4.88"/>
    <col customWidth="1" min="26" max="26" width="5.38"/>
    <col customWidth="1" min="27" max="27" width="7.88"/>
  </cols>
  <sheetData>
    <row r="1" ht="11.25" customHeight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1"/>
      <c r="T1" s="280"/>
      <c r="U1" s="282" t="s">
        <v>263</v>
      </c>
    </row>
    <row r="2" ht="24.0" customHeight="1">
      <c r="A2" s="283" t="s">
        <v>238</v>
      </c>
    </row>
    <row r="3" ht="15.75" customHeight="1">
      <c r="A3" s="234" t="s">
        <v>264</v>
      </c>
    </row>
    <row r="4" ht="18.0" customHeight="1">
      <c r="A4" s="234" t="s">
        <v>265</v>
      </c>
    </row>
    <row r="5" ht="8.25" customHeight="1">
      <c r="A5" s="284"/>
      <c r="B5" s="285" t="s">
        <v>266</v>
      </c>
      <c r="D5" s="284"/>
      <c r="E5" s="284"/>
      <c r="F5" s="284"/>
      <c r="G5" s="284"/>
      <c r="H5" s="284"/>
      <c r="I5" s="284"/>
      <c r="J5" s="284"/>
      <c r="K5" s="286"/>
      <c r="L5" s="284"/>
      <c r="M5" s="284"/>
      <c r="N5" s="287"/>
      <c r="O5" s="287"/>
      <c r="P5" s="287"/>
      <c r="Q5" s="287"/>
      <c r="R5" s="287"/>
      <c r="S5" s="288"/>
      <c r="T5" s="234"/>
      <c r="U5" s="289"/>
      <c r="V5" s="234"/>
      <c r="W5" s="234"/>
      <c r="X5" s="290" t="s">
        <v>267</v>
      </c>
    </row>
    <row r="6" ht="8.25" customHeight="1">
      <c r="A6" s="284"/>
      <c r="B6" s="291" t="s">
        <v>268</v>
      </c>
      <c r="C6" s="284"/>
      <c r="D6" s="287"/>
      <c r="E6" s="284"/>
      <c r="F6" s="284"/>
      <c r="G6" s="284"/>
      <c r="H6" s="284"/>
      <c r="I6" s="284"/>
      <c r="J6" s="284"/>
      <c r="K6" s="286"/>
      <c r="L6" s="291" t="s">
        <v>269</v>
      </c>
      <c r="M6" s="284"/>
      <c r="N6" s="284"/>
      <c r="O6" s="291" t="s">
        <v>270</v>
      </c>
      <c r="P6" s="284"/>
      <c r="Q6" s="284"/>
      <c r="R6" s="284"/>
      <c r="S6" s="288"/>
      <c r="T6" s="234" t="s">
        <v>354</v>
      </c>
      <c r="U6" s="289"/>
      <c r="V6" s="234"/>
      <c r="W6" s="234"/>
      <c r="X6" s="234"/>
      <c r="Y6" s="234"/>
      <c r="Z6" s="234"/>
    </row>
    <row r="7" ht="11.25" customHeight="1">
      <c r="A7" s="292" t="s">
        <v>7</v>
      </c>
      <c r="B7" s="293" t="s">
        <v>8</v>
      </c>
      <c r="C7" s="294" t="s">
        <v>9</v>
      </c>
      <c r="D7" s="226">
        <v>20.0</v>
      </c>
      <c r="E7" s="26"/>
      <c r="F7" s="226">
        <v>18.0</v>
      </c>
      <c r="G7" s="26"/>
      <c r="H7" s="226">
        <v>16.0</v>
      </c>
      <c r="I7" s="26"/>
      <c r="J7" s="226">
        <v>16.0</v>
      </c>
      <c r="K7" s="26"/>
      <c r="L7" s="226">
        <v>12.0</v>
      </c>
      <c r="M7" s="26"/>
      <c r="N7" s="226">
        <v>8.0</v>
      </c>
      <c r="O7" s="26"/>
      <c r="P7" s="208">
        <v>3.0</v>
      </c>
      <c r="Q7" s="26"/>
      <c r="R7" s="226">
        <v>3.0</v>
      </c>
      <c r="S7" s="26"/>
      <c r="T7" s="226" t="s">
        <v>355</v>
      </c>
      <c r="U7" s="26"/>
      <c r="V7" s="226" t="s">
        <v>356</v>
      </c>
      <c r="W7" s="26"/>
      <c r="X7" s="226" t="s">
        <v>357</v>
      </c>
      <c r="Y7" s="26"/>
      <c r="Z7" s="295" t="s">
        <v>10</v>
      </c>
    </row>
    <row r="8" ht="23.25" customHeight="1">
      <c r="A8" s="30"/>
      <c r="B8" s="30"/>
      <c r="C8" s="294" t="s">
        <v>273</v>
      </c>
      <c r="D8" s="296" t="s">
        <v>274</v>
      </c>
      <c r="E8" s="26"/>
      <c r="F8" s="296" t="s">
        <v>275</v>
      </c>
      <c r="G8" s="26"/>
      <c r="H8" s="296" t="s">
        <v>276</v>
      </c>
      <c r="I8" s="26"/>
      <c r="J8" s="296" t="s">
        <v>277</v>
      </c>
      <c r="K8" s="26"/>
      <c r="L8" s="296" t="s">
        <v>278</v>
      </c>
      <c r="M8" s="26"/>
      <c r="N8" s="296" t="s">
        <v>279</v>
      </c>
      <c r="O8" s="26"/>
      <c r="P8" s="208" t="s">
        <v>280</v>
      </c>
      <c r="Q8" s="26"/>
      <c r="R8" s="296" t="s">
        <v>281</v>
      </c>
      <c r="S8" s="26"/>
      <c r="T8" s="296" t="s">
        <v>282</v>
      </c>
      <c r="U8" s="26"/>
      <c r="V8" s="296" t="s">
        <v>283</v>
      </c>
      <c r="W8" s="26"/>
      <c r="X8" s="296" t="s">
        <v>284</v>
      </c>
      <c r="Y8" s="26"/>
      <c r="Z8" s="30"/>
    </row>
    <row r="9" ht="5.25" customHeight="1">
      <c r="A9" s="30"/>
      <c r="B9" s="30"/>
      <c r="C9" s="292" t="s">
        <v>29</v>
      </c>
      <c r="D9" s="293" t="s">
        <v>30</v>
      </c>
      <c r="E9" s="293" t="s">
        <v>31</v>
      </c>
      <c r="F9" s="293" t="s">
        <v>30</v>
      </c>
      <c r="G9" s="293" t="s">
        <v>31</v>
      </c>
      <c r="H9" s="293" t="s">
        <v>30</v>
      </c>
      <c r="I9" s="297" t="s">
        <v>31</v>
      </c>
      <c r="J9" s="293" t="s">
        <v>30</v>
      </c>
      <c r="K9" s="293" t="s">
        <v>31</v>
      </c>
      <c r="L9" s="293" t="s">
        <v>30</v>
      </c>
      <c r="M9" s="293" t="s">
        <v>31</v>
      </c>
      <c r="N9" s="293" t="s">
        <v>30</v>
      </c>
      <c r="O9" s="293" t="s">
        <v>31</v>
      </c>
      <c r="P9" s="293" t="s">
        <v>30</v>
      </c>
      <c r="Q9" s="297" t="s">
        <v>31</v>
      </c>
      <c r="R9" s="297" t="s">
        <v>30</v>
      </c>
      <c r="S9" s="298" t="s">
        <v>31</v>
      </c>
      <c r="T9" s="297" t="s">
        <v>30</v>
      </c>
      <c r="U9" s="299" t="s">
        <v>31</v>
      </c>
      <c r="V9" s="293" t="s">
        <v>30</v>
      </c>
      <c r="W9" s="293" t="s">
        <v>31</v>
      </c>
      <c r="X9" s="293" t="s">
        <v>30</v>
      </c>
      <c r="Y9" s="293" t="s">
        <v>31</v>
      </c>
      <c r="Z9" s="30"/>
    </row>
    <row r="10" ht="8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30"/>
    </row>
    <row r="11" ht="9.75" customHeight="1">
      <c r="A11" s="300">
        <v>1.0</v>
      </c>
      <c r="B11" s="301" t="s">
        <v>358</v>
      </c>
      <c r="C11" s="302" t="s">
        <v>359</v>
      </c>
      <c r="D11" s="215">
        <v>19.0</v>
      </c>
      <c r="E11" s="215">
        <v>95.0</v>
      </c>
      <c r="F11" s="215">
        <v>18.0</v>
      </c>
      <c r="G11" s="303">
        <v>100.0</v>
      </c>
      <c r="H11" s="252">
        <v>16.0</v>
      </c>
      <c r="I11" s="252">
        <v>100.0</v>
      </c>
      <c r="J11" s="215">
        <v>14.0</v>
      </c>
      <c r="K11" s="303">
        <v>93.33333333333334</v>
      </c>
      <c r="L11" s="215">
        <v>11.0</v>
      </c>
      <c r="M11" s="303">
        <v>91.66666666666666</v>
      </c>
      <c r="N11" s="215">
        <v>8.0</v>
      </c>
      <c r="O11" s="215">
        <v>100.0</v>
      </c>
      <c r="P11" s="269">
        <v>3.0</v>
      </c>
      <c r="Q11" s="252">
        <v>100.0</v>
      </c>
      <c r="R11" s="304">
        <v>3.0</v>
      </c>
      <c r="S11" s="304">
        <v>100.0</v>
      </c>
      <c r="T11" s="252">
        <v>5.0</v>
      </c>
      <c r="U11" s="252">
        <v>100.0</v>
      </c>
      <c r="V11" s="252">
        <v>4.0</v>
      </c>
      <c r="W11" s="215">
        <v>100.0</v>
      </c>
      <c r="X11" s="252">
        <v>5.0</v>
      </c>
      <c r="Y11" s="215">
        <v>100.0</v>
      </c>
      <c r="Z11" s="269">
        <v>98.18181818181819</v>
      </c>
    </row>
    <row r="12" ht="9.75" customHeight="1">
      <c r="A12" s="300">
        <v>2.0</v>
      </c>
      <c r="B12" s="301" t="s">
        <v>360</v>
      </c>
      <c r="C12" s="302" t="s">
        <v>361</v>
      </c>
      <c r="D12" s="215">
        <v>18.0</v>
      </c>
      <c r="E12" s="215">
        <v>90.0</v>
      </c>
      <c r="F12" s="215">
        <v>18.0</v>
      </c>
      <c r="G12" s="303">
        <v>100.0</v>
      </c>
      <c r="H12" s="252">
        <v>16.0</v>
      </c>
      <c r="I12" s="252">
        <v>100.0</v>
      </c>
      <c r="J12" s="215">
        <v>14.0</v>
      </c>
      <c r="K12" s="303">
        <v>93.33333333333334</v>
      </c>
      <c r="L12" s="215">
        <v>10.0</v>
      </c>
      <c r="M12" s="303">
        <v>83.33333333333334</v>
      </c>
      <c r="N12" s="215">
        <v>7.0</v>
      </c>
      <c r="O12" s="215">
        <v>88.0</v>
      </c>
      <c r="P12" s="269">
        <v>3.0</v>
      </c>
      <c r="Q12" s="252">
        <v>100.0</v>
      </c>
      <c r="R12" s="304">
        <v>3.0</v>
      </c>
      <c r="S12" s="304">
        <v>100.0</v>
      </c>
      <c r="T12" s="252">
        <v>3.0</v>
      </c>
      <c r="U12" s="252">
        <v>60.0</v>
      </c>
      <c r="V12" s="252">
        <v>4.0</v>
      </c>
      <c r="W12" s="215">
        <v>100.0</v>
      </c>
      <c r="X12" s="252">
        <v>5.0</v>
      </c>
      <c r="Y12" s="215">
        <v>100.0</v>
      </c>
      <c r="Z12" s="269">
        <v>92.24242424242425</v>
      </c>
    </row>
    <row r="13" ht="9.75" customHeight="1">
      <c r="A13" s="300">
        <v>3.0</v>
      </c>
      <c r="B13" s="301" t="s">
        <v>362</v>
      </c>
      <c r="C13" s="302" t="s">
        <v>363</v>
      </c>
      <c r="D13" s="215">
        <v>18.0</v>
      </c>
      <c r="E13" s="215">
        <v>90.0</v>
      </c>
      <c r="F13" s="215">
        <v>17.0</v>
      </c>
      <c r="G13" s="303">
        <v>94.44444444444444</v>
      </c>
      <c r="H13" s="252">
        <v>12.0</v>
      </c>
      <c r="I13" s="252">
        <v>75.0</v>
      </c>
      <c r="J13" s="215">
        <v>14.0</v>
      </c>
      <c r="K13" s="303">
        <v>93.33333333333334</v>
      </c>
      <c r="L13" s="215">
        <v>12.0</v>
      </c>
      <c r="M13" s="303">
        <v>100.0</v>
      </c>
      <c r="N13" s="215">
        <v>7.0</v>
      </c>
      <c r="O13" s="215">
        <v>88.0</v>
      </c>
      <c r="P13" s="269">
        <v>2.0</v>
      </c>
      <c r="Q13" s="252">
        <v>67.0</v>
      </c>
      <c r="R13" s="304">
        <v>3.0</v>
      </c>
      <c r="S13" s="304">
        <v>100.0</v>
      </c>
      <c r="T13" s="252">
        <v>5.0</v>
      </c>
      <c r="U13" s="252">
        <v>100.0</v>
      </c>
      <c r="V13" s="252">
        <v>4.0</v>
      </c>
      <c r="W13" s="215">
        <v>100.0</v>
      </c>
      <c r="X13" s="252">
        <v>5.0</v>
      </c>
      <c r="Y13" s="215">
        <v>100.0</v>
      </c>
      <c r="Z13" s="269">
        <v>91.61616161616162</v>
      </c>
    </row>
    <row r="14" ht="9.75" customHeight="1">
      <c r="A14" s="300">
        <v>4.0</v>
      </c>
      <c r="B14" s="301" t="s">
        <v>364</v>
      </c>
      <c r="C14" s="305" t="s">
        <v>365</v>
      </c>
      <c r="D14" s="215">
        <v>19.0</v>
      </c>
      <c r="E14" s="215">
        <v>95.0</v>
      </c>
      <c r="F14" s="215">
        <v>17.0</v>
      </c>
      <c r="G14" s="303">
        <v>94.44444444444444</v>
      </c>
      <c r="H14" s="252">
        <v>16.0</v>
      </c>
      <c r="I14" s="252">
        <v>100.0</v>
      </c>
      <c r="J14" s="215">
        <v>15.0</v>
      </c>
      <c r="K14" s="303">
        <v>100.0</v>
      </c>
      <c r="L14" s="215">
        <v>10.0</v>
      </c>
      <c r="M14" s="303">
        <v>83.33333333333334</v>
      </c>
      <c r="N14" s="215">
        <v>7.0</v>
      </c>
      <c r="O14" s="215">
        <v>88.0</v>
      </c>
      <c r="P14" s="269">
        <v>3.0</v>
      </c>
      <c r="Q14" s="252">
        <v>100.0</v>
      </c>
      <c r="R14" s="304">
        <v>3.0</v>
      </c>
      <c r="S14" s="304">
        <v>100.0</v>
      </c>
      <c r="T14" s="252">
        <v>4.0</v>
      </c>
      <c r="U14" s="252">
        <v>80.0</v>
      </c>
      <c r="V14" s="252">
        <v>4.0</v>
      </c>
      <c r="W14" s="215">
        <v>100.0</v>
      </c>
      <c r="X14" s="252">
        <v>4.0</v>
      </c>
      <c r="Y14" s="215">
        <v>80.0</v>
      </c>
      <c r="Z14" s="269">
        <v>92.7979797979798</v>
      </c>
    </row>
    <row r="15" ht="9.75" customHeight="1">
      <c r="A15" s="300">
        <v>5.0</v>
      </c>
      <c r="B15" s="301" t="s">
        <v>366</v>
      </c>
      <c r="C15" s="302" t="s">
        <v>367</v>
      </c>
      <c r="D15" s="215">
        <v>16.0</v>
      </c>
      <c r="E15" s="215">
        <v>80.0</v>
      </c>
      <c r="F15" s="215">
        <v>16.0</v>
      </c>
      <c r="G15" s="303">
        <v>88.88888888888889</v>
      </c>
      <c r="H15" s="252">
        <v>16.0</v>
      </c>
      <c r="I15" s="252">
        <v>100.0</v>
      </c>
      <c r="J15" s="215">
        <v>13.0</v>
      </c>
      <c r="K15" s="303">
        <v>86.66666666666667</v>
      </c>
      <c r="L15" s="215">
        <v>11.0</v>
      </c>
      <c r="M15" s="303">
        <v>91.66666666666666</v>
      </c>
      <c r="N15" s="215">
        <v>5.0</v>
      </c>
      <c r="O15" s="215">
        <v>63.0</v>
      </c>
      <c r="P15" s="269">
        <v>3.0</v>
      </c>
      <c r="Q15" s="252">
        <v>100.0</v>
      </c>
      <c r="R15" s="304">
        <v>3.0</v>
      </c>
      <c r="S15" s="304">
        <v>100.0</v>
      </c>
      <c r="T15" s="252">
        <v>5.0</v>
      </c>
      <c r="U15" s="252">
        <v>100.0</v>
      </c>
      <c r="V15" s="252">
        <v>4.0</v>
      </c>
      <c r="W15" s="215">
        <v>100.0</v>
      </c>
      <c r="X15" s="252">
        <v>3.0</v>
      </c>
      <c r="Y15" s="215">
        <v>60.0</v>
      </c>
      <c r="Z15" s="269">
        <v>88.20202020202021</v>
      </c>
    </row>
    <row r="16" ht="9.75" customHeight="1">
      <c r="A16" s="300">
        <v>6.0</v>
      </c>
      <c r="B16" s="301" t="s">
        <v>368</v>
      </c>
      <c r="C16" s="302" t="s">
        <v>369</v>
      </c>
      <c r="D16" s="215">
        <v>17.0</v>
      </c>
      <c r="E16" s="215">
        <v>85.0</v>
      </c>
      <c r="F16" s="215">
        <v>15.0</v>
      </c>
      <c r="G16" s="303">
        <v>83.33333333333333</v>
      </c>
      <c r="H16" s="252">
        <v>12.0</v>
      </c>
      <c r="I16" s="252">
        <v>75.0</v>
      </c>
      <c r="J16" s="215">
        <v>15.0</v>
      </c>
      <c r="K16" s="303">
        <v>100.0</v>
      </c>
      <c r="L16" s="215">
        <v>8.0</v>
      </c>
      <c r="M16" s="303">
        <v>66.66666666666666</v>
      </c>
      <c r="N16" s="215">
        <v>7.0</v>
      </c>
      <c r="O16" s="215">
        <v>88.0</v>
      </c>
      <c r="P16" s="269">
        <v>3.0</v>
      </c>
      <c r="Q16" s="252">
        <v>100.0</v>
      </c>
      <c r="R16" s="304">
        <v>3.0</v>
      </c>
      <c r="S16" s="304">
        <v>100.0</v>
      </c>
      <c r="T16" s="252">
        <v>5.0</v>
      </c>
      <c r="U16" s="252">
        <v>100.0</v>
      </c>
      <c r="V16" s="252">
        <v>4.0</v>
      </c>
      <c r="W16" s="215">
        <v>100.0</v>
      </c>
      <c r="X16" s="252">
        <v>3.0</v>
      </c>
      <c r="Y16" s="215">
        <v>60.0</v>
      </c>
      <c r="Z16" s="269">
        <v>87.0909090909091</v>
      </c>
    </row>
    <row r="17" ht="9.75" customHeight="1">
      <c r="A17" s="300">
        <v>7.0</v>
      </c>
      <c r="B17" s="301" t="s">
        <v>370</v>
      </c>
      <c r="C17" s="302" t="s">
        <v>371</v>
      </c>
      <c r="D17" s="215">
        <v>19.0</v>
      </c>
      <c r="E17" s="215">
        <v>95.0</v>
      </c>
      <c r="F17" s="215">
        <v>17.0</v>
      </c>
      <c r="G17" s="303">
        <v>94.44444444444444</v>
      </c>
      <c r="H17" s="252">
        <v>16.0</v>
      </c>
      <c r="I17" s="252">
        <v>100.0</v>
      </c>
      <c r="J17" s="215">
        <v>16.0</v>
      </c>
      <c r="K17" s="303">
        <v>106.66666666666667</v>
      </c>
      <c r="L17" s="215">
        <v>10.0</v>
      </c>
      <c r="M17" s="303">
        <v>83.33333333333334</v>
      </c>
      <c r="N17" s="215">
        <v>7.0</v>
      </c>
      <c r="O17" s="215">
        <v>88.0</v>
      </c>
      <c r="P17" s="269">
        <v>3.0</v>
      </c>
      <c r="Q17" s="252">
        <v>100.0</v>
      </c>
      <c r="R17" s="304">
        <v>3.0</v>
      </c>
      <c r="S17" s="304">
        <v>100.0</v>
      </c>
      <c r="T17" s="252">
        <v>5.0</v>
      </c>
      <c r="U17" s="252">
        <v>100.0</v>
      </c>
      <c r="V17" s="252">
        <v>3.0</v>
      </c>
      <c r="W17" s="215">
        <v>75.0</v>
      </c>
      <c r="X17" s="252">
        <v>3.0</v>
      </c>
      <c r="Y17" s="215">
        <v>60.0</v>
      </c>
      <c r="Z17" s="269">
        <v>91.13131313131314</v>
      </c>
    </row>
    <row r="18" ht="9.75" customHeight="1">
      <c r="A18" s="300">
        <v>8.0</v>
      </c>
      <c r="B18" s="301" t="s">
        <v>372</v>
      </c>
      <c r="C18" s="302" t="s">
        <v>373</v>
      </c>
      <c r="D18" s="215">
        <v>17.0</v>
      </c>
      <c r="E18" s="215">
        <v>85.0</v>
      </c>
      <c r="F18" s="215">
        <v>18.0</v>
      </c>
      <c r="G18" s="303">
        <v>100.0</v>
      </c>
      <c r="H18" s="252">
        <v>16.0</v>
      </c>
      <c r="I18" s="252">
        <v>100.0</v>
      </c>
      <c r="J18" s="215">
        <v>13.0</v>
      </c>
      <c r="K18" s="303">
        <v>86.66666666666667</v>
      </c>
      <c r="L18" s="215">
        <v>8.0</v>
      </c>
      <c r="M18" s="303">
        <v>66.66666666666666</v>
      </c>
      <c r="N18" s="215">
        <v>6.0</v>
      </c>
      <c r="O18" s="215">
        <v>75.0</v>
      </c>
      <c r="P18" s="269">
        <v>3.0</v>
      </c>
      <c r="Q18" s="252">
        <v>100.0</v>
      </c>
      <c r="R18" s="304">
        <v>3.0</v>
      </c>
      <c r="S18" s="304">
        <v>100.0</v>
      </c>
      <c r="T18" s="252">
        <v>5.0</v>
      </c>
      <c r="U18" s="252">
        <v>100.0</v>
      </c>
      <c r="V18" s="252">
        <v>4.0</v>
      </c>
      <c r="W18" s="215">
        <v>100.0</v>
      </c>
      <c r="X18" s="252">
        <v>3.0</v>
      </c>
      <c r="Y18" s="215">
        <v>60.0</v>
      </c>
      <c r="Z18" s="269">
        <v>88.48484848484848</v>
      </c>
    </row>
    <row r="19" ht="9.75" customHeight="1">
      <c r="A19" s="300">
        <v>9.0</v>
      </c>
      <c r="B19" s="301" t="s">
        <v>374</v>
      </c>
      <c r="C19" s="305" t="s">
        <v>375</v>
      </c>
      <c r="D19" s="215">
        <v>16.0</v>
      </c>
      <c r="E19" s="215">
        <v>80.0</v>
      </c>
      <c r="F19" s="215">
        <v>18.0</v>
      </c>
      <c r="G19" s="303">
        <v>100.0</v>
      </c>
      <c r="H19" s="252">
        <v>16.0</v>
      </c>
      <c r="I19" s="252">
        <v>100.0</v>
      </c>
      <c r="J19" s="215">
        <v>13.0</v>
      </c>
      <c r="K19" s="303">
        <v>86.66666666666667</v>
      </c>
      <c r="L19" s="215">
        <v>8.0</v>
      </c>
      <c r="M19" s="303">
        <v>66.66666666666666</v>
      </c>
      <c r="N19" s="215">
        <v>6.0</v>
      </c>
      <c r="O19" s="215">
        <v>75.0</v>
      </c>
      <c r="P19" s="269">
        <v>3.0</v>
      </c>
      <c r="Q19" s="252">
        <v>100.0</v>
      </c>
      <c r="R19" s="304">
        <v>3.0</v>
      </c>
      <c r="S19" s="303">
        <v>100.0</v>
      </c>
      <c r="T19" s="252">
        <v>5.0</v>
      </c>
      <c r="U19" s="215">
        <v>100.0</v>
      </c>
      <c r="V19" s="252">
        <v>4.0</v>
      </c>
      <c r="W19" s="215">
        <v>100.0</v>
      </c>
      <c r="X19" s="252">
        <v>4.0</v>
      </c>
      <c r="Y19" s="215">
        <v>80.0</v>
      </c>
      <c r="Z19" s="269">
        <v>89.84848484848486</v>
      </c>
    </row>
    <row r="20" ht="9.75" customHeight="1">
      <c r="A20" s="300">
        <v>10.0</v>
      </c>
      <c r="B20" s="306" t="s">
        <v>376</v>
      </c>
      <c r="C20" s="302" t="s">
        <v>377</v>
      </c>
      <c r="D20" s="215">
        <v>17.0</v>
      </c>
      <c r="E20" s="215">
        <v>85.0</v>
      </c>
      <c r="F20" s="215">
        <v>18.0</v>
      </c>
      <c r="G20" s="303">
        <v>100.0</v>
      </c>
      <c r="H20" s="252">
        <v>16.0</v>
      </c>
      <c r="I20" s="252">
        <v>100.0</v>
      </c>
      <c r="J20" s="215">
        <v>13.0</v>
      </c>
      <c r="K20" s="303">
        <v>86.66666666666667</v>
      </c>
      <c r="L20" s="215">
        <v>7.0</v>
      </c>
      <c r="M20" s="303">
        <v>58.333333333333336</v>
      </c>
      <c r="N20" s="215">
        <v>6.0</v>
      </c>
      <c r="O20" s="215">
        <v>75.0</v>
      </c>
      <c r="P20" s="269">
        <v>3.0</v>
      </c>
      <c r="Q20" s="252">
        <v>100.0</v>
      </c>
      <c r="R20" s="304">
        <v>3.0</v>
      </c>
      <c r="S20" s="303">
        <v>100.0</v>
      </c>
      <c r="T20" s="252">
        <v>5.0</v>
      </c>
      <c r="U20" s="215">
        <v>100.0</v>
      </c>
      <c r="V20" s="252">
        <v>4.0</v>
      </c>
      <c r="W20" s="215">
        <v>100.0</v>
      </c>
      <c r="X20" s="252">
        <v>3.0</v>
      </c>
      <c r="Y20" s="215">
        <v>60.0</v>
      </c>
      <c r="Z20" s="269">
        <v>87.72727272727273</v>
      </c>
    </row>
    <row r="21" ht="9.75" customHeight="1">
      <c r="A21" s="307">
        <v>11.0</v>
      </c>
      <c r="B21" s="308" t="s">
        <v>378</v>
      </c>
      <c r="C21" s="302" t="s">
        <v>379</v>
      </c>
      <c r="D21" s="215">
        <v>20.0</v>
      </c>
      <c r="E21" s="215">
        <v>100.0</v>
      </c>
      <c r="F21" s="215">
        <v>18.0</v>
      </c>
      <c r="G21" s="303">
        <v>100.0</v>
      </c>
      <c r="H21" s="252">
        <v>16.0</v>
      </c>
      <c r="I21" s="252">
        <v>100.0</v>
      </c>
      <c r="J21" s="252">
        <v>13.0</v>
      </c>
      <c r="K21" s="304">
        <v>86.66666666666667</v>
      </c>
      <c r="L21" s="252">
        <v>12.0</v>
      </c>
      <c r="M21" s="304">
        <v>100.0</v>
      </c>
      <c r="N21" s="252">
        <v>8.0</v>
      </c>
      <c r="O21" s="252">
        <v>100.0</v>
      </c>
      <c r="P21" s="269">
        <v>3.0</v>
      </c>
      <c r="Q21" s="252">
        <v>100.0</v>
      </c>
      <c r="R21" s="304">
        <v>3.0</v>
      </c>
      <c r="S21" s="304">
        <v>100.0</v>
      </c>
      <c r="T21" s="252">
        <v>4.0</v>
      </c>
      <c r="U21" s="252">
        <v>100.0</v>
      </c>
      <c r="V21" s="252">
        <v>5.0</v>
      </c>
      <c r="W21" s="215">
        <v>100.0</v>
      </c>
      <c r="X21" s="252">
        <v>5.0</v>
      </c>
      <c r="Y21" s="215">
        <v>100.0</v>
      </c>
      <c r="Z21" s="269">
        <v>98.7878787878788</v>
      </c>
    </row>
    <row r="22" ht="9.75" customHeight="1">
      <c r="A22" s="307">
        <v>12.0</v>
      </c>
      <c r="B22" s="308" t="s">
        <v>380</v>
      </c>
      <c r="C22" s="305" t="s">
        <v>381</v>
      </c>
      <c r="D22" s="215">
        <v>15.0</v>
      </c>
      <c r="E22" s="215">
        <v>75.0</v>
      </c>
      <c r="F22" s="215">
        <v>17.0</v>
      </c>
      <c r="G22" s="303">
        <v>94.44444444444444</v>
      </c>
      <c r="H22" s="252">
        <v>16.0</v>
      </c>
      <c r="I22" s="252">
        <v>100.0</v>
      </c>
      <c r="J22" s="252">
        <v>12.0</v>
      </c>
      <c r="K22" s="304">
        <v>80.0</v>
      </c>
      <c r="L22" s="252">
        <v>7.0</v>
      </c>
      <c r="M22" s="304">
        <v>58.333333333333336</v>
      </c>
      <c r="N22" s="252">
        <v>6.0</v>
      </c>
      <c r="O22" s="252">
        <v>75.0</v>
      </c>
      <c r="P22" s="269">
        <v>3.0</v>
      </c>
      <c r="Q22" s="252">
        <v>100.0</v>
      </c>
      <c r="R22" s="304">
        <v>3.0</v>
      </c>
      <c r="S22" s="304">
        <v>100.0</v>
      </c>
      <c r="T22" s="252">
        <v>3.0</v>
      </c>
      <c r="U22" s="252">
        <v>75.0</v>
      </c>
      <c r="V22" s="252">
        <v>5.0</v>
      </c>
      <c r="W22" s="215">
        <v>100.0</v>
      </c>
      <c r="X22" s="252">
        <v>4.0</v>
      </c>
      <c r="Y22" s="215">
        <v>80.0</v>
      </c>
      <c r="Z22" s="269">
        <v>85.25252525252526</v>
      </c>
    </row>
    <row r="23" ht="9.75" customHeight="1">
      <c r="A23" s="307">
        <v>13.0</v>
      </c>
      <c r="B23" s="308" t="s">
        <v>382</v>
      </c>
      <c r="C23" s="302" t="s">
        <v>383</v>
      </c>
      <c r="D23" s="215">
        <v>18.0</v>
      </c>
      <c r="E23" s="215">
        <v>90.0</v>
      </c>
      <c r="F23" s="215">
        <v>15.0</v>
      </c>
      <c r="G23" s="303">
        <v>83.33333333333333</v>
      </c>
      <c r="H23" s="252">
        <v>16.0</v>
      </c>
      <c r="I23" s="252">
        <v>100.0</v>
      </c>
      <c r="J23" s="252">
        <v>14.0</v>
      </c>
      <c r="K23" s="304">
        <v>93.33333333333334</v>
      </c>
      <c r="L23" s="252">
        <v>8.0</v>
      </c>
      <c r="M23" s="304">
        <v>66.66666666666666</v>
      </c>
      <c r="N23" s="252">
        <v>7.0</v>
      </c>
      <c r="O23" s="252">
        <v>88.0</v>
      </c>
      <c r="P23" s="269">
        <v>3.0</v>
      </c>
      <c r="Q23" s="252">
        <v>100.0</v>
      </c>
      <c r="R23" s="304">
        <v>3.0</v>
      </c>
      <c r="S23" s="304">
        <v>100.0</v>
      </c>
      <c r="T23" s="252">
        <v>4.0</v>
      </c>
      <c r="U23" s="252">
        <v>100.0</v>
      </c>
      <c r="V23" s="252">
        <v>4.0</v>
      </c>
      <c r="W23" s="215">
        <v>80.0</v>
      </c>
      <c r="X23" s="252">
        <v>4.0</v>
      </c>
      <c r="Y23" s="215">
        <v>80.0</v>
      </c>
      <c r="Z23" s="269">
        <v>89.2121212121212</v>
      </c>
    </row>
    <row r="24" ht="9.75" customHeight="1">
      <c r="A24" s="307">
        <v>14.0</v>
      </c>
      <c r="B24" s="308" t="s">
        <v>384</v>
      </c>
      <c r="C24" s="302" t="s">
        <v>385</v>
      </c>
      <c r="D24" s="215">
        <v>20.0</v>
      </c>
      <c r="E24" s="215">
        <v>100.0</v>
      </c>
      <c r="F24" s="215">
        <v>18.0</v>
      </c>
      <c r="G24" s="303">
        <v>100.0</v>
      </c>
      <c r="H24" s="252">
        <v>16.0</v>
      </c>
      <c r="I24" s="252">
        <v>100.0</v>
      </c>
      <c r="J24" s="252">
        <v>15.0</v>
      </c>
      <c r="K24" s="304">
        <v>100.0</v>
      </c>
      <c r="L24" s="252">
        <v>12.0</v>
      </c>
      <c r="M24" s="304">
        <v>100.0</v>
      </c>
      <c r="N24" s="252">
        <v>8.0</v>
      </c>
      <c r="O24" s="252">
        <v>100.0</v>
      </c>
      <c r="P24" s="269">
        <v>3.0</v>
      </c>
      <c r="Q24" s="252">
        <v>100.0</v>
      </c>
      <c r="R24" s="304">
        <v>3.0</v>
      </c>
      <c r="S24" s="304">
        <v>100.0</v>
      </c>
      <c r="T24" s="252">
        <v>4.0</v>
      </c>
      <c r="U24" s="252">
        <v>100.0</v>
      </c>
      <c r="V24" s="252">
        <v>5.0</v>
      </c>
      <c r="W24" s="215">
        <v>100.0</v>
      </c>
      <c r="X24" s="252">
        <v>5.0</v>
      </c>
      <c r="Y24" s="215">
        <v>100.0</v>
      </c>
      <c r="Z24" s="269">
        <v>100.0</v>
      </c>
    </row>
    <row r="25" ht="9.75" customHeight="1">
      <c r="A25" s="307">
        <v>15.0</v>
      </c>
      <c r="B25" s="308" t="s">
        <v>386</v>
      </c>
      <c r="C25" s="302" t="s">
        <v>387</v>
      </c>
      <c r="D25" s="215">
        <v>15.0</v>
      </c>
      <c r="E25" s="215">
        <v>75.0</v>
      </c>
      <c r="F25" s="215">
        <v>16.0</v>
      </c>
      <c r="G25" s="303">
        <v>88.88888888888889</v>
      </c>
      <c r="H25" s="252">
        <v>12.0</v>
      </c>
      <c r="I25" s="252">
        <v>75.0</v>
      </c>
      <c r="J25" s="252">
        <v>14.0</v>
      </c>
      <c r="K25" s="304">
        <v>93.33333333333334</v>
      </c>
      <c r="L25" s="252">
        <v>9.0</v>
      </c>
      <c r="M25" s="304">
        <v>75.0</v>
      </c>
      <c r="N25" s="252">
        <v>7.0</v>
      </c>
      <c r="O25" s="252">
        <v>88.0</v>
      </c>
      <c r="P25" s="269">
        <v>3.0</v>
      </c>
      <c r="Q25" s="252">
        <v>100.0</v>
      </c>
      <c r="R25" s="304">
        <v>3.0</v>
      </c>
      <c r="S25" s="304">
        <v>100.0</v>
      </c>
      <c r="T25" s="252">
        <v>4.0</v>
      </c>
      <c r="U25" s="252">
        <v>100.0</v>
      </c>
      <c r="V25" s="252">
        <v>5.0</v>
      </c>
      <c r="W25" s="215">
        <v>100.0</v>
      </c>
      <c r="X25" s="252">
        <v>3.0</v>
      </c>
      <c r="Y25" s="215">
        <v>60.0</v>
      </c>
      <c r="Z25" s="269">
        <v>86.83838383838383</v>
      </c>
    </row>
    <row r="26" ht="9.75" customHeight="1">
      <c r="A26" s="307">
        <v>16.0</v>
      </c>
      <c r="B26" s="308" t="s">
        <v>388</v>
      </c>
      <c r="C26" s="302" t="s">
        <v>389</v>
      </c>
      <c r="D26" s="215">
        <v>17.0</v>
      </c>
      <c r="E26" s="215">
        <v>85.0</v>
      </c>
      <c r="F26" s="215">
        <v>18.0</v>
      </c>
      <c r="G26" s="303">
        <v>100.0</v>
      </c>
      <c r="H26" s="252">
        <v>16.0</v>
      </c>
      <c r="I26" s="252">
        <v>100.0</v>
      </c>
      <c r="J26" s="252">
        <v>13.0</v>
      </c>
      <c r="K26" s="304">
        <v>86.66666666666667</v>
      </c>
      <c r="L26" s="252">
        <v>7.0</v>
      </c>
      <c r="M26" s="304">
        <v>58.333333333333336</v>
      </c>
      <c r="N26" s="252">
        <v>6.0</v>
      </c>
      <c r="O26" s="252">
        <v>75.0</v>
      </c>
      <c r="P26" s="269">
        <v>3.0</v>
      </c>
      <c r="Q26" s="252">
        <v>100.0</v>
      </c>
      <c r="R26" s="304">
        <v>3.0</v>
      </c>
      <c r="S26" s="304">
        <v>100.0</v>
      </c>
      <c r="T26" s="252">
        <v>3.0</v>
      </c>
      <c r="U26" s="252">
        <v>75.0</v>
      </c>
      <c r="V26" s="252">
        <v>5.0</v>
      </c>
      <c r="W26" s="215">
        <v>100.0</v>
      </c>
      <c r="X26" s="252">
        <v>4.0</v>
      </c>
      <c r="Y26" s="215">
        <v>80.0</v>
      </c>
      <c r="Z26" s="269">
        <v>87.27272727272727</v>
      </c>
    </row>
    <row r="27" ht="9.75" customHeight="1">
      <c r="A27" s="307">
        <v>17.0</v>
      </c>
      <c r="B27" s="308" t="s">
        <v>390</v>
      </c>
      <c r="C27" s="302" t="s">
        <v>391</v>
      </c>
      <c r="D27" s="215">
        <v>15.0</v>
      </c>
      <c r="E27" s="215">
        <v>75.0</v>
      </c>
      <c r="F27" s="215">
        <v>17.0</v>
      </c>
      <c r="G27" s="303">
        <v>94.44444444444444</v>
      </c>
      <c r="H27" s="252">
        <v>16.0</v>
      </c>
      <c r="I27" s="252">
        <v>100.0</v>
      </c>
      <c r="J27" s="252">
        <v>13.0</v>
      </c>
      <c r="K27" s="304">
        <v>86.66666666666667</v>
      </c>
      <c r="L27" s="252">
        <v>8.0</v>
      </c>
      <c r="M27" s="304">
        <v>66.66666666666666</v>
      </c>
      <c r="N27" s="252">
        <v>6.0</v>
      </c>
      <c r="O27" s="252">
        <v>75.0</v>
      </c>
      <c r="P27" s="269">
        <v>3.0</v>
      </c>
      <c r="Q27" s="252">
        <v>100.0</v>
      </c>
      <c r="R27" s="304">
        <v>3.0</v>
      </c>
      <c r="S27" s="304">
        <v>100.0</v>
      </c>
      <c r="T27" s="252">
        <v>3.0</v>
      </c>
      <c r="U27" s="252">
        <v>75.0</v>
      </c>
      <c r="V27" s="252">
        <v>5.0</v>
      </c>
      <c r="W27" s="215">
        <v>100.0</v>
      </c>
      <c r="X27" s="252">
        <v>4.0</v>
      </c>
      <c r="Y27" s="215">
        <v>80.0</v>
      </c>
      <c r="Z27" s="269">
        <v>86.61616161616162</v>
      </c>
    </row>
    <row r="28" ht="9.75" customHeight="1">
      <c r="A28" s="307">
        <v>18.0</v>
      </c>
      <c r="B28" s="308" t="s">
        <v>392</v>
      </c>
      <c r="C28" s="302" t="s">
        <v>393</v>
      </c>
      <c r="D28" s="215">
        <v>18.0</v>
      </c>
      <c r="E28" s="215">
        <v>90.0</v>
      </c>
      <c r="F28" s="215">
        <v>17.0</v>
      </c>
      <c r="G28" s="303">
        <v>94.44444444444444</v>
      </c>
      <c r="H28" s="252">
        <v>16.0</v>
      </c>
      <c r="I28" s="252">
        <v>100.0</v>
      </c>
      <c r="J28" s="252">
        <v>15.0</v>
      </c>
      <c r="K28" s="304">
        <v>100.0</v>
      </c>
      <c r="L28" s="252">
        <v>10.0</v>
      </c>
      <c r="M28" s="304">
        <v>83.33333333333334</v>
      </c>
      <c r="N28" s="252">
        <v>7.0</v>
      </c>
      <c r="O28" s="252">
        <v>88.0</v>
      </c>
      <c r="P28" s="269">
        <v>3.0</v>
      </c>
      <c r="Q28" s="252">
        <v>100.0</v>
      </c>
      <c r="R28" s="304">
        <v>3.0</v>
      </c>
      <c r="S28" s="304">
        <v>100.0</v>
      </c>
      <c r="T28" s="252">
        <v>4.0</v>
      </c>
      <c r="U28" s="252">
        <v>100.0</v>
      </c>
      <c r="V28" s="252">
        <v>5.0</v>
      </c>
      <c r="W28" s="252">
        <v>100.0</v>
      </c>
      <c r="X28" s="252">
        <v>5.0</v>
      </c>
      <c r="Y28" s="252">
        <v>100.0</v>
      </c>
      <c r="Z28" s="269">
        <v>95.97979797979798</v>
      </c>
    </row>
    <row r="29" ht="9.75" customHeight="1">
      <c r="A29" s="309">
        <v>19.0</v>
      </c>
      <c r="B29" s="310" t="s">
        <v>394</v>
      </c>
      <c r="C29" s="311" t="s">
        <v>395</v>
      </c>
      <c r="D29" s="215">
        <v>18.0</v>
      </c>
      <c r="E29" s="215">
        <v>90.0</v>
      </c>
      <c r="F29" s="215">
        <v>16.0</v>
      </c>
      <c r="G29" s="303">
        <v>88.88888888888889</v>
      </c>
      <c r="H29" s="252">
        <v>16.0</v>
      </c>
      <c r="I29" s="252">
        <v>100.0</v>
      </c>
      <c r="J29" s="252">
        <v>14.0</v>
      </c>
      <c r="K29" s="304">
        <v>93.33333333333334</v>
      </c>
      <c r="L29" s="252">
        <v>9.0</v>
      </c>
      <c r="M29" s="304">
        <v>75.0</v>
      </c>
      <c r="N29" s="252">
        <v>7.0</v>
      </c>
      <c r="O29" s="252">
        <v>88.0</v>
      </c>
      <c r="P29" s="269">
        <v>3.0</v>
      </c>
      <c r="Q29" s="252">
        <v>100.0</v>
      </c>
      <c r="R29" s="304">
        <v>3.0</v>
      </c>
      <c r="S29" s="304">
        <v>100.0</v>
      </c>
      <c r="T29" s="252">
        <v>4.0</v>
      </c>
      <c r="U29" s="252">
        <v>100.0</v>
      </c>
      <c r="V29" s="252">
        <v>5.0</v>
      </c>
      <c r="W29" s="252">
        <v>100.0</v>
      </c>
      <c r="X29" s="252">
        <v>4.0</v>
      </c>
      <c r="Y29" s="252">
        <v>80.0</v>
      </c>
      <c r="Z29" s="269">
        <v>92.2929292929293</v>
      </c>
    </row>
    <row r="30" ht="9.75" customHeight="1">
      <c r="A30" s="300">
        <v>20.0</v>
      </c>
      <c r="B30" s="301" t="s">
        <v>396</v>
      </c>
      <c r="C30" s="302" t="s">
        <v>397</v>
      </c>
      <c r="D30" s="215">
        <v>17.0</v>
      </c>
      <c r="E30" s="215">
        <v>85.0</v>
      </c>
      <c r="F30" s="215">
        <v>16.0</v>
      </c>
      <c r="G30" s="303">
        <v>88.88888888888889</v>
      </c>
      <c r="H30" s="252">
        <v>16.0</v>
      </c>
      <c r="I30" s="252">
        <v>100.0</v>
      </c>
      <c r="J30" s="252">
        <v>15.0</v>
      </c>
      <c r="K30" s="304">
        <v>100.0</v>
      </c>
      <c r="L30" s="252">
        <v>9.0</v>
      </c>
      <c r="M30" s="304">
        <v>75.0</v>
      </c>
      <c r="N30" s="252">
        <v>7.0</v>
      </c>
      <c r="O30" s="252">
        <v>88.0</v>
      </c>
      <c r="P30" s="269">
        <v>3.0</v>
      </c>
      <c r="Q30" s="252">
        <v>100.0</v>
      </c>
      <c r="R30" s="304">
        <v>3.0</v>
      </c>
      <c r="S30" s="304">
        <v>100.0</v>
      </c>
      <c r="T30" s="252">
        <v>4.0</v>
      </c>
      <c r="U30" s="252">
        <v>100.0</v>
      </c>
      <c r="V30" s="252">
        <v>5.0</v>
      </c>
      <c r="W30" s="252">
        <v>100.0</v>
      </c>
      <c r="X30" s="252">
        <v>4.0</v>
      </c>
      <c r="Y30" s="252">
        <v>80.0</v>
      </c>
      <c r="Z30" s="269">
        <v>92.44444444444444</v>
      </c>
    </row>
    <row r="31" ht="9.75" customHeight="1">
      <c r="A31" s="300">
        <v>21.0</v>
      </c>
      <c r="B31" s="301" t="s">
        <v>398</v>
      </c>
      <c r="C31" s="302" t="s">
        <v>399</v>
      </c>
      <c r="D31" s="215">
        <v>16.0</v>
      </c>
      <c r="E31" s="215">
        <v>80.0</v>
      </c>
      <c r="F31" s="215">
        <v>14.0</v>
      </c>
      <c r="G31" s="303">
        <v>77.77777777777777</v>
      </c>
      <c r="H31" s="252">
        <v>16.0</v>
      </c>
      <c r="I31" s="252">
        <v>100.0</v>
      </c>
      <c r="J31" s="252">
        <v>12.0</v>
      </c>
      <c r="K31" s="304">
        <v>80.0</v>
      </c>
      <c r="L31" s="252">
        <v>9.0</v>
      </c>
      <c r="M31" s="304">
        <v>75.0</v>
      </c>
      <c r="N31" s="252">
        <v>7.0</v>
      </c>
      <c r="O31" s="252">
        <v>88.0</v>
      </c>
      <c r="P31" s="269">
        <v>3.0</v>
      </c>
      <c r="Q31" s="252">
        <v>100.0</v>
      </c>
      <c r="R31" s="304">
        <v>3.0</v>
      </c>
      <c r="S31" s="304">
        <v>100.0</v>
      </c>
      <c r="T31" s="252">
        <v>4.0</v>
      </c>
      <c r="U31" s="252">
        <v>100.0</v>
      </c>
      <c r="V31" s="252">
        <v>4.0</v>
      </c>
      <c r="W31" s="252">
        <v>80.0</v>
      </c>
      <c r="X31" s="252">
        <v>4.0</v>
      </c>
      <c r="Y31" s="252">
        <v>80.0</v>
      </c>
      <c r="Z31" s="269">
        <v>87.34343434343435</v>
      </c>
    </row>
    <row r="32" ht="9.75" customHeight="1">
      <c r="A32" s="300">
        <v>22.0</v>
      </c>
      <c r="B32" s="301" t="s">
        <v>400</v>
      </c>
      <c r="C32" s="305" t="s">
        <v>401</v>
      </c>
      <c r="D32" s="215">
        <v>17.0</v>
      </c>
      <c r="E32" s="215">
        <v>85.0</v>
      </c>
      <c r="F32" s="215">
        <v>17.0</v>
      </c>
      <c r="G32" s="303">
        <v>94.44444444444444</v>
      </c>
      <c r="H32" s="252">
        <v>16.0</v>
      </c>
      <c r="I32" s="252">
        <v>100.0</v>
      </c>
      <c r="J32" s="252">
        <v>16.0</v>
      </c>
      <c r="K32" s="304">
        <v>106.66666666666667</v>
      </c>
      <c r="L32" s="252">
        <v>10.0</v>
      </c>
      <c r="M32" s="304">
        <v>83.33333333333334</v>
      </c>
      <c r="N32" s="252">
        <v>7.0</v>
      </c>
      <c r="O32" s="252">
        <v>88.0</v>
      </c>
      <c r="P32" s="269">
        <v>3.0</v>
      </c>
      <c r="Q32" s="252">
        <v>100.0</v>
      </c>
      <c r="R32" s="304">
        <v>3.0</v>
      </c>
      <c r="S32" s="304">
        <v>100.0</v>
      </c>
      <c r="T32" s="252">
        <v>4.0</v>
      </c>
      <c r="U32" s="252">
        <v>100.0</v>
      </c>
      <c r="V32" s="252">
        <v>4.0</v>
      </c>
      <c r="W32" s="252">
        <v>80.0</v>
      </c>
      <c r="X32" s="252">
        <v>4.0</v>
      </c>
      <c r="Y32" s="252">
        <v>80.0</v>
      </c>
      <c r="Z32" s="269">
        <v>92.4949494949495</v>
      </c>
    </row>
    <row r="33" ht="9.75" customHeight="1">
      <c r="A33" s="300">
        <v>23.0</v>
      </c>
      <c r="B33" s="301" t="s">
        <v>402</v>
      </c>
      <c r="C33" s="302" t="s">
        <v>403</v>
      </c>
      <c r="D33" s="215">
        <v>17.0</v>
      </c>
      <c r="E33" s="215">
        <v>85.0</v>
      </c>
      <c r="F33" s="215">
        <v>15.0</v>
      </c>
      <c r="G33" s="303">
        <v>83.33333333333333</v>
      </c>
      <c r="H33" s="252">
        <v>16.0</v>
      </c>
      <c r="I33" s="252">
        <v>100.0</v>
      </c>
      <c r="J33" s="252">
        <v>13.0</v>
      </c>
      <c r="K33" s="304">
        <v>86.66666666666667</v>
      </c>
      <c r="L33" s="252">
        <v>9.0</v>
      </c>
      <c r="M33" s="304">
        <v>75.0</v>
      </c>
      <c r="N33" s="252">
        <v>7.0</v>
      </c>
      <c r="O33" s="252">
        <v>88.0</v>
      </c>
      <c r="P33" s="269">
        <v>3.0</v>
      </c>
      <c r="Q33" s="252">
        <v>100.0</v>
      </c>
      <c r="R33" s="304">
        <v>3.0</v>
      </c>
      <c r="S33" s="304">
        <v>100.0</v>
      </c>
      <c r="T33" s="252">
        <v>4.0</v>
      </c>
      <c r="U33" s="252">
        <v>100.0</v>
      </c>
      <c r="V33" s="252">
        <v>4.0</v>
      </c>
      <c r="W33" s="252">
        <v>80.0</v>
      </c>
      <c r="X33" s="252">
        <v>3.0</v>
      </c>
      <c r="Y33" s="252">
        <v>60.0</v>
      </c>
      <c r="Z33" s="269">
        <v>87.0909090909091</v>
      </c>
    </row>
    <row r="34" ht="9.75" customHeight="1">
      <c r="A34" s="300">
        <v>24.0</v>
      </c>
      <c r="B34" s="301" t="s">
        <v>404</v>
      </c>
      <c r="C34" s="302" t="s">
        <v>405</v>
      </c>
      <c r="D34" s="215">
        <v>15.0</v>
      </c>
      <c r="E34" s="215">
        <v>75.0</v>
      </c>
      <c r="F34" s="215">
        <v>16.0</v>
      </c>
      <c r="G34" s="303">
        <v>88.88888888888889</v>
      </c>
      <c r="H34" s="252">
        <v>16.0</v>
      </c>
      <c r="I34" s="252">
        <v>100.0</v>
      </c>
      <c r="J34" s="252">
        <v>14.0</v>
      </c>
      <c r="K34" s="304">
        <v>93.33333333333334</v>
      </c>
      <c r="L34" s="252">
        <v>9.0</v>
      </c>
      <c r="M34" s="304">
        <v>75.0</v>
      </c>
      <c r="N34" s="252">
        <v>7.0</v>
      </c>
      <c r="O34" s="252">
        <v>88.0</v>
      </c>
      <c r="P34" s="269">
        <v>3.0</v>
      </c>
      <c r="Q34" s="252">
        <v>100.0</v>
      </c>
      <c r="R34" s="304">
        <v>3.0</v>
      </c>
      <c r="S34" s="304">
        <v>100.0</v>
      </c>
      <c r="T34" s="252">
        <v>4.0</v>
      </c>
      <c r="U34" s="252">
        <v>100.0</v>
      </c>
      <c r="V34" s="252">
        <v>5.0</v>
      </c>
      <c r="W34" s="252">
        <v>100.0</v>
      </c>
      <c r="X34" s="252">
        <v>4.0</v>
      </c>
      <c r="Y34" s="252">
        <v>80.0</v>
      </c>
      <c r="Z34" s="269">
        <v>90.92929292929294</v>
      </c>
    </row>
    <row r="35" ht="9.75" customHeight="1">
      <c r="A35" s="300">
        <v>25.0</v>
      </c>
      <c r="B35" s="301" t="s">
        <v>406</v>
      </c>
      <c r="C35" s="302" t="s">
        <v>407</v>
      </c>
      <c r="D35" s="215">
        <v>19.0</v>
      </c>
      <c r="E35" s="215">
        <v>95.0</v>
      </c>
      <c r="F35" s="215">
        <v>17.0</v>
      </c>
      <c r="G35" s="303">
        <v>94.44444444444444</v>
      </c>
      <c r="H35" s="252">
        <v>16.0</v>
      </c>
      <c r="I35" s="252">
        <v>100.0</v>
      </c>
      <c r="J35" s="252">
        <v>16.0</v>
      </c>
      <c r="K35" s="304">
        <v>106.66666666666667</v>
      </c>
      <c r="L35" s="252">
        <v>10.0</v>
      </c>
      <c r="M35" s="304">
        <v>83.33333333333334</v>
      </c>
      <c r="N35" s="252">
        <v>7.0</v>
      </c>
      <c r="O35" s="252">
        <v>88.0</v>
      </c>
      <c r="P35" s="269">
        <v>3.0</v>
      </c>
      <c r="Q35" s="252">
        <v>100.0</v>
      </c>
      <c r="R35" s="304">
        <v>3.0</v>
      </c>
      <c r="S35" s="304">
        <v>100.0</v>
      </c>
      <c r="T35" s="252">
        <v>4.0</v>
      </c>
      <c r="U35" s="252">
        <v>100.0</v>
      </c>
      <c r="V35" s="252">
        <v>4.0</v>
      </c>
      <c r="W35" s="252">
        <v>80.0</v>
      </c>
      <c r="X35" s="252">
        <v>5.0</v>
      </c>
      <c r="Y35" s="252">
        <v>100.0</v>
      </c>
      <c r="Z35" s="269">
        <v>95.22222222222221</v>
      </c>
    </row>
    <row r="36" ht="9.75" customHeight="1">
      <c r="A36" s="300">
        <v>26.0</v>
      </c>
      <c r="B36" s="301" t="s">
        <v>408</v>
      </c>
      <c r="C36" s="302" t="s">
        <v>409</v>
      </c>
      <c r="D36" s="215">
        <v>19.0</v>
      </c>
      <c r="E36" s="215">
        <v>95.0</v>
      </c>
      <c r="F36" s="215">
        <v>17.0</v>
      </c>
      <c r="G36" s="303">
        <v>94.44444444444444</v>
      </c>
      <c r="H36" s="252">
        <v>16.0</v>
      </c>
      <c r="I36" s="252">
        <v>100.0</v>
      </c>
      <c r="J36" s="252">
        <v>13.0</v>
      </c>
      <c r="K36" s="304">
        <v>86.66666666666667</v>
      </c>
      <c r="L36" s="252">
        <v>10.0</v>
      </c>
      <c r="M36" s="304">
        <v>83.33333333333334</v>
      </c>
      <c r="N36" s="252">
        <v>8.0</v>
      </c>
      <c r="O36" s="252">
        <v>100.0</v>
      </c>
      <c r="P36" s="269">
        <v>3.0</v>
      </c>
      <c r="Q36" s="252">
        <v>100.0</v>
      </c>
      <c r="R36" s="304">
        <v>3.0</v>
      </c>
      <c r="S36" s="304">
        <v>100.0</v>
      </c>
      <c r="T36" s="252">
        <v>4.0</v>
      </c>
      <c r="U36" s="252">
        <v>100.0</v>
      </c>
      <c r="V36" s="252">
        <v>5.0</v>
      </c>
      <c r="W36" s="252">
        <v>100.0</v>
      </c>
      <c r="X36" s="252">
        <v>4.0</v>
      </c>
      <c r="Y36" s="252">
        <v>80.0</v>
      </c>
      <c r="Z36" s="269">
        <v>94.49494949494948</v>
      </c>
    </row>
    <row r="37" ht="9.75" customHeight="1">
      <c r="A37" s="300">
        <v>27.0</v>
      </c>
      <c r="B37" s="301" t="s">
        <v>410</v>
      </c>
      <c r="C37" s="305" t="s">
        <v>411</v>
      </c>
      <c r="D37" s="215">
        <v>19.0</v>
      </c>
      <c r="E37" s="215">
        <v>95.0</v>
      </c>
      <c r="F37" s="215">
        <v>17.0</v>
      </c>
      <c r="G37" s="303">
        <v>94.44444444444444</v>
      </c>
      <c r="H37" s="252">
        <v>16.0</v>
      </c>
      <c r="I37" s="252">
        <v>100.0</v>
      </c>
      <c r="J37" s="252">
        <v>15.0</v>
      </c>
      <c r="K37" s="304">
        <v>100.0</v>
      </c>
      <c r="L37" s="252">
        <v>10.0</v>
      </c>
      <c r="M37" s="304">
        <v>83.33333333333334</v>
      </c>
      <c r="N37" s="252">
        <v>6.0</v>
      </c>
      <c r="O37" s="252">
        <v>75.0</v>
      </c>
      <c r="P37" s="269">
        <v>3.0</v>
      </c>
      <c r="Q37" s="252">
        <v>100.0</v>
      </c>
      <c r="R37" s="304">
        <v>3.0</v>
      </c>
      <c r="S37" s="304">
        <v>100.0</v>
      </c>
      <c r="T37" s="252">
        <v>4.0</v>
      </c>
      <c r="U37" s="252">
        <v>100.0</v>
      </c>
      <c r="V37" s="252">
        <v>4.0</v>
      </c>
      <c r="W37" s="252">
        <v>80.0</v>
      </c>
      <c r="X37" s="252">
        <v>5.0</v>
      </c>
      <c r="Y37" s="252">
        <v>100.0</v>
      </c>
      <c r="Z37" s="269">
        <v>93.43434343434343</v>
      </c>
    </row>
    <row r="38" ht="9.75" customHeight="1">
      <c r="A38" s="300">
        <v>28.0</v>
      </c>
      <c r="B38" s="301" t="s">
        <v>412</v>
      </c>
      <c r="C38" s="302" t="s">
        <v>413</v>
      </c>
      <c r="D38" s="215">
        <v>19.0</v>
      </c>
      <c r="E38" s="215">
        <v>95.0</v>
      </c>
      <c r="F38" s="215">
        <v>17.0</v>
      </c>
      <c r="G38" s="303">
        <v>94.44444444444444</v>
      </c>
      <c r="H38" s="252">
        <v>16.0</v>
      </c>
      <c r="I38" s="252">
        <v>100.0</v>
      </c>
      <c r="J38" s="252">
        <v>15.0</v>
      </c>
      <c r="K38" s="304">
        <v>100.0</v>
      </c>
      <c r="L38" s="252">
        <v>12.0</v>
      </c>
      <c r="M38" s="304">
        <v>100.0</v>
      </c>
      <c r="N38" s="252">
        <v>8.0</v>
      </c>
      <c r="O38" s="252">
        <v>100.0</v>
      </c>
      <c r="P38" s="269">
        <v>3.0</v>
      </c>
      <c r="Q38" s="252">
        <v>100.0</v>
      </c>
      <c r="R38" s="304">
        <v>3.0</v>
      </c>
      <c r="S38" s="304">
        <v>100.0</v>
      </c>
      <c r="T38" s="252">
        <v>4.0</v>
      </c>
      <c r="U38" s="252">
        <v>100.0</v>
      </c>
      <c r="V38" s="252">
        <v>5.0</v>
      </c>
      <c r="W38" s="252">
        <v>100.0</v>
      </c>
      <c r="X38" s="252">
        <v>5.0</v>
      </c>
      <c r="Y38" s="252">
        <v>100.0</v>
      </c>
      <c r="Z38" s="269">
        <v>99.04040404040403</v>
      </c>
    </row>
    <row r="39" ht="9.75" customHeight="1">
      <c r="A39" s="300">
        <v>29.0</v>
      </c>
      <c r="B39" s="301" t="s">
        <v>414</v>
      </c>
      <c r="C39" s="305" t="s">
        <v>415</v>
      </c>
      <c r="D39" s="215">
        <v>17.0</v>
      </c>
      <c r="E39" s="215">
        <v>85.0</v>
      </c>
      <c r="F39" s="215">
        <v>17.0</v>
      </c>
      <c r="G39" s="303">
        <v>94.44444444444444</v>
      </c>
      <c r="H39" s="252">
        <v>12.0</v>
      </c>
      <c r="I39" s="252">
        <v>75.0</v>
      </c>
      <c r="J39" s="252">
        <v>15.0</v>
      </c>
      <c r="K39" s="304">
        <v>100.0</v>
      </c>
      <c r="L39" s="252">
        <v>10.0</v>
      </c>
      <c r="M39" s="304">
        <v>83.33333333333334</v>
      </c>
      <c r="N39" s="252">
        <v>6.0</v>
      </c>
      <c r="O39" s="252">
        <v>75.0</v>
      </c>
      <c r="P39" s="269">
        <v>3.0</v>
      </c>
      <c r="Q39" s="252">
        <v>100.0</v>
      </c>
      <c r="R39" s="304">
        <v>3.0</v>
      </c>
      <c r="S39" s="304">
        <v>100.0</v>
      </c>
      <c r="T39" s="252">
        <v>4.0</v>
      </c>
      <c r="U39" s="252">
        <v>100.0</v>
      </c>
      <c r="V39" s="252">
        <v>4.0</v>
      </c>
      <c r="W39" s="252">
        <v>80.0</v>
      </c>
      <c r="X39" s="252">
        <v>5.0</v>
      </c>
      <c r="Y39" s="252">
        <v>100.0</v>
      </c>
      <c r="Z39" s="269">
        <v>90.25252525252526</v>
      </c>
    </row>
    <row r="40" ht="9.75" customHeight="1">
      <c r="A40" s="300">
        <v>30.0</v>
      </c>
      <c r="B40" s="301" t="s">
        <v>416</v>
      </c>
      <c r="C40" s="302" t="s">
        <v>417</v>
      </c>
      <c r="D40" s="215">
        <v>19.0</v>
      </c>
      <c r="E40" s="215">
        <v>95.0</v>
      </c>
      <c r="F40" s="215">
        <v>17.0</v>
      </c>
      <c r="G40" s="303">
        <v>94.44444444444444</v>
      </c>
      <c r="H40" s="252">
        <v>16.0</v>
      </c>
      <c r="I40" s="252">
        <v>100.0</v>
      </c>
      <c r="J40" s="252">
        <v>15.0</v>
      </c>
      <c r="K40" s="304">
        <v>100.0</v>
      </c>
      <c r="L40" s="252">
        <v>11.0</v>
      </c>
      <c r="M40" s="304">
        <v>91.66666666666666</v>
      </c>
      <c r="N40" s="252">
        <v>8.0</v>
      </c>
      <c r="O40" s="252">
        <v>100.0</v>
      </c>
      <c r="P40" s="269">
        <v>3.0</v>
      </c>
      <c r="Q40" s="252">
        <v>100.0</v>
      </c>
      <c r="R40" s="304">
        <v>3.0</v>
      </c>
      <c r="S40" s="304">
        <v>100.0</v>
      </c>
      <c r="T40" s="252">
        <v>4.0</v>
      </c>
      <c r="U40" s="252">
        <v>100.0</v>
      </c>
      <c r="V40" s="252">
        <v>5.0</v>
      </c>
      <c r="W40" s="252">
        <v>100.0</v>
      </c>
      <c r="X40" s="252">
        <v>4.0</v>
      </c>
      <c r="Y40" s="252">
        <v>80.0</v>
      </c>
      <c r="Z40" s="269">
        <v>96.46464646464646</v>
      </c>
    </row>
    <row r="41" ht="9.75" customHeight="1">
      <c r="A41" s="300">
        <v>31.0</v>
      </c>
      <c r="B41" s="301" t="s">
        <v>418</v>
      </c>
      <c r="C41" s="302" t="s">
        <v>419</v>
      </c>
      <c r="D41" s="215">
        <v>20.0</v>
      </c>
      <c r="E41" s="215">
        <v>100.0</v>
      </c>
      <c r="F41" s="215">
        <v>18.0</v>
      </c>
      <c r="G41" s="303">
        <v>100.0</v>
      </c>
      <c r="H41" s="252">
        <v>16.0</v>
      </c>
      <c r="I41" s="252">
        <v>100.0</v>
      </c>
      <c r="J41" s="252">
        <v>13.0</v>
      </c>
      <c r="K41" s="304">
        <v>86.66666666666667</v>
      </c>
      <c r="L41" s="252">
        <v>12.0</v>
      </c>
      <c r="M41" s="304">
        <v>100.0</v>
      </c>
      <c r="N41" s="252">
        <v>8.0</v>
      </c>
      <c r="O41" s="252">
        <v>100.0</v>
      </c>
      <c r="P41" s="269">
        <v>3.0</v>
      </c>
      <c r="Q41" s="252">
        <v>100.0</v>
      </c>
      <c r="R41" s="304">
        <v>3.0</v>
      </c>
      <c r="S41" s="304">
        <v>100.0</v>
      </c>
      <c r="T41" s="252">
        <v>4.0</v>
      </c>
      <c r="U41" s="252">
        <v>100.0</v>
      </c>
      <c r="V41" s="252">
        <v>5.0</v>
      </c>
      <c r="W41" s="252">
        <v>100.0</v>
      </c>
      <c r="X41" s="252">
        <v>5.0</v>
      </c>
      <c r="Y41" s="252">
        <v>100.0</v>
      </c>
      <c r="Z41" s="269">
        <v>98.7878787878788</v>
      </c>
    </row>
    <row r="42" ht="9.75" customHeight="1">
      <c r="A42" s="300">
        <v>32.0</v>
      </c>
      <c r="B42" s="301" t="s">
        <v>420</v>
      </c>
      <c r="C42" s="302" t="s">
        <v>421</v>
      </c>
      <c r="D42" s="215">
        <v>16.0</v>
      </c>
      <c r="E42" s="215">
        <v>80.0</v>
      </c>
      <c r="F42" s="215">
        <v>15.0</v>
      </c>
      <c r="G42" s="303">
        <v>83.33333333333333</v>
      </c>
      <c r="H42" s="252">
        <v>16.0</v>
      </c>
      <c r="I42" s="252">
        <v>100.0</v>
      </c>
      <c r="J42" s="252">
        <v>10.0</v>
      </c>
      <c r="K42" s="304">
        <v>66.66666666666667</v>
      </c>
      <c r="L42" s="252">
        <v>9.0</v>
      </c>
      <c r="M42" s="304">
        <v>75.0</v>
      </c>
      <c r="N42" s="252">
        <v>8.0</v>
      </c>
      <c r="O42" s="252">
        <v>100.0</v>
      </c>
      <c r="P42" s="269">
        <v>3.0</v>
      </c>
      <c r="Q42" s="252">
        <v>100.0</v>
      </c>
      <c r="R42" s="304">
        <v>2.0</v>
      </c>
      <c r="S42" s="304">
        <v>66.66666666666666</v>
      </c>
      <c r="T42" s="252">
        <v>4.0</v>
      </c>
      <c r="U42" s="252">
        <v>100.0</v>
      </c>
      <c r="V42" s="252">
        <v>4.0</v>
      </c>
      <c r="W42" s="252">
        <v>80.0</v>
      </c>
      <c r="X42" s="252">
        <v>4.0</v>
      </c>
      <c r="Y42" s="252">
        <v>80.0</v>
      </c>
      <c r="Z42" s="269">
        <v>84.69696969696969</v>
      </c>
    </row>
    <row r="43" ht="9.75" customHeight="1">
      <c r="A43" s="300">
        <v>33.0</v>
      </c>
      <c r="B43" s="301" t="s">
        <v>422</v>
      </c>
      <c r="C43" s="302" t="s">
        <v>423</v>
      </c>
      <c r="D43" s="215">
        <v>20.0</v>
      </c>
      <c r="E43" s="215">
        <v>100.0</v>
      </c>
      <c r="F43" s="215">
        <v>18.0</v>
      </c>
      <c r="G43" s="303">
        <v>100.0</v>
      </c>
      <c r="H43" s="252">
        <v>16.0</v>
      </c>
      <c r="I43" s="252">
        <v>100.0</v>
      </c>
      <c r="J43" s="252">
        <v>15.0</v>
      </c>
      <c r="K43" s="304">
        <v>100.0</v>
      </c>
      <c r="L43" s="252">
        <v>12.0</v>
      </c>
      <c r="M43" s="304">
        <v>100.0</v>
      </c>
      <c r="N43" s="252">
        <v>8.0</v>
      </c>
      <c r="O43" s="252">
        <v>100.0</v>
      </c>
      <c r="P43" s="269">
        <v>3.0</v>
      </c>
      <c r="Q43" s="252">
        <v>100.0</v>
      </c>
      <c r="R43" s="304">
        <v>3.0</v>
      </c>
      <c r="S43" s="304">
        <v>100.0</v>
      </c>
      <c r="T43" s="252">
        <v>4.0</v>
      </c>
      <c r="U43" s="252">
        <v>100.0</v>
      </c>
      <c r="V43" s="252">
        <v>5.0</v>
      </c>
      <c r="W43" s="252">
        <v>100.0</v>
      </c>
      <c r="X43" s="252">
        <v>5.0</v>
      </c>
      <c r="Y43" s="252">
        <v>100.0</v>
      </c>
      <c r="Z43" s="269">
        <v>100.0</v>
      </c>
    </row>
    <row r="44" ht="9.75" customHeight="1">
      <c r="A44" s="300">
        <v>34.0</v>
      </c>
      <c r="B44" s="301" t="s">
        <v>424</v>
      </c>
      <c r="C44" s="302" t="s">
        <v>425</v>
      </c>
      <c r="D44" s="215">
        <v>19.0</v>
      </c>
      <c r="E44" s="215">
        <v>95.0</v>
      </c>
      <c r="F44" s="215">
        <v>17.0</v>
      </c>
      <c r="G44" s="303">
        <v>94.44444444444444</v>
      </c>
      <c r="H44" s="252">
        <v>16.0</v>
      </c>
      <c r="I44" s="252">
        <v>100.0</v>
      </c>
      <c r="J44" s="252">
        <v>14.0</v>
      </c>
      <c r="K44" s="304">
        <v>93.33333333333334</v>
      </c>
      <c r="L44" s="252">
        <v>11.0</v>
      </c>
      <c r="M44" s="304">
        <v>91.66666666666666</v>
      </c>
      <c r="N44" s="252">
        <v>8.0</v>
      </c>
      <c r="O44" s="252">
        <v>100.0</v>
      </c>
      <c r="P44" s="269">
        <v>3.0</v>
      </c>
      <c r="Q44" s="252">
        <v>100.0</v>
      </c>
      <c r="R44" s="304">
        <v>3.0</v>
      </c>
      <c r="S44" s="304">
        <v>100.0</v>
      </c>
      <c r="T44" s="252">
        <v>4.0</v>
      </c>
      <c r="U44" s="252">
        <v>100.0</v>
      </c>
      <c r="V44" s="252">
        <v>4.0</v>
      </c>
      <c r="W44" s="215">
        <v>80.0</v>
      </c>
      <c r="X44" s="252">
        <v>5.0</v>
      </c>
      <c r="Y44" s="215">
        <v>100.0</v>
      </c>
      <c r="Z44" s="269">
        <v>95.85858585858585</v>
      </c>
    </row>
    <row r="45" ht="9.75" customHeight="1">
      <c r="A45" s="312">
        <v>35.0</v>
      </c>
      <c r="B45" s="306" t="s">
        <v>426</v>
      </c>
      <c r="C45" s="313" t="s">
        <v>427</v>
      </c>
      <c r="D45" s="215">
        <v>18.0</v>
      </c>
      <c r="E45" s="215">
        <v>90.0</v>
      </c>
      <c r="F45" s="215">
        <v>16.0</v>
      </c>
      <c r="G45" s="303">
        <v>88.88888888888889</v>
      </c>
      <c r="H45" s="252">
        <v>16.0</v>
      </c>
      <c r="I45" s="252">
        <v>100.0</v>
      </c>
      <c r="J45" s="252">
        <v>13.0</v>
      </c>
      <c r="K45" s="304">
        <v>86.66666666666667</v>
      </c>
      <c r="L45" s="252">
        <v>9.0</v>
      </c>
      <c r="M45" s="304">
        <v>75.0</v>
      </c>
      <c r="N45" s="252">
        <v>7.0</v>
      </c>
      <c r="O45" s="252">
        <v>88.0</v>
      </c>
      <c r="P45" s="269">
        <v>3.0</v>
      </c>
      <c r="Q45" s="252">
        <v>100.0</v>
      </c>
      <c r="R45" s="304">
        <v>3.0</v>
      </c>
      <c r="S45" s="304">
        <v>100.0</v>
      </c>
      <c r="T45" s="252">
        <v>4.0</v>
      </c>
      <c r="U45" s="252">
        <v>100.0</v>
      </c>
      <c r="V45" s="252">
        <v>4.0</v>
      </c>
      <c r="W45" s="215">
        <v>80.0</v>
      </c>
      <c r="X45" s="252">
        <v>5.0</v>
      </c>
      <c r="Y45" s="215">
        <v>100.0</v>
      </c>
      <c r="Z45" s="269">
        <v>91.68686868686869</v>
      </c>
    </row>
    <row r="46" ht="16.5" customHeight="1">
      <c r="A46" s="226" t="s">
        <v>137</v>
      </c>
      <c r="B46" s="227"/>
      <c r="C46" s="26"/>
      <c r="D46" s="314" t="s">
        <v>291</v>
      </c>
      <c r="E46" s="257"/>
      <c r="F46" s="315" t="s">
        <v>292</v>
      </c>
      <c r="G46" s="257"/>
      <c r="H46" s="316" t="s">
        <v>293</v>
      </c>
      <c r="I46" s="261"/>
      <c r="J46" s="315" t="s">
        <v>294</v>
      </c>
      <c r="K46" s="257"/>
      <c r="L46" s="315" t="s">
        <v>295</v>
      </c>
      <c r="M46" s="257"/>
      <c r="N46" s="315" t="s">
        <v>296</v>
      </c>
      <c r="O46" s="257"/>
      <c r="P46" s="317" t="s">
        <v>297</v>
      </c>
      <c r="Q46" s="257"/>
      <c r="R46" s="315" t="s">
        <v>298</v>
      </c>
      <c r="S46" s="257"/>
      <c r="T46" s="315" t="s">
        <v>291</v>
      </c>
      <c r="U46" s="257"/>
      <c r="V46" s="315" t="s">
        <v>292</v>
      </c>
      <c r="W46" s="186"/>
      <c r="X46" s="315" t="s">
        <v>295</v>
      </c>
      <c r="Y46" s="257"/>
      <c r="Z46" s="263"/>
    </row>
    <row r="47" ht="11.25" customHeight="1">
      <c r="A47" s="234"/>
      <c r="B47" s="80"/>
      <c r="C47" s="72"/>
      <c r="D47" s="318"/>
      <c r="E47" s="318"/>
      <c r="F47" s="234"/>
      <c r="G47" s="234"/>
      <c r="H47" s="319"/>
      <c r="I47" s="319"/>
      <c r="J47" s="234"/>
      <c r="K47" s="287"/>
      <c r="L47" s="234"/>
      <c r="M47" s="287"/>
      <c r="N47" s="234"/>
      <c r="O47" s="287"/>
      <c r="P47" s="234"/>
      <c r="Q47" s="234"/>
      <c r="R47" s="234"/>
      <c r="S47" s="288"/>
      <c r="T47" s="234"/>
      <c r="U47" s="234"/>
      <c r="V47" s="234"/>
      <c r="W47" s="234"/>
      <c r="X47" s="290"/>
      <c r="Y47" s="287"/>
      <c r="Z47" s="320"/>
    </row>
    <row r="48" ht="29.25" customHeight="1">
      <c r="A48" s="80"/>
      <c r="B48" s="287"/>
      <c r="C48" s="80" t="s">
        <v>299</v>
      </c>
      <c r="D48" s="287"/>
      <c r="E48" s="287"/>
      <c r="F48" s="290"/>
      <c r="G48" s="280"/>
      <c r="H48" s="287"/>
      <c r="I48" s="321"/>
      <c r="J48" s="234"/>
      <c r="K48" s="234"/>
      <c r="L48" s="234" t="s">
        <v>300</v>
      </c>
      <c r="Q48" s="290"/>
      <c r="R48" s="290"/>
      <c r="S48" s="322"/>
      <c r="T48" s="290"/>
      <c r="U48" s="282"/>
      <c r="V48" s="234" t="s">
        <v>301</v>
      </c>
    </row>
    <row r="49" ht="11.25" customHeight="1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</row>
    <row r="50" ht="11.25" customHeight="1">
      <c r="A50" s="287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</row>
    <row r="51" ht="11.25" customHeight="1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</row>
    <row r="52" ht="11.25" customHeight="1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</row>
    <row r="53" ht="11.25" customHeight="1">
      <c r="A53" s="287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</row>
    <row r="54" ht="11.25" customHeight="1">
      <c r="A54" s="287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</row>
    <row r="55" ht="11.25" customHeight="1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</row>
    <row r="56" ht="11.25" customHeight="1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</row>
    <row r="57" ht="11.25" customHeight="1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87"/>
    </row>
    <row r="58" ht="11.25" customHeight="1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</row>
    <row r="59" ht="11.25" customHeight="1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</row>
    <row r="60" ht="11.25" customHeight="1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</row>
    <row r="61" ht="11.25" customHeight="1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</row>
    <row r="62" ht="11.25" customHeight="1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</row>
    <row r="63" ht="11.25" customHeight="1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</row>
    <row r="64" ht="11.25" customHeight="1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</row>
    <row r="65" ht="11.25" customHeight="1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</row>
    <row r="66" ht="11.25" customHeight="1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</row>
    <row r="67" ht="11.25" customHeight="1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</row>
    <row r="68" ht="11.25" customHeight="1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</row>
    <row r="69" ht="11.25" customHeight="1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</row>
    <row r="70" ht="11.25" customHeight="1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</row>
    <row r="71" ht="11.25" customHeight="1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</row>
    <row r="72" ht="11.25" customHeight="1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87"/>
    </row>
    <row r="73" ht="11.25" customHeight="1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87"/>
    </row>
    <row r="74" ht="11.25" customHeight="1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</row>
    <row r="75" ht="11.25" customHeight="1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</row>
    <row r="76" ht="11.25" customHeight="1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</row>
    <row r="77" ht="11.25" customHeight="1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</row>
    <row r="78" ht="11.25" customHeight="1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</row>
    <row r="79" ht="11.25" customHeight="1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87"/>
    </row>
    <row r="80" ht="11.25" customHeight="1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</row>
    <row r="81" ht="11.25" customHeight="1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</row>
    <row r="82" ht="11.25" customHeight="1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</row>
    <row r="83" ht="11.25" customHeight="1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</row>
    <row r="84" ht="11.25" customHeight="1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</row>
    <row r="85" ht="11.25" customHeight="1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</row>
    <row r="86" ht="11.25" customHeight="1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</row>
    <row r="87" ht="11.25" customHeight="1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</row>
    <row r="88" ht="11.25" customHeight="1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</row>
    <row r="89" ht="11.25" customHeight="1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</row>
    <row r="90" ht="11.25" customHeight="1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</row>
    <row r="91" ht="11.25" customHeight="1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</row>
    <row r="92" ht="11.25" customHeight="1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</row>
    <row r="93" ht="11.25" customHeight="1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</row>
    <row r="94" ht="11.25" customHeight="1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</row>
    <row r="95" ht="11.25" customHeight="1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</row>
    <row r="96" ht="11.25" customHeight="1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</row>
    <row r="97" ht="11.25" customHeight="1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</row>
    <row r="98" ht="11.25" customHeight="1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</row>
    <row r="99" ht="11.25" customHeight="1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</row>
    <row r="100" ht="11.25" customHeight="1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</row>
    <row r="101" ht="11.25" customHeight="1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7"/>
    </row>
    <row r="102" ht="11.25" customHeight="1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</row>
    <row r="103" ht="11.25" customHeight="1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</row>
    <row r="104" ht="11.25" customHeight="1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</row>
    <row r="105" ht="11.25" customHeight="1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</row>
    <row r="106" ht="11.25" customHeight="1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</row>
    <row r="107" ht="11.25" customHeight="1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</row>
    <row r="108" ht="11.25" customHeight="1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</row>
    <row r="109" ht="11.25" customHeight="1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</row>
    <row r="110" ht="11.25" customHeight="1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</row>
    <row r="111" ht="11.25" customHeight="1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</row>
    <row r="112" ht="11.25" customHeight="1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</row>
    <row r="113" ht="11.25" customHeight="1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7"/>
    </row>
    <row r="114" ht="11.25" customHeight="1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</row>
    <row r="115" ht="11.25" customHeight="1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</row>
    <row r="116" ht="11.25" customHeight="1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</row>
    <row r="117" ht="11.25" customHeight="1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</row>
    <row r="118" ht="11.25" customHeight="1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</row>
    <row r="119" ht="11.25" customHeight="1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7"/>
    </row>
    <row r="120" ht="11.25" customHeight="1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</row>
    <row r="121" ht="11.25" customHeight="1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</row>
    <row r="122" ht="11.25" customHeight="1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</row>
    <row r="123" ht="11.25" customHeight="1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7"/>
    </row>
    <row r="124" ht="11.25" customHeight="1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</row>
    <row r="125" ht="11.25" customHeight="1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</row>
    <row r="126" ht="11.25" customHeight="1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</row>
    <row r="127" ht="11.25" customHeight="1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7"/>
    </row>
    <row r="128" ht="11.25" customHeight="1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</row>
    <row r="129" ht="11.25" customHeight="1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7"/>
    </row>
    <row r="130" ht="11.25" customHeight="1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</row>
    <row r="131" ht="11.25" customHeight="1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</row>
    <row r="132" ht="11.25" customHeight="1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</row>
    <row r="133" ht="11.25" customHeight="1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</row>
    <row r="134" ht="11.25" customHeight="1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</row>
    <row r="135" ht="11.25" customHeight="1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</row>
    <row r="136" ht="11.25" customHeight="1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</row>
    <row r="137" ht="11.25" customHeight="1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</row>
    <row r="138" ht="11.25" customHeight="1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</row>
    <row r="139" ht="11.25" customHeight="1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87"/>
    </row>
    <row r="140" ht="11.25" customHeight="1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</row>
    <row r="141" ht="11.25" customHeight="1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87"/>
    </row>
    <row r="142" ht="11.25" customHeight="1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</row>
    <row r="143" ht="11.25" customHeight="1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87"/>
    </row>
    <row r="144" ht="11.25" customHeight="1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</row>
    <row r="145" ht="11.25" customHeight="1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</row>
    <row r="146" ht="11.25" customHeight="1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</row>
    <row r="147" ht="11.25" customHeight="1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87"/>
    </row>
    <row r="148" ht="11.25" customHeight="1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</row>
    <row r="149" ht="11.25" customHeight="1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87"/>
    </row>
    <row r="150" ht="11.25" customHeight="1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</row>
    <row r="151" ht="11.25" customHeight="1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87"/>
    </row>
    <row r="152" ht="11.25" customHeight="1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</row>
    <row r="153" ht="11.25" customHeight="1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87"/>
    </row>
    <row r="154" ht="11.25" customHeight="1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</row>
    <row r="155" ht="11.25" customHeight="1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</row>
    <row r="156" ht="11.25" customHeight="1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</row>
    <row r="157" ht="11.25" customHeight="1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  <c r="AA157" s="287"/>
    </row>
    <row r="158" ht="11.25" customHeight="1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</row>
    <row r="159" ht="11.25" customHeight="1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87"/>
    </row>
    <row r="160" ht="11.25" customHeight="1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</row>
    <row r="161" ht="11.25" customHeight="1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</row>
    <row r="162" ht="11.25" customHeight="1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</row>
    <row r="163" ht="11.25" customHeight="1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</row>
    <row r="164" ht="11.25" customHeight="1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</row>
    <row r="165" ht="11.25" customHeight="1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</row>
    <row r="166" ht="11.25" customHeight="1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</row>
    <row r="167" ht="11.25" customHeight="1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87"/>
    </row>
    <row r="168" ht="11.25" customHeight="1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</row>
    <row r="169" ht="11.25" customHeight="1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87"/>
    </row>
    <row r="170" ht="11.25" customHeight="1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</row>
    <row r="171" ht="11.25" customHeight="1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87"/>
    </row>
    <row r="172" ht="11.25" customHeight="1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:C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F9:F10"/>
    <mergeCell ref="G9:G10"/>
    <mergeCell ref="A46:C46"/>
    <mergeCell ref="D46:E46"/>
    <mergeCell ref="F46:G46"/>
    <mergeCell ref="H9:H10"/>
    <mergeCell ref="I9:I10"/>
    <mergeCell ref="H46:I46"/>
    <mergeCell ref="T46:U46"/>
    <mergeCell ref="V46:W46"/>
    <mergeCell ref="X46:Y46"/>
    <mergeCell ref="V48:Z48"/>
    <mergeCell ref="J9:J10"/>
    <mergeCell ref="K9:K10"/>
    <mergeCell ref="J46:K46"/>
    <mergeCell ref="L46:M46"/>
    <mergeCell ref="N46:O46"/>
    <mergeCell ref="P46:Q46"/>
    <mergeCell ref="R46:S46"/>
    <mergeCell ref="L48:P48"/>
    <mergeCell ref="B7:B10"/>
    <mergeCell ref="D8:E8"/>
    <mergeCell ref="C9:C10"/>
    <mergeCell ref="D9:D10"/>
    <mergeCell ref="E9:E10"/>
    <mergeCell ref="U1:Z1"/>
    <mergeCell ref="A2:Z2"/>
    <mergeCell ref="A3:Z3"/>
    <mergeCell ref="A4:Z4"/>
    <mergeCell ref="X5:Z5"/>
    <mergeCell ref="A7:A10"/>
    <mergeCell ref="Z7:Z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printOptions/>
  <pageMargins bottom="0.75" footer="0.0" header="0.0" left="0.7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2026-03-04T08:59:36Z</dcterms:created>
  <dc:creator>dell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fdd4c496d5e74676835be0324670c69f</vt:lpwstr>
  </property>
</Properties>
</file>