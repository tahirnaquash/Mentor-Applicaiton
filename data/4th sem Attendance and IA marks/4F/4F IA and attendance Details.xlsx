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as on IA-1" sheetId="1" r:id="rId4"/>
    <sheet state="visible" name=" Attendance as on IA-2" sheetId="2" r:id="rId5"/>
    <sheet state="visible" name="FINAL ATTENDANCE" sheetId="3" r:id="rId6"/>
    <sheet state="visible" name=" IA -2 Mark sheet" sheetId="4" r:id="rId7"/>
    <sheet state="visible" name="Improvement Test List" sheetId="5" r:id="rId8"/>
    <sheet state="hidden" name=" Work done sheet of IA-2" sheetId="6" r:id="rId9"/>
    <sheet state="hidden" name="Work done sheet " sheetId="7" r:id="rId10"/>
    <sheet state="visible" name="IA -1 Mark sheet" sheetId="8" r:id="rId11"/>
    <sheet state="hidden" name="Mentor Report" sheetId="9" r:id="rId12"/>
    <sheet state="hidden" name="Mentor Report for IA-2" sheetId="10" r:id="rId13"/>
    <sheet state="hidden" name="Grace Attendance " sheetId="11" r:id="rId14"/>
  </sheets>
  <definedNames/>
  <calcPr/>
  <extLst>
    <ext uri="GoogleSheetsCustomDataVersion2">
      <go:sheetsCustomData xmlns:go="http://customooxmlschemas.google.com/" r:id="rId15" roundtripDataChecksum="0nTNACb/KLAXIPC+JNrVYhpbejcTz/dkwmHndec7FHA="/>
    </ext>
  </extLst>
</workbook>
</file>

<file path=xl/sharedStrings.xml><?xml version="1.0" encoding="utf-8"?>
<sst xmlns="http://schemas.openxmlformats.org/spreadsheetml/2006/main" count="1196" uniqueCount="303">
  <si>
    <t xml:space="preserve">HKBK/TL/022/2025-26 </t>
  </si>
  <si>
    <t xml:space="preserve">                                                        HKBK College of Engineering</t>
  </si>
  <si>
    <t xml:space="preserve">                                                                     Department of Computer Science Engineering</t>
  </si>
  <si>
    <t xml:space="preserve">                                                                                                        STATEMENT OF ATTENDANCE                  </t>
  </si>
  <si>
    <t>Sem 4</t>
  </si>
  <si>
    <t xml:space="preserve">Sec : D                     </t>
  </si>
  <si>
    <t>F</t>
  </si>
  <si>
    <t>Till Date:  10/4/26</t>
  </si>
  <si>
    <t>Sl No</t>
  </si>
  <si>
    <t>USN</t>
  </si>
  <si>
    <t>No of classes taken</t>
  </si>
  <si>
    <t>AVG</t>
  </si>
  <si>
    <t>Subject</t>
  </si>
  <si>
    <t>BCS401</t>
  </si>
  <si>
    <t xml:space="preserve">  BCS402</t>
  </si>
  <si>
    <t>BCS403</t>
  </si>
  <si>
    <t>BCS405A</t>
  </si>
  <si>
    <t>BCS456C</t>
  </si>
  <si>
    <t xml:space="preserve">BBOC407      </t>
  </si>
  <si>
    <t>BCS402L</t>
  </si>
  <si>
    <t>BCSL404</t>
  </si>
  <si>
    <t>Name of student</t>
  </si>
  <si>
    <t>Atnd</t>
  </si>
  <si>
    <t>%</t>
  </si>
  <si>
    <t>1HK24CS292</t>
  </si>
  <si>
    <t>T SANIYA FATHIMA ZOHRA</t>
  </si>
  <si>
    <t>1HK24CS293</t>
  </si>
  <si>
    <t>TAHER HUSSAIN</t>
  </si>
  <si>
    <t>1HK24CS295</t>
  </si>
  <si>
    <t>TEJAS N P</t>
  </si>
  <si>
    <t>1HK24CS296</t>
  </si>
  <si>
    <t>TENZIN NORBU</t>
  </si>
  <si>
    <t>1HK24CS297</t>
  </si>
  <si>
    <t>TRISHUL</t>
  </si>
  <si>
    <t>1HK24CS298</t>
  </si>
  <si>
    <t>V KAUSHIK</t>
  </si>
  <si>
    <t>1HK24CS299</t>
  </si>
  <si>
    <t>VARSHINI M</t>
  </si>
  <si>
    <t>1HK24CS300</t>
  </si>
  <si>
    <t>VARUN A S</t>
  </si>
  <si>
    <t>1HK24CS301</t>
  </si>
  <si>
    <t>VASUDEV M V</t>
  </si>
  <si>
    <t>1HK24CS302</t>
  </si>
  <si>
    <t>VEERESH R</t>
  </si>
  <si>
    <t>1HK24CS303</t>
  </si>
  <si>
    <t>VENKATESH RATHOD</t>
  </si>
  <si>
    <t>1HK24CS304</t>
  </si>
  <si>
    <t>VIJAY</t>
  </si>
  <si>
    <t>1HK24CS305</t>
  </si>
  <si>
    <t>VIJAYKUMAR</t>
  </si>
  <si>
    <t>1HK24CS306</t>
  </si>
  <si>
    <t>VIKAS WALI</t>
  </si>
  <si>
    <t>1HK24CS307</t>
  </si>
  <si>
    <t>VIKESH</t>
  </si>
  <si>
    <t>1HK24CS308</t>
  </si>
  <si>
    <t>VIKRAM RAMESH CHAVAN</t>
  </si>
  <si>
    <t>1HK24CS309</t>
  </si>
  <si>
    <t>VINAYAK</t>
  </si>
  <si>
    <t>1HK24CS310</t>
  </si>
  <si>
    <t>VINAYAKA V</t>
  </si>
  <si>
    <t>1HK24CS311</t>
  </si>
  <si>
    <t>VINOD</t>
  </si>
  <si>
    <t>1HK24CS312</t>
  </si>
  <si>
    <t>VISHAL KUMAR</t>
  </si>
  <si>
    <t>1HK24CS313</t>
  </si>
  <si>
    <t>VITTAL SHRISHAILAPPAGOL</t>
  </si>
  <si>
    <t>1HK24CS314</t>
  </si>
  <si>
    <t>VIVEK PRABHU</t>
  </si>
  <si>
    <t>1HK24CS315</t>
  </si>
  <si>
    <t>VIVEK YALLAPPA YADURE</t>
  </si>
  <si>
    <t>1HK24CS316</t>
  </si>
  <si>
    <t>YASHASWINI</t>
  </si>
  <si>
    <t>1HK24CS317</t>
  </si>
  <si>
    <t xml:space="preserve">YASHAWANT RAGHAVENDR </t>
  </si>
  <si>
    <t>1HK24CS318</t>
  </si>
  <si>
    <t>YASHWANTH M V</t>
  </si>
  <si>
    <t>1HK24CS319</t>
  </si>
  <si>
    <t>YOGESH H M</t>
  </si>
  <si>
    <t>1HK24CS320</t>
  </si>
  <si>
    <t>YUKTHA SURESH</t>
  </si>
  <si>
    <t>1HK24CS322</t>
  </si>
  <si>
    <t>ZARA KULSUM</t>
  </si>
  <si>
    <t>1HK24CS323</t>
  </si>
  <si>
    <t>ZOHA SIDDIQUI</t>
  </si>
  <si>
    <t>1HK25CS400</t>
  </si>
  <si>
    <t>ABRARAHMED DAWOOD TANJI</t>
  </si>
  <si>
    <t>1HK25CS401</t>
  </si>
  <si>
    <t>BAIG MOHAMMED UMAR AAMIR</t>
  </si>
  <si>
    <t>1HK25CS402</t>
  </si>
  <si>
    <t>BHAVANA H J</t>
  </si>
  <si>
    <t>1HK25CS403</t>
  </si>
  <si>
    <t>HARSHITH P</t>
  </si>
  <si>
    <t>1HK25CS404</t>
  </si>
  <si>
    <t>IMAD</t>
  </si>
  <si>
    <t>1HK25CS405</t>
  </si>
  <si>
    <t>MAHADEVASWAMY N</t>
  </si>
  <si>
    <t>1HK25CS406</t>
  </si>
  <si>
    <t>MAHAMMADJAFAR BADIGER</t>
  </si>
  <si>
    <t>1HK25CS407</t>
  </si>
  <si>
    <t>MOHAMMED JUNAID</t>
  </si>
  <si>
    <t>1HK25CS408</t>
  </si>
  <si>
    <t>MOHAMMED MUDASSIR A MIRZA</t>
  </si>
  <si>
    <t>1HK25CS409</t>
  </si>
  <si>
    <t>RAGHAVENDRA N</t>
  </si>
  <si>
    <t>1HK25CS410</t>
  </si>
  <si>
    <t>SANIYA A</t>
  </si>
  <si>
    <t>1HK25CS411</t>
  </si>
  <si>
    <t>SAYED AHMED ALI MAKANDAR</t>
  </si>
  <si>
    <t>1HK25CS412</t>
  </si>
  <si>
    <t>SYED HASSAN</t>
  </si>
  <si>
    <t>SIGNATURE OF FACULTIES</t>
  </si>
  <si>
    <t>AB</t>
  </si>
  <si>
    <t>Dr. MG</t>
  </si>
  <si>
    <t>KM</t>
  </si>
  <si>
    <t>JM</t>
  </si>
  <si>
    <t>SMT</t>
  </si>
  <si>
    <t>Dr. SD</t>
  </si>
  <si>
    <t>Apoorva
/Kavitha S</t>
  </si>
  <si>
    <t xml:space="preserve">            Class Teacher Signature</t>
  </si>
  <si>
    <t>HOD Signature</t>
  </si>
  <si>
    <t xml:space="preserve">   </t>
  </si>
  <si>
    <t xml:space="preserve"> </t>
  </si>
  <si>
    <t>Principal Signature</t>
  </si>
  <si>
    <t xml:space="preserve">                                                                                                        STATEMENT OF IA-2 ATTENDANCE                  </t>
  </si>
  <si>
    <t>Till Date:26-05-26</t>
  </si>
  <si>
    <t>(9)(12)</t>
  </si>
  <si>
    <t>BCS402</t>
  </si>
  <si>
    <t>BUHK408</t>
  </si>
  <si>
    <t>Prof. Syeda Noor Fathima</t>
  </si>
  <si>
    <t>Apoorva/
Kavitha S</t>
  </si>
  <si>
    <t xml:space="preserve">                                                                                                        STATEMENT OF FINAL ATTENDANCE                  </t>
  </si>
  <si>
    <t>11 and 13</t>
  </si>
  <si>
    <t xml:space="preserve">    HKBK College of Engineering                                                                                                             </t>
  </si>
  <si>
    <t xml:space="preserve">Nagawara, Bengaluru-560045                   </t>
  </si>
  <si>
    <t>Department of Computer Science and Engineering</t>
  </si>
  <si>
    <t xml:space="preserve">                                         AY-2023-24</t>
  </si>
  <si>
    <t xml:space="preserve">AY 2025-26  </t>
  </si>
  <si>
    <t xml:space="preserve">                                                      CONSOLIDATED STATEMENT OF SECOND IA MARKS                                                                  </t>
  </si>
  <si>
    <t xml:space="preserve">        Sem IV/EVEN </t>
  </si>
  <si>
    <t>SEC: F</t>
  </si>
  <si>
    <t>Sno</t>
  </si>
  <si>
    <t>Name</t>
  </si>
  <si>
    <t xml:space="preserve">BCS401        </t>
  </si>
  <si>
    <t xml:space="preserve">BCS402        </t>
  </si>
  <si>
    <t xml:space="preserve">BCS403        </t>
  </si>
  <si>
    <t xml:space="preserve">BCS405A        </t>
  </si>
  <si>
    <t>BBOC407</t>
  </si>
  <si>
    <t>#of Subs &lt; 50% of IA</t>
  </si>
  <si>
    <t>Max 50</t>
  </si>
  <si>
    <t>YASHAWANT RAGHAVENDRA</t>
  </si>
  <si>
    <t>No of Students Present</t>
  </si>
  <si>
    <t>No of Students Absent</t>
  </si>
  <si>
    <t>No of Students secured less than Passing Mark(&lt;22)</t>
  </si>
  <si>
    <t>Dr.MG</t>
  </si>
  <si>
    <t>Noor 
Fathima</t>
  </si>
  <si>
    <t xml:space="preserve">  Signature of Class Teacher</t>
  </si>
  <si>
    <t xml:space="preserve">     Signature of HOD</t>
  </si>
  <si>
    <t xml:space="preserve">     Signature of Principal</t>
  </si>
  <si>
    <t xml:space="preserve">         </t>
  </si>
  <si>
    <t>Improvement Student List</t>
  </si>
  <si>
    <t xml:space="preserve"> 1HK25CS401</t>
  </si>
  <si>
    <t xml:space="preserve"> 1HK25CS404</t>
  </si>
  <si>
    <t xml:space="preserve"> 1HK25CS406</t>
  </si>
  <si>
    <t>HKBK/TL/022/2025-26</t>
  </si>
  <si>
    <r>
      <rPr>
        <rFont val="Times New Roman"/>
        <b/>
        <color theme="1"/>
        <sz val="20.0"/>
      </rPr>
      <t>HKBK College of Engineering</t>
    </r>
    <r>
      <rPr>
        <rFont val="Times New Roman"/>
        <b/>
        <color rgb="FF000000"/>
        <sz val="16.0"/>
      </rPr>
      <t xml:space="preserve">  </t>
    </r>
  </si>
  <si>
    <t xml:space="preserve">     Department of Computer Science and Engineering</t>
  </si>
  <si>
    <t>ODD Semester</t>
  </si>
  <si>
    <t xml:space="preserve">          MONTHLY SYLLABUS COVERAGE AND CLASS-TAKEN REPORT</t>
  </si>
  <si>
    <t xml:space="preserve">AY-2025-2026           SEM: IV              Sec: F                          Student Strength: 43               AS 0N   26-05-2026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</si>
  <si>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</t>
  </si>
  <si>
    <t>SNO</t>
  </si>
  <si>
    <t>Subject code</t>
  </si>
  <si>
    <t>Batches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</si>
  <si>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</si>
  <si>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</si>
  <si>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</si>
  <si>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</si>
  <si>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</si>
  <si>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</si>
  <si>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Signature</t>
  </si>
  <si>
    <t>Planned</t>
  </si>
  <si>
    <t>Taken</t>
  </si>
  <si>
    <t>Issued</t>
  </si>
  <si>
    <t>Valued</t>
  </si>
  <si>
    <t>Apoorva Bhimshetty</t>
  </si>
  <si>
    <t>Dr.Madhu Gopinath</t>
  </si>
  <si>
    <t>MG</t>
  </si>
  <si>
    <t>Krishna Meena</t>
  </si>
  <si>
    <t>Jagadish</t>
  </si>
  <si>
    <t>Sushmitha M T</t>
  </si>
  <si>
    <t>Noor Fathima</t>
  </si>
  <si>
    <t>NF</t>
  </si>
  <si>
    <t>Dr. Sujitha</t>
  </si>
  <si>
    <t>SD</t>
  </si>
  <si>
    <t>F1</t>
  </si>
  <si>
    <t>Sushmitha MT</t>
  </si>
  <si>
    <t>F2</t>
  </si>
  <si>
    <t>F1&amp; F2</t>
  </si>
  <si>
    <t>-</t>
  </si>
  <si>
    <t>--</t>
  </si>
  <si>
    <t>Apoorva/Kavitha S</t>
  </si>
  <si>
    <t>AB/KS</t>
  </si>
  <si>
    <t>Observation by Class Teacher: Syllabus Covered as per the COE</t>
  </si>
  <si>
    <t>Observation by HOD:</t>
  </si>
  <si>
    <t>CLASS TEACHER</t>
  </si>
  <si>
    <t>HOD</t>
  </si>
  <si>
    <r>
      <rPr>
        <rFont val="Times New Roman"/>
        <b/>
        <color theme="1"/>
        <sz val="11.0"/>
      </rPr>
      <t xml:space="preserve">            Observation by Principal:</t>
    </r>
    <r>
      <rPr>
        <rFont val="Times New Roman"/>
        <b/>
        <color theme="1"/>
        <sz val="12.0"/>
      </rPr>
      <t xml:space="preserve"> </t>
    </r>
  </si>
  <si>
    <t>PRINCIPAL</t>
  </si>
  <si>
    <t xml:space="preserve">                                                                                                                     </t>
  </si>
  <si>
    <r>
      <rPr>
        <rFont val="Times New Roman"/>
        <b/>
        <color theme="1"/>
        <sz val="20.0"/>
      </rPr>
      <t>HKBK College of Engineering</t>
    </r>
    <r>
      <rPr>
        <rFont val="Times New Roman"/>
        <b/>
        <color rgb="FF000000"/>
        <sz val="16.0"/>
      </rPr>
      <t xml:space="preserve">  </t>
    </r>
  </si>
  <si>
    <t xml:space="preserve">AY-2025-2026           SEM: IV              Sec: F                          Student Strength: 43               AS 0N   10-04-2026                                                                                                                                                                    </t>
  </si>
  <si>
    <t>#</t>
  </si>
  <si>
    <t xml:space="preserve">- </t>
  </si>
  <si>
    <r>
      <rPr>
        <rFont val="Times New Roman"/>
        <b/>
        <color theme="1"/>
        <sz val="11.0"/>
      </rPr>
      <t xml:space="preserve">            Observation by Principal:</t>
    </r>
    <r>
      <rPr>
        <rFont val="Times New Roman"/>
        <b/>
        <color theme="1"/>
        <sz val="12.0"/>
      </rPr>
      <t xml:space="preserve"> </t>
    </r>
  </si>
  <si>
    <t xml:space="preserve">                                                      CONSOLIDATED STATEMENT OF FIRST IA MARKS                                                                  </t>
  </si>
  <si>
    <t>No of Students secured less than Passing Mark</t>
  </si>
  <si>
    <t>HKBK College of Engineering</t>
  </si>
  <si>
    <t>STATEMENT OF ATTENDANCE &lt;75% (Before IA-1) MENTOR REPORT</t>
  </si>
  <si>
    <t>AY-2025-26                SECOND YEAR               SEM &amp; SEC - 4F</t>
  </si>
  <si>
    <t>Attendance Average</t>
  </si>
  <si>
    <t>Mentor Name</t>
  </si>
  <si>
    <t xml:space="preserve">Reason </t>
  </si>
  <si>
    <t>Prof. Krishna Meena</t>
  </si>
  <si>
    <t>Partcipates in sports so was irregular. Councelled him to be regular otherwise will be detained</t>
  </si>
  <si>
    <t>Undergone spine surgery and now recovering . 
Will be reporting back on a regular basis from now on.</t>
  </si>
  <si>
    <t>Went to tirupathi so couldn't attend . Will be regular from now on</t>
  </si>
  <si>
    <t>Improved compared to previous semester informed him to be regular</t>
  </si>
  <si>
    <t>Beacause of sports and starting classes he has not reported as was in home town. Usually he will be regular</t>
  </si>
  <si>
    <t>Councelled him to be regular.</t>
  </si>
  <si>
    <t>Prof. Subhatra</t>
  </si>
  <si>
    <t xml:space="preserve">he will b regular hereafter </t>
  </si>
  <si>
    <t>he will be regular hereafter  due to illness he was on leave</t>
  </si>
  <si>
    <t xml:space="preserve">He  was counselled and he has promised to be regular </t>
  </si>
  <si>
    <t>I have talked to his mother and informed her about it</t>
  </si>
  <si>
    <t>Went for pilgrim so here after she will be regular</t>
  </si>
  <si>
    <t>He was not keeping well ,he is now regular</t>
  </si>
  <si>
    <t>He had medical issues,he is regular now</t>
  </si>
  <si>
    <t>he had rreported late ,he is now regular</t>
  </si>
  <si>
    <t>He was counselled and has been regular since than</t>
  </si>
  <si>
    <t xml:space="preserve">she was counselled </t>
  </si>
  <si>
    <t>he was hospitalised for some days,promised to be regular</t>
  </si>
  <si>
    <t>Class Teacher</t>
  </si>
  <si>
    <t>STATEMENT OF ATTENDANCE &lt;75% (Before IA-2) MENTOR REPORT</t>
  </si>
  <si>
    <t>Was irregular due to participation in sports but now he is regular.Also spoke with his brother</t>
  </si>
  <si>
    <t>Previously because of surgery he was irregular. Post surgery he is coming on and off. Also informed his mother.</t>
  </si>
  <si>
    <t xml:space="preserve">Is usually regular last month because of brother's wedding he didn't attend </t>
  </si>
  <si>
    <t>Informed to be regular. Improved compared to 3rd sem</t>
  </si>
  <si>
    <t>Was informed to be regular.</t>
  </si>
  <si>
    <t>Starting classes he missed. Usually regular.</t>
  </si>
  <si>
    <t>He was irregular in the begining however he is regular now</t>
  </si>
  <si>
    <t xml:space="preserve">He is not regular inspite of regular counselling </t>
  </si>
  <si>
    <t>He had some health issues because of which he was irregular</t>
  </si>
  <si>
    <t>He has been regular to the class since last month</t>
  </si>
  <si>
    <t xml:space="preserve">he was admitted to hospital in the begining of semester. </t>
  </si>
  <si>
    <t xml:space="preserve">she is not regular inspite of regular counselling </t>
  </si>
  <si>
    <t xml:space="preserve">NAME </t>
  </si>
  <si>
    <t>Date</t>
  </si>
  <si>
    <t>Time</t>
  </si>
  <si>
    <t>Vasudev</t>
  </si>
  <si>
    <t>AI &amp; Prompt Engineering Master class</t>
  </si>
  <si>
    <t>27th March</t>
  </si>
  <si>
    <t>10:30 to 12:50 pm</t>
  </si>
  <si>
    <t>Yashwanth R S</t>
  </si>
  <si>
    <t>Vishal Kumar</t>
  </si>
  <si>
    <t>Vikesh</t>
  </si>
  <si>
    <t>Inter college sports Fest</t>
  </si>
  <si>
    <t>9th,10th March</t>
  </si>
  <si>
    <t>Cricket Tournament</t>
  </si>
  <si>
    <t>30th,31st March and 1st April</t>
  </si>
  <si>
    <t>Junaid</t>
  </si>
  <si>
    <t>Fever</t>
  </si>
  <si>
    <t>23th March to 31st March ( Give only 
5% attendance of the total no of classes )</t>
  </si>
  <si>
    <t>FOR IA-2</t>
  </si>
  <si>
    <t>Taher Hussain</t>
  </si>
  <si>
    <t>VTU Intercollege Volleyball Tournament</t>
  </si>
  <si>
    <t xml:space="preserve">27th ,28th,29th April and 5th May </t>
  </si>
  <si>
    <t>Tejas N P</t>
  </si>
  <si>
    <t xml:space="preserve">AbrarAhmed </t>
  </si>
  <si>
    <t>AbrarAhmed</t>
  </si>
  <si>
    <t xml:space="preserve">VTU Selection Sports </t>
  </si>
  <si>
    <t>8th May</t>
  </si>
  <si>
    <t xml:space="preserve">Yukta Suresh </t>
  </si>
  <si>
    <t>Hackathon</t>
  </si>
  <si>
    <t>15th &amp;16th April</t>
  </si>
  <si>
    <t xml:space="preserve">11th &amp;12th May </t>
  </si>
  <si>
    <t>Zoha Siddiqui</t>
  </si>
  <si>
    <t xml:space="preserve">15th &amp;16th April </t>
  </si>
  <si>
    <t xml:space="preserve">11th &amp; 12th May </t>
  </si>
  <si>
    <t>Vijay</t>
  </si>
  <si>
    <t>11th &amp;12 th May</t>
  </si>
  <si>
    <t>Vijay Kumar</t>
  </si>
  <si>
    <r>
      <rPr>
        <rFont val="Arial"/>
        <color theme="1"/>
      </rPr>
      <t xml:space="preserve">8th April to 16th April ( </t>
    </r>
    <r>
      <rPr>
        <rFont val="Arial"/>
        <b/>
        <color theme="1"/>
      </rPr>
      <t>Consider only 5%)</t>
    </r>
  </si>
  <si>
    <t>Ill health</t>
  </si>
  <si>
    <r>
      <rPr>
        <rFont val="Arial"/>
        <color theme="1"/>
      </rPr>
      <t xml:space="preserve">11th May to 15th May( </t>
    </r>
    <r>
      <rPr>
        <rFont val="Arial"/>
        <b/>
        <color theme="1"/>
      </rPr>
      <t>Consider only 5%</t>
    </r>
    <r>
      <rPr>
        <rFont val="Arial"/>
        <color theme="1"/>
      </rPr>
      <t>)</t>
    </r>
  </si>
  <si>
    <t>Bhavana</t>
  </si>
  <si>
    <t>11th &amp;12th May</t>
  </si>
  <si>
    <t>Vinayaka V</t>
  </si>
  <si>
    <t>Medical</t>
  </si>
  <si>
    <t>18th to 22nd May (consider only 5%)</t>
  </si>
  <si>
    <t>1Hk24CS308</t>
  </si>
  <si>
    <t>Vikram Ramesh</t>
  </si>
  <si>
    <t>18th to 24th May ( Consider only 5%)</t>
  </si>
  <si>
    <t>Zara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</si>
</sst>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 d"/>
    <numFmt numFmtId="165" formatCode="m/d"/>
  </numFmts>
  <fonts count="50">
    <font>
      <sz val="10.0"/>
      <color rgb="FF000000"/>
      <name val="Arial"/>
      <scheme val="minor"/>
    </font>
    <font>
      <sz val="9.0"/>
      <color rgb="FF000000"/>
      <name val="Times New Roman"/>
    </font>
    <font>
      <sz val="11.0"/>
      <color rgb="FF000000"/>
      <name val="Times New Roman"/>
    </font>
    <font>
      <b/>
      <sz val="9.0"/>
      <color theme="1"/>
      <name val="Times New Roman"/>
    </font>
    <font/>
    <font>
      <b/>
      <sz val="16.0"/>
      <color rgb="FF000000"/>
      <name val="Times New Roman"/>
    </font>
    <font>
      <b/>
      <sz val="12.0"/>
      <color rgb="FF000000"/>
      <name val="Times New Roman"/>
    </font>
    <font>
      <b/>
      <sz val="9.0"/>
      <color rgb="FF000000"/>
      <name val="Times New Roman"/>
    </font>
    <font>
      <sz val="9.0"/>
      <color rgb="FF000000"/>
      <name val="Calibri"/>
    </font>
    <font>
      <sz val="11.0"/>
      <color rgb="FF000000"/>
      <name val="Calibri"/>
    </font>
    <font>
      <sz val="9.0"/>
      <color rgb="FF000000"/>
      <name val="Arial"/>
    </font>
    <font>
      <b/>
      <sz val="11.0"/>
      <color rgb="FF000000"/>
      <name val="Times New Roman"/>
    </font>
    <font>
      <b/>
      <sz val="12.0"/>
      <color rgb="FF000000"/>
      <name val="Calibri"/>
    </font>
    <font>
      <b/>
      <sz val="10.0"/>
      <color theme="1"/>
      <name val="Times New Roman"/>
    </font>
    <font>
      <b/>
      <sz val="10.0"/>
      <color rgb="FF000000"/>
      <name val="Times New Roman"/>
    </font>
    <font>
      <b/>
      <sz val="9.0"/>
      <color rgb="FF000000"/>
      <name val="Calibri"/>
    </font>
    <font>
      <b/>
      <u/>
      <sz val="9.0"/>
      <color rgb="FF000000"/>
      <name val="Times New Roman"/>
    </font>
    <font>
      <sz val="10.0"/>
      <color rgb="FF000000"/>
      <name val="Times New Roman"/>
    </font>
    <font>
      <sz val="9.0"/>
      <color theme="1"/>
      <name val="Times New Roman"/>
    </font>
    <font>
      <color theme="1"/>
      <name val="Arial"/>
    </font>
    <font>
      <sz val="11.0"/>
      <color theme="1"/>
      <name val="Calibri"/>
    </font>
    <font>
      <sz val="8.0"/>
      <color rgb="FF000000"/>
      <name val="Arial"/>
    </font>
    <font>
      <color theme="1"/>
      <name val="Times New Roman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b/>
      <u/>
      <sz val="9.0"/>
      <color rgb="FF000000"/>
      <name val="Times New Roman"/>
    </font>
    <font>
      <b/>
      <u/>
      <sz val="9.0"/>
      <color rgb="FF000000"/>
      <name val="Times New Roman"/>
    </font>
    <font>
      <sz val="10.0"/>
      <color theme="1"/>
      <name val="Arial"/>
    </font>
    <font>
      <b/>
      <sz val="18.0"/>
      <color theme="1"/>
      <name val="Times New Roman"/>
    </font>
    <font>
      <sz val="16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2.0"/>
      <color rgb="FF000000"/>
      <name val="Times New Roman"/>
    </font>
    <font>
      <sz val="12.0"/>
      <color rgb="FF000000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b/>
      <u/>
      <sz val="11.0"/>
      <color theme="1"/>
      <name val="Times New Roman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b/>
      <sz val="20.0"/>
      <color theme="1"/>
      <name val="Times New Roman"/>
    </font>
    <font>
      <b/>
      <u/>
      <sz val="10.0"/>
      <color rgb="FF000000"/>
      <name val="Times New Roman"/>
    </font>
    <font>
      <sz val="10.0"/>
      <color theme="1"/>
      <name val="Times New Roman"/>
    </font>
    <font>
      <b/>
      <sz val="17.0"/>
      <color theme="1"/>
      <name val="Times New Roman"/>
    </font>
    <font>
      <b/>
      <sz val="13.0"/>
      <color theme="1"/>
      <name val="Times New Roman"/>
    </font>
    <font>
      <b/>
      <sz val="15.0"/>
      <color theme="1"/>
      <name val="Calibri"/>
    </font>
    <font>
      <b/>
      <sz val="15.0"/>
      <color theme="1"/>
      <name val="Times New Roman"/>
    </font>
    <font>
      <sz val="12.0"/>
      <color theme="1"/>
      <name val="Times New Roman"/>
    </font>
    <font>
      <sz val="9.0"/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 vertical="bottom"/>
    </xf>
    <xf borderId="1" fillId="0" fontId="3" numFmtId="1" xfId="0" applyAlignment="1" applyBorder="1" applyFont="1" applyNumberFormat="1">
      <alignment vertical="top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2" fontId="8" numFmtId="3" xfId="0" applyAlignment="1" applyBorder="1" applyFill="1" applyFont="1" applyNumberForma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7" numFmtId="0" xfId="0" applyAlignment="1" applyFont="1">
      <alignment horizontal="center" vertical="top"/>
    </xf>
    <xf borderId="5" fillId="0" fontId="14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bottom"/>
    </xf>
    <xf borderId="2" fillId="0" fontId="15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vertical="center"/>
    </xf>
    <xf borderId="5" fillId="0" fontId="6" numFmtId="0" xfId="0" applyAlignment="1" applyBorder="1" applyFont="1">
      <alignment horizontal="left" vertical="bottom"/>
    </xf>
    <xf borderId="8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3" fontId="7" numFmtId="0" xfId="0" applyAlignment="1" applyBorder="1" applyFill="1" applyFont="1">
      <alignment horizontal="center" vertical="center"/>
    </xf>
    <xf borderId="5" fillId="0" fontId="7" numFmtId="10" xfId="0" applyAlignment="1" applyBorder="1" applyFont="1" applyNumberFormat="1">
      <alignment horizontal="center" vertical="center"/>
    </xf>
    <xf borderId="9" fillId="0" fontId="14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6" fillId="2" fontId="17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left" shrinkToFit="0" vertical="bottom" wrapText="0"/>
    </xf>
    <xf borderId="6" fillId="0" fontId="9" numFmtId="1" xfId="0" applyAlignment="1" applyBorder="1" applyFont="1" applyNumberFormat="1">
      <alignment horizontal="right" readingOrder="0" shrinkToFit="0" vertical="center" wrapText="0"/>
    </xf>
    <xf borderId="6" fillId="0" fontId="9" numFmtId="1" xfId="0" applyAlignment="1" applyBorder="1" applyFont="1" applyNumberFormat="1">
      <alignment readingOrder="0" shrinkToFit="0" vertical="center" wrapText="0"/>
    </xf>
    <xf borderId="6" fillId="2" fontId="18" numFmtId="0" xfId="0" applyAlignment="1" applyBorder="1" applyFont="1">
      <alignment horizontal="center" readingOrder="0" shrinkToFit="0" vertical="center" wrapText="1"/>
    </xf>
    <xf borderId="6" fillId="2" fontId="18" numFmtId="1" xfId="0" applyAlignment="1" applyBorder="1" applyFont="1" applyNumberFormat="1">
      <alignment horizontal="center" readingOrder="0" vertical="center"/>
    </xf>
    <xf borderId="6" fillId="0" fontId="9" numFmtId="1" xfId="0" applyAlignment="1" applyBorder="1" applyFont="1" applyNumberFormat="1">
      <alignment horizontal="center" readingOrder="0" shrinkToFit="0" vertical="center" wrapText="0"/>
    </xf>
    <xf borderId="6" fillId="0" fontId="19" numFmtId="1" xfId="0" applyAlignment="1" applyBorder="1" applyFont="1" applyNumberFormat="1">
      <alignment horizontal="center" readingOrder="0" vertical="center"/>
    </xf>
    <xf borderId="6" fillId="0" fontId="20" numFmtId="1" xfId="0" applyAlignment="1" applyBorder="1" applyFont="1" applyNumberFormat="1">
      <alignment horizontal="right" vertical="bottom"/>
    </xf>
    <xf borderId="6" fillId="2" fontId="1" numFmtId="1" xfId="0" applyAlignment="1" applyBorder="1" applyFont="1" applyNumberForma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6" fillId="2" fontId="21" numFmtId="0" xfId="0" applyAlignment="1" applyBorder="1" applyFont="1">
      <alignment horizontal="center" shrinkToFit="0" vertical="center" wrapText="1"/>
    </xf>
    <xf borderId="6" fillId="2" fontId="1" numFmtId="1" xfId="0" applyAlignment="1" applyBorder="1" applyFont="1" applyNumberFormat="1">
      <alignment horizontal="center" readingOrder="0" shrinkToFit="0" vertical="center" wrapText="1"/>
    </xf>
    <xf borderId="6" fillId="2" fontId="1" numFmtId="3" xfId="0" applyAlignment="1" applyBorder="1" applyFont="1" applyNumberFormat="1">
      <alignment horizontal="center" shrinkToFit="0" vertical="center" wrapText="1"/>
    </xf>
    <xf borderId="6" fillId="0" fontId="9" numFmtId="3" xfId="0" applyAlignment="1" applyBorder="1" applyFont="1" applyNumberFormat="1">
      <alignment horizontal="center" readingOrder="0" shrinkToFit="0" vertical="center" wrapText="0"/>
    </xf>
    <xf borderId="6" fillId="0" fontId="9" numFmtId="3" xfId="0" applyAlignment="1" applyBorder="1" applyFont="1" applyNumberFormat="1">
      <alignment readingOrder="0" shrinkToFit="0" vertical="center" wrapText="0"/>
    </xf>
    <xf borderId="6" fillId="2" fontId="2" numFmtId="0" xfId="0" applyAlignment="1" applyBorder="1" applyFont="1">
      <alignment horizontal="center" shrinkToFit="0" vertical="top" wrapText="0"/>
    </xf>
    <xf borderId="6" fillId="0" fontId="2" numFmtId="0" xfId="0" applyAlignment="1" applyBorder="1" applyFont="1">
      <alignment horizontal="left" shrinkToFit="0" vertical="top" wrapText="0"/>
    </xf>
    <xf borderId="11" fillId="2" fontId="18" numFmtId="0" xfId="0" applyAlignment="1" applyBorder="1" applyFont="1">
      <alignment horizontal="center" readingOrder="0" shrinkToFit="0" vertical="center" wrapText="1"/>
    </xf>
    <xf borderId="6" fillId="2" fontId="3" numFmtId="1" xfId="0" applyAlignment="1" applyBorder="1" applyFont="1" applyNumberFormat="1">
      <alignment horizontal="center" readingOrder="0" vertical="center"/>
    </xf>
    <xf borderId="6" fillId="0" fontId="20" numFmtId="1" xfId="0" applyAlignment="1" applyBorder="1" applyFont="1" applyNumberFormat="1">
      <alignment horizontal="right" readingOrder="0" vertical="bottom"/>
    </xf>
    <xf borderId="6" fillId="2" fontId="9" numFmtId="3" xfId="0" applyAlignment="1" applyBorder="1" applyFont="1" applyNumberFormat="1">
      <alignment horizontal="center" readingOrder="0" shrinkToFit="0" vertical="center" wrapText="1"/>
    </xf>
    <xf borderId="6" fillId="2" fontId="2" numFmtId="3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2" fillId="3" fontId="7" numFmtId="3" xfId="0" applyAlignment="1" applyBorder="1" applyFont="1" applyNumberFormat="1">
      <alignment horizontal="center" readingOrder="0" vertical="center"/>
    </xf>
    <xf borderId="11" fillId="3" fontId="7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5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13" fillId="0" fontId="1" numFmtId="1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bottom"/>
    </xf>
    <xf borderId="4" fillId="2" fontId="21" numFmtId="0" xfId="0" applyAlignment="1" applyBorder="1" applyFont="1">
      <alignment horizontal="center" shrinkToFit="0" vertical="center" wrapText="1"/>
    </xf>
    <xf borderId="0" fillId="2" fontId="1" numFmtId="3" xfId="0" applyAlignment="1" applyFont="1" applyNumberFormat="1">
      <alignment horizontal="left" vertical="bottom"/>
    </xf>
    <xf borderId="4" fillId="2" fontId="1" numFmtId="3" xfId="0" applyAlignment="1" applyBorder="1" applyFont="1" applyNumberFormat="1">
      <alignment horizontal="left" vertical="bottom"/>
    </xf>
    <xf borderId="0" fillId="0" fontId="7" numFmtId="0" xfId="0" applyAlignment="1" applyFont="1">
      <alignment horizontal="right" vertical="center"/>
    </xf>
    <xf borderId="0" fillId="0" fontId="11" numFmtId="0" xfId="0" applyAlignment="1" applyFont="1">
      <alignment horizontal="right" vertical="center"/>
    </xf>
    <xf borderId="0" fillId="0" fontId="7" numFmtId="0" xfId="0" applyAlignment="1" applyFont="1">
      <alignment horizontal="left" vertical="top"/>
    </xf>
    <xf borderId="0" fillId="0" fontId="11" numFmtId="0" xfId="0" applyAlignment="1" applyFont="1">
      <alignment horizontal="center" vertical="center"/>
    </xf>
    <xf borderId="0" fillId="0" fontId="1" numFmtId="3" xfId="0" applyAlignment="1" applyFont="1" applyNumberForma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0" fontId="22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readingOrder="0" vertical="top"/>
    </xf>
    <xf borderId="0" fillId="0" fontId="11" numFmtId="0" xfId="0" applyAlignment="1" applyFont="1">
      <alignment horizontal="left" readingOrder="0" vertical="top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center"/>
    </xf>
    <xf borderId="0" fillId="0" fontId="3" numFmtId="1" xfId="0" applyAlignment="1" applyFont="1" applyNumberFormat="1">
      <alignment vertical="top"/>
    </xf>
    <xf borderId="0" fillId="0" fontId="7" numFmtId="0" xfId="0" applyAlignment="1" applyFont="1">
      <alignment readingOrder="0" vertical="bottom"/>
    </xf>
    <xf borderId="1" fillId="0" fontId="25" numFmtId="0" xfId="0" applyAlignment="1" applyBorder="1" applyFont="1">
      <alignment readingOrder="0" vertical="center"/>
    </xf>
    <xf borderId="5" fillId="0" fontId="26" numFmtId="164" xfId="0" applyAlignment="1" applyBorder="1" applyFont="1" applyNumberFormat="1">
      <alignment horizontal="center" readingOrder="0" vertical="center"/>
    </xf>
    <xf borderId="6" fillId="0" fontId="9" numFmtId="1" xfId="0" applyAlignment="1" applyBorder="1" applyFont="1" applyNumberFormat="1">
      <alignment horizontal="right" readingOrder="0" shrinkToFit="0" vertical="bottom" wrapText="0"/>
    </xf>
    <xf borderId="6" fillId="0" fontId="9" numFmtId="1" xfId="0" applyAlignment="1" applyBorder="1" applyFont="1" applyNumberFormat="1">
      <alignment readingOrder="0" shrinkToFit="0" vertical="bottom" wrapText="0"/>
    </xf>
    <xf borderId="6" fillId="2" fontId="10" numFmtId="1" xfId="0" applyAlignment="1" applyBorder="1" applyFont="1" applyNumberFormat="1">
      <alignment horizontal="center" shrinkToFit="0" vertical="center" wrapText="1"/>
    </xf>
    <xf borderId="6" fillId="0" fontId="20" numFmtId="1" xfId="0" applyAlignment="1" applyBorder="1" applyFont="1" applyNumberFormat="1">
      <alignment horizontal="center" vertical="center"/>
    </xf>
    <xf borderId="6" fillId="0" fontId="20" numFmtId="1" xfId="0" applyAlignment="1" applyBorder="1" applyFont="1" applyNumberFormat="1">
      <alignment horizontal="center" readingOrder="0" vertical="center"/>
    </xf>
    <xf borderId="6" fillId="2" fontId="1" numFmtId="3" xfId="0" applyAlignment="1" applyBorder="1" applyFont="1" applyNumberFormat="1">
      <alignment horizontal="center" readingOrder="0" shrinkToFit="0" vertical="center" wrapText="1"/>
    </xf>
    <xf borderId="14" fillId="0" fontId="4" numFmtId="0" xfId="0" applyAlignment="1" applyBorder="1" applyFont="1">
      <alignment vertical="center"/>
    </xf>
    <xf borderId="15" fillId="2" fontId="1" numFmtId="3" xfId="0" applyAlignment="1" applyBorder="1" applyFont="1" applyNumberFormat="1">
      <alignment horizontal="left" vertical="bottom"/>
    </xf>
    <xf borderId="16" fillId="0" fontId="27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vertical="center"/>
    </xf>
    <xf borderId="6" fillId="0" fontId="9" numFmtId="1" xfId="0" applyAlignment="1" applyBorder="1" applyFont="1" applyNumberFormat="1">
      <alignment horizontal="right" readingOrder="0" vertical="center"/>
    </xf>
    <xf borderId="6" fillId="0" fontId="19" numFmtId="1" xfId="0" applyAlignment="1" applyBorder="1" applyFont="1" applyNumberFormat="1">
      <alignment horizontal="center" vertical="center"/>
    </xf>
    <xf borderId="6" fillId="0" fontId="9" numFmtId="3" xfId="0" applyAlignment="1" applyBorder="1" applyFont="1" applyNumberFormat="1">
      <alignment horizontal="right" readingOrder="0" shrinkToFit="0" vertical="center" wrapText="0"/>
    </xf>
    <xf borderId="9" fillId="0" fontId="9" numFmtId="1" xfId="0" applyAlignment="1" applyBorder="1" applyFont="1" applyNumberFormat="1">
      <alignment horizontal="right" readingOrder="0" vertical="center"/>
    </xf>
    <xf borderId="6" fillId="0" fontId="19" numFmtId="1" xfId="0" applyAlignment="1" applyBorder="1" applyFont="1" applyNumberFormat="1">
      <alignment horizontal="center" readingOrder="0" vertical="center"/>
    </xf>
    <xf borderId="17" fillId="0" fontId="4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horizontal="center" readingOrder="0" vertical="center"/>
    </xf>
    <xf borderId="0" fillId="0" fontId="31" numFmtId="0" xfId="0" applyAlignment="1" applyFont="1">
      <alignment readingOrder="0" vertical="center"/>
    </xf>
    <xf borderId="5" fillId="0" fontId="32" numFmtId="0" xfId="0" applyAlignment="1" applyBorder="1" applyFont="1">
      <alignment horizontal="center" shrinkToFit="0" vertical="center" wrapText="1"/>
    </xf>
    <xf borderId="6" fillId="0" fontId="32" numFmtId="0" xfId="0" applyAlignment="1" applyBorder="1" applyFont="1">
      <alignment horizontal="center" readingOrder="0" shrinkToFit="0" vertical="center" wrapText="1"/>
    </xf>
    <xf borderId="6" fillId="0" fontId="32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vertical="center"/>
    </xf>
    <xf borderId="6" fillId="0" fontId="28" numFmtId="0" xfId="0" applyAlignment="1" applyBorder="1" applyFont="1">
      <alignment horizontal="center" vertical="bottom"/>
    </xf>
    <xf borderId="6" fillId="2" fontId="33" numFmtId="0" xfId="0" applyAlignment="1" applyBorder="1" applyFont="1">
      <alignment horizontal="center" shrinkToFit="0" vertical="bottom" wrapText="0"/>
    </xf>
    <xf borderId="6" fillId="0" fontId="34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horizontal="center" readingOrder="0" shrinkToFit="0" vertical="center" wrapText="1"/>
    </xf>
    <xf borderId="9" fillId="0" fontId="31" numFmtId="0" xfId="0" applyAlignment="1" applyBorder="1" applyFont="1">
      <alignment horizontal="center" readingOrder="0" vertical="center"/>
    </xf>
    <xf borderId="6" fillId="0" fontId="34" numFmtId="0" xfId="0" applyAlignment="1" applyBorder="1" applyFont="1">
      <alignment horizontal="center" readingOrder="0" shrinkToFit="0" vertical="bottom" wrapText="0"/>
    </xf>
    <xf borderId="6" fillId="0" fontId="31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right" vertical="center"/>
    </xf>
    <xf borderId="6" fillId="2" fontId="33" numFmtId="0" xfId="0" applyAlignment="1" applyBorder="1" applyFont="1">
      <alignment horizontal="center" shrinkToFit="0" vertical="top" wrapText="0"/>
    </xf>
    <xf borderId="6" fillId="0" fontId="2" numFmtId="0" xfId="0" applyAlignment="1" applyBorder="1" applyFont="1">
      <alignment horizontal="left" readingOrder="0" shrinkToFit="0" vertical="top" wrapText="0"/>
    </xf>
    <xf borderId="0" fillId="3" fontId="28" numFmtId="0" xfId="0" applyAlignment="1" applyFont="1">
      <alignment horizontal="right" vertical="center"/>
    </xf>
    <xf borderId="0" fillId="0" fontId="35" numFmtId="0" xfId="0" applyAlignment="1" applyFont="1">
      <alignment shrinkToFit="0" vertical="center" wrapText="1"/>
    </xf>
    <xf borderId="0" fillId="0" fontId="32" numFmtId="0" xfId="0" applyAlignment="1" applyFont="1">
      <alignment horizontal="center" shrinkToFit="0" vertical="center" wrapText="1"/>
    </xf>
    <xf borderId="1" fillId="0" fontId="35" numFmtId="0" xfId="0" applyAlignment="1" applyBorder="1" applyFont="1">
      <alignment shrinkToFit="0" vertical="center" wrapText="1"/>
    </xf>
    <xf borderId="6" fillId="0" fontId="28" numFmtId="0" xfId="0" applyAlignment="1" applyBorder="1" applyFont="1">
      <alignment readingOrder="0" vertical="center"/>
    </xf>
    <xf borderId="1" fillId="0" fontId="35" numFmtId="0" xfId="0" applyAlignment="1" applyBorder="1" applyFont="1">
      <alignment readingOrder="0" shrinkToFit="0" vertical="center" wrapText="1"/>
    </xf>
    <xf borderId="6" fillId="0" fontId="36" numFmtId="0" xfId="0" applyAlignment="1" applyBorder="1" applyFont="1">
      <alignment readingOrder="0" vertical="center"/>
    </xf>
    <xf borderId="1" fillId="0" fontId="32" numFmtId="0" xfId="0" applyAlignment="1" applyBorder="1" applyFont="1">
      <alignment shrinkToFit="0" vertical="center" wrapText="1"/>
    </xf>
    <xf borderId="6" fillId="0" fontId="37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vertical="center"/>
    </xf>
    <xf borderId="0" fillId="0" fontId="36" numFmtId="0" xfId="0" applyAlignment="1" applyFont="1">
      <alignment vertical="center"/>
    </xf>
    <xf borderId="6" fillId="0" fontId="34" numFmtId="0" xfId="0" applyAlignment="1" applyBorder="1" applyFont="1">
      <alignment readingOrder="0" shrinkToFit="0" vertical="bottom" wrapText="0"/>
    </xf>
    <xf borderId="6" fillId="2" fontId="38" numFmtId="0" xfId="0" applyAlignment="1" applyBorder="1" applyFont="1">
      <alignment horizontal="center" readingOrder="0" shrinkToFit="0" vertical="bottom" wrapText="0"/>
    </xf>
    <xf borderId="6" fillId="2" fontId="38" numFmtId="0" xfId="0" applyAlignment="1" applyBorder="1" applyFont="1">
      <alignment horizontal="center" readingOrder="0" shrinkToFit="0" vertical="top" wrapText="0"/>
    </xf>
    <xf borderId="6" fillId="0" fontId="39" numFmtId="0" xfId="0" applyAlignment="1" applyBorder="1" applyFont="1">
      <alignment horizontal="center" readingOrder="0" shrinkToFit="0" vertical="center" wrapText="0"/>
    </xf>
    <xf borderId="6" fillId="2" fontId="2" numFmtId="0" xfId="0" applyAlignment="1" applyBorder="1" applyFont="1">
      <alignment horizontal="center" readingOrder="0" shrinkToFit="0" vertical="center" wrapText="1"/>
    </xf>
    <xf borderId="6" fillId="0" fontId="39" numFmtId="0" xfId="0" applyAlignment="1" applyBorder="1" applyFont="1">
      <alignment horizontal="center" readingOrder="0" shrinkToFit="0" vertical="bottom" wrapText="0"/>
    </xf>
    <xf borderId="0" fillId="0" fontId="32" numFmtId="0" xfId="0" applyAlignment="1" applyFont="1">
      <alignment horizontal="center" vertical="center"/>
    </xf>
    <xf borderId="18" fillId="0" fontId="28" numFmtId="0" xfId="0" applyAlignment="1" applyBorder="1" applyFont="1">
      <alignment horizontal="center" vertical="center"/>
    </xf>
    <xf borderId="19" fillId="0" fontId="4" numFmtId="0" xfId="0" applyAlignment="1" applyBorder="1" applyFont="1">
      <alignment vertical="center"/>
    </xf>
    <xf borderId="0" fillId="0" fontId="40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5" numFmtId="0" xfId="0" applyAlignment="1" applyFont="1">
      <alignment readingOrder="0" vertical="center"/>
    </xf>
    <xf borderId="0" fillId="0" fontId="35" numFmtId="0" xfId="0" applyAlignment="1" applyFont="1">
      <alignment vertical="center"/>
    </xf>
    <xf borderId="20" fillId="0" fontId="41" numFmtId="0" xfId="0" applyAlignment="1" applyBorder="1" applyFont="1">
      <alignment horizontal="center" readingOrder="0"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vertical="center"/>
    </xf>
    <xf borderId="22" fillId="0" fontId="28" numFmtId="0" xfId="0" applyAlignment="1" applyBorder="1" applyFont="1">
      <alignment vertical="center"/>
    </xf>
    <xf borderId="23" fillId="0" fontId="13" numFmtId="0" xfId="0" applyAlignment="1" applyBorder="1" applyFont="1">
      <alignment horizontal="center" shrinkToFit="0" vertical="center" wrapText="1"/>
    </xf>
    <xf borderId="21" fillId="0" fontId="42" numFmtId="0" xfId="0" applyAlignment="1" applyBorder="1" applyFont="1">
      <alignment horizontal="center" shrinkToFit="0" vertical="center" wrapText="1"/>
    </xf>
    <xf borderId="22" fillId="0" fontId="42" numFmtId="0" xfId="0" applyAlignment="1" applyBorder="1" applyFont="1">
      <alignment readingOrder="0" shrinkToFit="0" vertical="center" wrapText="1"/>
    </xf>
    <xf borderId="6" fillId="0" fontId="42" numFmtId="0" xfId="0" applyAlignment="1" applyBorder="1" applyFont="1">
      <alignment horizontal="center" vertical="center"/>
    </xf>
    <xf borderId="6" fillId="0" fontId="25" numFmtId="0" xfId="0" applyAlignment="1" applyBorder="1" applyFont="1">
      <alignment horizontal="center" readingOrder="0" vertical="center"/>
    </xf>
    <xf borderId="6" fillId="0" fontId="25" numFmtId="9" xfId="0" applyAlignment="1" applyBorder="1" applyFont="1" applyNumberFormat="1">
      <alignment horizontal="center" readingOrder="0" vertical="center"/>
    </xf>
    <xf borderId="22" fillId="0" fontId="42" numFmtId="0" xfId="0" applyAlignment="1" applyBorder="1" applyFont="1">
      <alignment horizontal="center" readingOrder="0" shrinkToFit="0" vertical="center" wrapText="1"/>
    </xf>
    <xf borderId="9" fillId="0" fontId="42" numFmtId="0" xfId="0" applyAlignment="1" applyBorder="1" applyFont="1">
      <alignment horizontal="center" vertical="center"/>
    </xf>
    <xf borderId="6" fillId="0" fontId="42" numFmtId="0" xfId="0" applyAlignment="1" applyBorder="1" applyFont="1">
      <alignment horizontal="center" readingOrder="0" vertical="center"/>
    </xf>
    <xf borderId="6" fillId="0" fontId="42" numFmtId="9" xfId="0" applyAlignment="1" applyBorder="1" applyFont="1" applyNumberFormat="1">
      <alignment horizontal="center" readingOrder="0" shrinkToFit="0" vertical="center" wrapText="1"/>
    </xf>
    <xf borderId="17" fillId="0" fontId="42" numFmtId="0" xfId="0" applyAlignment="1" applyBorder="1" applyFont="1">
      <alignment horizontal="center" readingOrder="0" vertical="center"/>
    </xf>
    <xf borderId="17" fillId="0" fontId="42" numFmtId="9" xfId="0" applyAlignment="1" applyBorder="1" applyFont="1" applyNumberFormat="1">
      <alignment horizontal="center" readingOrder="0" vertical="center"/>
    </xf>
    <xf borderId="6" fillId="0" fontId="42" numFmtId="0" xfId="0" applyAlignment="1" applyBorder="1" applyFont="1">
      <alignment horizontal="center" readingOrder="0" shrinkToFit="0" vertical="center" wrapText="1"/>
    </xf>
    <xf borderId="21" fillId="0" fontId="42" numFmtId="0" xfId="0" applyAlignment="1" applyBorder="1" applyFont="1">
      <alignment horizontal="center" readingOrder="0" shrinkToFit="0" vertical="center" wrapText="1"/>
    </xf>
    <xf borderId="24" fillId="0" fontId="42" numFmtId="0" xfId="0" applyAlignment="1" applyBorder="1" applyFont="1">
      <alignment horizontal="center" readingOrder="0" shrinkToFit="0" vertical="center" wrapText="1"/>
    </xf>
    <xf borderId="23" fillId="0" fontId="42" numFmtId="0" xfId="0" applyAlignment="1" applyBorder="1" applyFont="1">
      <alignment readingOrder="0" shrinkToFit="0" vertical="center" wrapText="1"/>
    </xf>
    <xf borderId="9" fillId="0" fontId="42" numFmtId="0" xfId="0" applyAlignment="1" applyBorder="1" applyFont="1">
      <alignment horizontal="center" readingOrder="0" vertical="center"/>
    </xf>
    <xf borderId="10" fillId="0" fontId="42" numFmtId="0" xfId="0" applyAlignment="1" applyBorder="1" applyFont="1">
      <alignment horizontal="center" readingOrder="0" vertical="center"/>
    </xf>
    <xf borderId="23" fillId="0" fontId="42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vertical="center"/>
    </xf>
    <xf borderId="17" fillId="0" fontId="42" numFmtId="165" xfId="0" applyAlignment="1" applyBorder="1" applyFont="1" applyNumberFormat="1">
      <alignment horizontal="center" readingOrder="0" vertical="center"/>
    </xf>
    <xf borderId="25" fillId="0" fontId="32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25" fillId="0" fontId="32" numFmtId="0" xfId="0" applyAlignment="1" applyBorder="1" applyFont="1">
      <alignment shrinkToFit="0" vertical="center" wrapText="1"/>
    </xf>
    <xf borderId="28" fillId="0" fontId="35" numFmtId="0" xfId="0" applyAlignment="1" applyBorder="1" applyFont="1">
      <alignment horizontal="right" shrinkToFit="0" vertical="center" wrapText="1"/>
    </xf>
    <xf borderId="29" fillId="0" fontId="4" numFmtId="0" xfId="0" applyAlignment="1" applyBorder="1" applyFont="1">
      <alignment vertical="center"/>
    </xf>
    <xf borderId="28" fillId="0" fontId="32" numFmtId="0" xfId="0" applyAlignment="1" applyBorder="1" applyFont="1">
      <alignment horizontal="right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17" fillId="0" fontId="4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readingOrder="0" vertical="center"/>
    </xf>
    <xf borderId="0" fillId="0" fontId="40" numFmtId="0" xfId="0" applyAlignment="1" applyFont="1">
      <alignment horizontal="center" vertical="bottom"/>
    </xf>
    <xf borderId="0" fillId="0" fontId="28" numFmtId="0" xfId="0" applyAlignment="1" applyFont="1">
      <alignment vertical="bottom"/>
    </xf>
    <xf borderId="0" fillId="0" fontId="43" numFmtId="0" xfId="0" applyAlignment="1" applyFont="1">
      <alignment horizontal="center" vertical="bottom"/>
    </xf>
    <xf borderId="0" fillId="0" fontId="44" numFmtId="0" xfId="0" applyAlignment="1" applyFont="1">
      <alignment horizontal="center" vertical="bottom"/>
    </xf>
    <xf borderId="0" fillId="0" fontId="44" numFmtId="0" xfId="0" applyAlignment="1" applyFont="1">
      <alignment horizontal="center" readingOrder="0" vertical="bottom"/>
    </xf>
    <xf borderId="14" fillId="0" fontId="28" numFmtId="0" xfId="0" applyAlignment="1" applyBorder="1" applyFont="1">
      <alignment vertical="bottom"/>
    </xf>
    <xf borderId="6" fillId="2" fontId="45" numFmtId="0" xfId="0" applyAlignment="1" applyBorder="1" applyFont="1">
      <alignment horizontal="center" shrinkToFit="0" vertical="bottom" wrapText="1"/>
    </xf>
    <xf borderId="30" fillId="2" fontId="45" numFmtId="0" xfId="0" applyAlignment="1" applyBorder="1" applyFont="1">
      <alignment horizontal="center" shrinkToFit="0" vertical="bottom" wrapText="1"/>
    </xf>
    <xf borderId="5" fillId="2" fontId="45" numFmtId="0" xfId="0" applyAlignment="1" applyBorder="1" applyFont="1">
      <alignment horizontal="center" shrinkToFit="0" vertical="bottom" wrapText="1"/>
    </xf>
    <xf borderId="6" fillId="2" fontId="46" numFmtId="0" xfId="0" applyAlignment="1" applyBorder="1" applyFont="1">
      <alignment horizontal="center" shrinkToFit="0" vertical="bottom" wrapText="1"/>
    </xf>
    <xf borderId="6" fillId="0" fontId="35" numFmtId="0" xfId="0" applyAlignment="1" applyBorder="1" applyFont="1">
      <alignment horizontal="right" vertical="bottom"/>
    </xf>
    <xf borderId="1" fillId="0" fontId="28" numFmtId="9" xfId="0" applyAlignment="1" applyBorder="1" applyFont="1" applyNumberFormat="1">
      <alignment horizontal="center" readingOrder="0" vertical="bottom"/>
    </xf>
    <xf borderId="5" fillId="0" fontId="47" numFmtId="0" xfId="0" applyAlignment="1" applyBorder="1" applyFont="1">
      <alignment horizontal="center" readingOrder="0" vertical="center"/>
    </xf>
    <xf borderId="3" fillId="0" fontId="28" numFmtId="0" xfId="0" applyAlignment="1" applyBorder="1" applyFont="1">
      <alignment horizontal="left" readingOrder="0" shrinkToFit="0" vertical="bottom" wrapText="1"/>
    </xf>
    <xf borderId="3" fillId="0" fontId="28" numFmtId="0" xfId="0" applyAlignment="1" applyBorder="1" applyFont="1">
      <alignment horizontal="left" readingOrder="0" vertical="bottom"/>
    </xf>
    <xf borderId="6" fillId="0" fontId="28" numFmtId="9" xfId="0" applyAlignment="1" applyBorder="1" applyFont="1" applyNumberFormat="1">
      <alignment horizontal="center" readingOrder="0" vertical="bottom"/>
    </xf>
    <xf borderId="6" fillId="0" fontId="28" numFmtId="0" xfId="0" applyAlignment="1" applyBorder="1" applyFont="1">
      <alignment readingOrder="0" vertical="bottom"/>
    </xf>
    <xf borderId="6" fillId="0" fontId="35" numFmtId="0" xfId="0" applyAlignment="1" applyBorder="1" applyFont="1">
      <alignment horizontal="right" readingOrder="0" vertical="bottom"/>
    </xf>
    <xf borderId="6" fillId="0" fontId="48" numFmtId="0" xfId="0" applyAlignment="1" applyBorder="1" applyFont="1">
      <alignment readingOrder="0" vertical="bottom"/>
    </xf>
    <xf borderId="0" fillId="0" fontId="36" numFmtId="0" xfId="0" applyAlignment="1" applyFont="1">
      <alignment vertical="bottom"/>
    </xf>
    <xf borderId="7" fillId="0" fontId="47" numFmtId="0" xfId="0" applyAlignment="1" applyBorder="1" applyFont="1">
      <alignment horizontal="center" readingOrder="0" vertical="center"/>
    </xf>
    <xf borderId="6" fillId="0" fontId="25" numFmtId="0" xfId="0" applyAlignment="1" applyBorder="1" applyFont="1">
      <alignment readingOrder="0" vertical="center"/>
    </xf>
    <xf borderId="9" fillId="0" fontId="47" numFmtId="0" xfId="0" applyAlignment="1" applyBorder="1" applyFont="1">
      <alignment horizontal="center" readingOrder="0" vertical="center"/>
    </xf>
    <xf borderId="6" fillId="0" fontId="49" numFmtId="0" xfId="0" applyAlignment="1" applyBorder="1" applyFont="1">
      <alignment readingOrder="0" vertical="center"/>
    </xf>
    <xf borderId="6" fillId="0" fontId="25" numFmtId="0" xfId="0" applyAlignment="1" applyBorder="1" applyFont="1">
      <alignment vertical="center"/>
    </xf>
    <xf borderId="6" fillId="4" fontId="25" numFmtId="0" xfId="0" applyAlignment="1" applyBorder="1" applyFill="1" applyFont="1">
      <alignment vertical="center"/>
    </xf>
    <xf borderId="6" fillId="5" fontId="25" numFmtId="0" xfId="0" applyAlignment="1" applyBorder="1" applyFill="1" applyFont="1">
      <alignment vertical="center"/>
    </xf>
    <xf borderId="5" fillId="0" fontId="25" numFmtId="0" xfId="0" applyAlignment="1" applyBorder="1" applyFont="1">
      <alignment readingOrder="0" vertical="center"/>
    </xf>
    <xf borderId="0" fillId="4" fontId="2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57150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57150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0</xdr:row>
      <xdr:rowOff>57150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123825</xdr:rowOff>
    </xdr:from>
    <xdr:ext cx="65722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123825</xdr:rowOff>
    </xdr:from>
    <xdr:ext cx="65722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3</xdr:row>
      <xdr:rowOff>66675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3</xdr:row>
      <xdr:rowOff>66675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123825</xdr:rowOff>
    </xdr:from>
    <xdr:ext cx="65722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228600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228600</xdr:rowOff>
    </xdr:from>
    <xdr:ext cx="6572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dr.m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dr.m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3.25"/>
    <col customWidth="1" min="3" max="3" width="30.38"/>
    <col customWidth="1" min="4" max="4" width="4.13"/>
    <col customWidth="1" min="5" max="5" width="4.38"/>
    <col customWidth="1" min="6" max="6" width="3.88"/>
    <col customWidth="1" min="7" max="7" width="5.0"/>
    <col customWidth="1" min="8" max="8" width="3.88"/>
    <col customWidth="1" min="9" max="9" width="5.63"/>
    <col customWidth="1" min="10" max="10" width="4.13"/>
    <col customWidth="1" min="11" max="11" width="5.0"/>
    <col customWidth="1" min="12" max="12" width="4.75"/>
    <col customWidth="1" min="13" max="13" width="5.63"/>
    <col customWidth="1" min="14" max="14" width="4.63"/>
    <col customWidth="1" min="15" max="15" width="4.5"/>
    <col customWidth="1" min="16" max="16" width="3.88"/>
    <col customWidth="1" min="17" max="17" width="5.63"/>
    <col customWidth="1" min="18" max="20" width="4.88"/>
  </cols>
  <sheetData>
    <row r="1" ht="12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4" t="s">
        <v>0</v>
      </c>
      <c r="N1" s="5"/>
      <c r="O1" s="5"/>
      <c r="P1" s="5"/>
      <c r="Q1" s="5"/>
      <c r="R1" s="5"/>
      <c r="S1" s="5"/>
      <c r="T1" s="6"/>
    </row>
    <row r="2" ht="23.25" customHeight="1">
      <c r="A2" s="7" t="s">
        <v>1</v>
      </c>
    </row>
    <row r="3" ht="21.75" customHeight="1">
      <c r="A3" s="8" t="s">
        <v>2</v>
      </c>
    </row>
    <row r="4" ht="11.25" customHeight="1">
      <c r="A4" s="9" t="s">
        <v>3</v>
      </c>
    </row>
    <row r="5" ht="18.0" customHeight="1">
      <c r="A5" s="10"/>
      <c r="B5" s="11"/>
      <c r="D5" s="10"/>
      <c r="E5" s="10"/>
      <c r="F5" s="10"/>
      <c r="G5" s="10"/>
      <c r="H5" s="10"/>
      <c r="I5" s="10"/>
      <c r="J5" s="10"/>
      <c r="K5" s="12"/>
      <c r="L5" s="10"/>
      <c r="M5" s="10"/>
      <c r="N5" s="13"/>
      <c r="O5" s="13"/>
      <c r="P5" s="13"/>
      <c r="Q5" s="13"/>
      <c r="R5" s="9"/>
      <c r="S5" s="9"/>
      <c r="T5" s="9"/>
    </row>
    <row r="6" ht="20.25" customHeight="1">
      <c r="A6" s="10"/>
      <c r="B6" s="11"/>
      <c r="C6" s="14" t="s">
        <v>4</v>
      </c>
      <c r="D6" s="13"/>
      <c r="E6" s="10"/>
      <c r="F6" s="10"/>
      <c r="G6" s="10"/>
      <c r="H6" s="15" t="s">
        <v>5</v>
      </c>
      <c r="I6" s="16" t="s">
        <v>6</v>
      </c>
      <c r="J6" s="10"/>
      <c r="K6" s="12"/>
      <c r="M6" s="10"/>
      <c r="N6" s="10"/>
      <c r="O6" s="17" t="s">
        <v>7</v>
      </c>
      <c r="R6" s="18"/>
      <c r="S6" s="18"/>
      <c r="T6" s="18"/>
    </row>
    <row r="7" ht="14.25" customHeight="1">
      <c r="A7" s="19" t="s">
        <v>8</v>
      </c>
      <c r="B7" s="20" t="s">
        <v>9</v>
      </c>
      <c r="C7" s="21" t="s">
        <v>10</v>
      </c>
      <c r="D7" s="22">
        <v>20.0</v>
      </c>
      <c r="E7" s="6"/>
      <c r="F7" s="23">
        <v>19.0</v>
      </c>
      <c r="G7" s="6"/>
      <c r="H7" s="23">
        <v>29.0</v>
      </c>
      <c r="I7" s="6"/>
      <c r="J7" s="23">
        <v>22.0</v>
      </c>
      <c r="K7" s="6"/>
      <c r="L7" s="23">
        <v>6.0</v>
      </c>
      <c r="M7" s="6"/>
      <c r="N7" s="23">
        <v>10.0</v>
      </c>
      <c r="O7" s="6"/>
      <c r="P7" s="23">
        <v>4.0</v>
      </c>
      <c r="Q7" s="6"/>
      <c r="R7" s="24"/>
      <c r="S7" s="24"/>
      <c r="T7" s="24" t="s">
        <v>11</v>
      </c>
    </row>
    <row r="8" ht="22.5" customHeight="1">
      <c r="A8" s="25"/>
      <c r="B8" s="26"/>
      <c r="C8" s="21" t="s">
        <v>12</v>
      </c>
      <c r="D8" s="27" t="s">
        <v>13</v>
      </c>
      <c r="E8" s="6"/>
      <c r="F8" s="28" t="s">
        <v>14</v>
      </c>
      <c r="G8" s="6"/>
      <c r="H8" s="28" t="s">
        <v>15</v>
      </c>
      <c r="I8" s="6"/>
      <c r="J8" s="28" t="s">
        <v>16</v>
      </c>
      <c r="K8" s="6"/>
      <c r="L8" s="28" t="s">
        <v>17</v>
      </c>
      <c r="M8" s="6"/>
      <c r="N8" s="28" t="s">
        <v>18</v>
      </c>
      <c r="O8" s="6"/>
      <c r="P8" s="29" t="s">
        <v>19</v>
      </c>
      <c r="Q8" s="6"/>
      <c r="R8" s="30" t="s">
        <v>20</v>
      </c>
      <c r="S8" s="6"/>
      <c r="T8" s="31"/>
    </row>
    <row r="9" ht="11.25" customHeight="1">
      <c r="A9" s="25"/>
      <c r="B9" s="26"/>
      <c r="C9" s="32" t="s">
        <v>21</v>
      </c>
      <c r="D9" s="33" t="s">
        <v>22</v>
      </c>
      <c r="E9" s="34" t="s">
        <v>23</v>
      </c>
      <c r="F9" s="34" t="s">
        <v>22</v>
      </c>
      <c r="G9" s="34" t="s">
        <v>23</v>
      </c>
      <c r="H9" s="34" t="s">
        <v>22</v>
      </c>
      <c r="I9" s="35" t="s">
        <v>23</v>
      </c>
      <c r="J9" s="34" t="s">
        <v>22</v>
      </c>
      <c r="K9" s="34" t="s">
        <v>23</v>
      </c>
      <c r="L9" s="34" t="s">
        <v>22</v>
      </c>
      <c r="M9" s="34" t="s">
        <v>23</v>
      </c>
      <c r="N9" s="34" t="s">
        <v>22</v>
      </c>
      <c r="O9" s="34" t="s">
        <v>23</v>
      </c>
      <c r="P9" s="34" t="s">
        <v>22</v>
      </c>
      <c r="Q9" s="36" t="s">
        <v>23</v>
      </c>
      <c r="R9" s="34" t="s">
        <v>22</v>
      </c>
      <c r="S9" s="34" t="s">
        <v>23</v>
      </c>
      <c r="T9" s="31"/>
    </row>
    <row r="10" ht="9.0" customHeight="1">
      <c r="A10" s="37"/>
      <c r="B10" s="38"/>
      <c r="C10" s="39"/>
      <c r="D10" s="40"/>
      <c r="E10" s="31"/>
      <c r="F10" s="31"/>
      <c r="G10" s="39"/>
      <c r="H10" s="39"/>
      <c r="I10" s="31"/>
      <c r="J10" s="31"/>
      <c r="K10" s="31"/>
      <c r="L10" s="31"/>
      <c r="M10" s="31"/>
      <c r="N10" s="31"/>
      <c r="O10" s="39"/>
      <c r="P10" s="31"/>
      <c r="Q10" s="39"/>
      <c r="R10" s="31"/>
      <c r="S10" s="39"/>
      <c r="T10" s="31"/>
    </row>
    <row r="11" ht="22.5" customHeight="1">
      <c r="A11" s="41">
        <v>1.0</v>
      </c>
      <c r="B11" s="42" t="s">
        <v>24</v>
      </c>
      <c r="C11" s="43" t="s">
        <v>25</v>
      </c>
      <c r="D11" s="44">
        <v>16.0</v>
      </c>
      <c r="E11" s="45">
        <v>80.0</v>
      </c>
      <c r="F11" s="46">
        <v>13.0</v>
      </c>
      <c r="G11" s="47">
        <v>69.0</v>
      </c>
      <c r="H11" s="48">
        <v>24.0</v>
      </c>
      <c r="I11" s="49">
        <v>83.0</v>
      </c>
      <c r="J11" s="50">
        <v>18.0</v>
      </c>
      <c r="K11" s="51">
        <f t="shared" ref="K11:K53" si="1">J11/22*100</f>
        <v>81.81818182</v>
      </c>
      <c r="L11" s="52">
        <v>4.0</v>
      </c>
      <c r="M11" s="51">
        <f t="shared" ref="M11:M53" si="2">(L11/$L$7)*100</f>
        <v>66.66666667</v>
      </c>
      <c r="N11" s="52">
        <v>9.0</v>
      </c>
      <c r="O11" s="53">
        <f t="shared" ref="O11:O53" si="3">(N11/10)*100</f>
        <v>90</v>
      </c>
      <c r="P11" s="54">
        <v>3.0</v>
      </c>
      <c r="Q11" s="55">
        <f t="shared" ref="Q11:Q32" si="4">(P11/$P$7)*100</f>
        <v>75</v>
      </c>
      <c r="R11" s="56">
        <v>4.0</v>
      </c>
      <c r="S11" s="57">
        <v>66.67</v>
      </c>
      <c r="T11" s="55">
        <f t="shared" ref="T11:T53" si="5">AVERAGE(E11,G11,I11,K11,M11,O11,Q11,S11)</f>
        <v>76.51935606</v>
      </c>
    </row>
    <row r="12" ht="20.25" customHeight="1">
      <c r="A12" s="41">
        <v>2.0</v>
      </c>
      <c r="B12" s="58" t="s">
        <v>26</v>
      </c>
      <c r="C12" s="59" t="s">
        <v>27</v>
      </c>
      <c r="D12" s="44">
        <v>9.0</v>
      </c>
      <c r="E12" s="45">
        <v>45.0</v>
      </c>
      <c r="F12" s="60">
        <v>12.0</v>
      </c>
      <c r="G12" s="61">
        <v>64.0</v>
      </c>
      <c r="H12" s="48">
        <v>19.0</v>
      </c>
      <c r="I12" s="49">
        <v>66.0</v>
      </c>
      <c r="J12" s="62">
        <v>12.0</v>
      </c>
      <c r="K12" s="51">
        <f t="shared" si="1"/>
        <v>54.54545455</v>
      </c>
      <c r="L12" s="52">
        <v>4.0</v>
      </c>
      <c r="M12" s="51">
        <f t="shared" si="2"/>
        <v>66.66666667</v>
      </c>
      <c r="N12" s="52">
        <v>6.0</v>
      </c>
      <c r="O12" s="53">
        <f t="shared" si="3"/>
        <v>60</v>
      </c>
      <c r="P12" s="54">
        <v>2.0</v>
      </c>
      <c r="Q12" s="55">
        <f t="shared" si="4"/>
        <v>50</v>
      </c>
      <c r="R12" s="56">
        <v>3.0</v>
      </c>
      <c r="S12" s="57">
        <v>50.0</v>
      </c>
      <c r="T12" s="55">
        <f t="shared" si="5"/>
        <v>57.02651515</v>
      </c>
    </row>
    <row r="13" ht="18.0" customHeight="1">
      <c r="A13" s="41">
        <v>3.0</v>
      </c>
      <c r="B13" s="58" t="s">
        <v>28</v>
      </c>
      <c r="C13" s="59" t="s">
        <v>29</v>
      </c>
      <c r="D13" s="44">
        <v>11.0</v>
      </c>
      <c r="E13" s="45">
        <v>55.0</v>
      </c>
      <c r="F13" s="60">
        <v>18.0</v>
      </c>
      <c r="G13" s="47">
        <v>95.0</v>
      </c>
      <c r="H13" s="48">
        <v>19.0</v>
      </c>
      <c r="I13" s="49">
        <v>66.0</v>
      </c>
      <c r="J13" s="50">
        <v>17.0</v>
      </c>
      <c r="K13" s="51">
        <f t="shared" si="1"/>
        <v>77.27272727</v>
      </c>
      <c r="L13" s="52">
        <v>6.0</v>
      </c>
      <c r="M13" s="51">
        <f t="shared" si="2"/>
        <v>100</v>
      </c>
      <c r="N13" s="52">
        <v>9.0</v>
      </c>
      <c r="O13" s="53">
        <f t="shared" si="3"/>
        <v>90</v>
      </c>
      <c r="P13" s="54">
        <v>4.0</v>
      </c>
      <c r="Q13" s="55">
        <f t="shared" si="4"/>
        <v>100</v>
      </c>
      <c r="R13" s="56">
        <v>6.0</v>
      </c>
      <c r="S13" s="57">
        <v>100.0</v>
      </c>
      <c r="T13" s="55">
        <f t="shared" si="5"/>
        <v>85.40909091</v>
      </c>
    </row>
    <row r="14" ht="18.0" customHeight="1">
      <c r="A14" s="41">
        <v>4.0</v>
      </c>
      <c r="B14" s="58" t="s">
        <v>30</v>
      </c>
      <c r="C14" s="59" t="s">
        <v>31</v>
      </c>
      <c r="D14" s="44">
        <v>16.0</v>
      </c>
      <c r="E14" s="45">
        <v>80.0</v>
      </c>
      <c r="F14" s="60">
        <v>17.0</v>
      </c>
      <c r="G14" s="47">
        <v>90.0</v>
      </c>
      <c r="H14" s="48">
        <v>23.0</v>
      </c>
      <c r="I14" s="49">
        <v>79.0</v>
      </c>
      <c r="J14" s="50">
        <v>21.0</v>
      </c>
      <c r="K14" s="51">
        <f t="shared" si="1"/>
        <v>95.45454545</v>
      </c>
      <c r="L14" s="52">
        <v>6.0</v>
      </c>
      <c r="M14" s="51">
        <f t="shared" si="2"/>
        <v>100</v>
      </c>
      <c r="N14" s="52">
        <v>9.0</v>
      </c>
      <c r="O14" s="53">
        <f t="shared" si="3"/>
        <v>90</v>
      </c>
      <c r="P14" s="54">
        <v>4.0</v>
      </c>
      <c r="Q14" s="55">
        <f t="shared" si="4"/>
        <v>100</v>
      </c>
      <c r="R14" s="56">
        <v>5.0</v>
      </c>
      <c r="S14" s="57">
        <v>83.33</v>
      </c>
      <c r="T14" s="55">
        <f t="shared" si="5"/>
        <v>89.72306818</v>
      </c>
    </row>
    <row r="15" ht="18.0" customHeight="1">
      <c r="A15" s="41">
        <v>5.0</v>
      </c>
      <c r="B15" s="58" t="s">
        <v>32</v>
      </c>
      <c r="C15" s="59" t="s">
        <v>33</v>
      </c>
      <c r="D15" s="44">
        <v>0.0</v>
      </c>
      <c r="E15" s="45">
        <v>0.0</v>
      </c>
      <c r="F15" s="60">
        <v>0.0</v>
      </c>
      <c r="G15" s="61">
        <v>0.0</v>
      </c>
      <c r="H15" s="48">
        <v>0.0</v>
      </c>
      <c r="I15" s="49">
        <v>0.0</v>
      </c>
      <c r="J15" s="50">
        <v>0.0</v>
      </c>
      <c r="K15" s="51">
        <f t="shared" si="1"/>
        <v>0</v>
      </c>
      <c r="L15" s="52">
        <v>0.0</v>
      </c>
      <c r="M15" s="51">
        <f t="shared" si="2"/>
        <v>0</v>
      </c>
      <c r="N15" s="52">
        <v>0.0</v>
      </c>
      <c r="O15" s="53">
        <f t="shared" si="3"/>
        <v>0</v>
      </c>
      <c r="P15" s="54">
        <v>0.0</v>
      </c>
      <c r="Q15" s="55">
        <f t="shared" si="4"/>
        <v>0</v>
      </c>
      <c r="R15" s="56">
        <v>0.0</v>
      </c>
      <c r="S15" s="57">
        <v>0.0</v>
      </c>
      <c r="T15" s="55">
        <f t="shared" si="5"/>
        <v>0</v>
      </c>
    </row>
    <row r="16" ht="18.0" customHeight="1">
      <c r="A16" s="41">
        <v>6.0</v>
      </c>
      <c r="B16" s="58" t="s">
        <v>34</v>
      </c>
      <c r="C16" s="59" t="s">
        <v>35</v>
      </c>
      <c r="D16" s="44">
        <v>15.0</v>
      </c>
      <c r="E16" s="45">
        <v>75.0</v>
      </c>
      <c r="F16" s="60">
        <v>11.0</v>
      </c>
      <c r="G16" s="47">
        <v>58.0</v>
      </c>
      <c r="H16" s="48">
        <v>24.0</v>
      </c>
      <c r="I16" s="49">
        <v>83.0</v>
      </c>
      <c r="J16" s="50">
        <v>22.0</v>
      </c>
      <c r="K16" s="51">
        <f t="shared" si="1"/>
        <v>100</v>
      </c>
      <c r="L16" s="52">
        <v>5.0</v>
      </c>
      <c r="M16" s="51">
        <f t="shared" si="2"/>
        <v>83.33333333</v>
      </c>
      <c r="N16" s="52">
        <v>10.0</v>
      </c>
      <c r="O16" s="53">
        <f t="shared" si="3"/>
        <v>100</v>
      </c>
      <c r="P16" s="54">
        <v>4.0</v>
      </c>
      <c r="Q16" s="55">
        <f t="shared" si="4"/>
        <v>100</v>
      </c>
      <c r="R16" s="56">
        <v>6.0</v>
      </c>
      <c r="S16" s="57">
        <v>100.0</v>
      </c>
      <c r="T16" s="55">
        <f t="shared" si="5"/>
        <v>87.41666667</v>
      </c>
    </row>
    <row r="17" ht="18.0" customHeight="1">
      <c r="A17" s="41">
        <v>7.0</v>
      </c>
      <c r="B17" s="58" t="s">
        <v>36</v>
      </c>
      <c r="C17" s="59" t="s">
        <v>37</v>
      </c>
      <c r="D17" s="44">
        <v>16.0</v>
      </c>
      <c r="E17" s="45">
        <v>80.0</v>
      </c>
      <c r="F17" s="60">
        <v>16.0</v>
      </c>
      <c r="G17" s="47">
        <v>85.0</v>
      </c>
      <c r="H17" s="48">
        <v>18.0</v>
      </c>
      <c r="I17" s="49">
        <v>62.0</v>
      </c>
      <c r="J17" s="62">
        <v>16.0</v>
      </c>
      <c r="K17" s="51">
        <f t="shared" si="1"/>
        <v>72.72727273</v>
      </c>
      <c r="L17" s="52">
        <v>4.0</v>
      </c>
      <c r="M17" s="51">
        <f t="shared" si="2"/>
        <v>66.66666667</v>
      </c>
      <c r="N17" s="52">
        <v>10.0</v>
      </c>
      <c r="O17" s="53">
        <f t="shared" si="3"/>
        <v>100</v>
      </c>
      <c r="P17" s="54">
        <v>4.0</v>
      </c>
      <c r="Q17" s="55">
        <f t="shared" si="4"/>
        <v>100</v>
      </c>
      <c r="R17" s="56">
        <v>3.0</v>
      </c>
      <c r="S17" s="57">
        <v>50.0</v>
      </c>
      <c r="T17" s="55">
        <f t="shared" si="5"/>
        <v>77.04924242</v>
      </c>
    </row>
    <row r="18" ht="18.0" customHeight="1">
      <c r="A18" s="41">
        <v>8.0</v>
      </c>
      <c r="B18" s="58" t="s">
        <v>38</v>
      </c>
      <c r="C18" s="59" t="s">
        <v>39</v>
      </c>
      <c r="D18" s="44">
        <v>17.0</v>
      </c>
      <c r="E18" s="45">
        <v>85.0</v>
      </c>
      <c r="F18" s="60">
        <v>15.0</v>
      </c>
      <c r="G18" s="47">
        <v>79.0</v>
      </c>
      <c r="H18" s="48">
        <v>26.0</v>
      </c>
      <c r="I18" s="49">
        <v>90.0</v>
      </c>
      <c r="J18" s="50">
        <v>21.0</v>
      </c>
      <c r="K18" s="51">
        <f t="shared" si="1"/>
        <v>95.45454545</v>
      </c>
      <c r="L18" s="52">
        <v>5.0</v>
      </c>
      <c r="M18" s="51">
        <f t="shared" si="2"/>
        <v>83.33333333</v>
      </c>
      <c r="N18" s="52">
        <v>9.0</v>
      </c>
      <c r="O18" s="53">
        <f t="shared" si="3"/>
        <v>90</v>
      </c>
      <c r="P18" s="54">
        <v>3.0</v>
      </c>
      <c r="Q18" s="55">
        <f t="shared" si="4"/>
        <v>75</v>
      </c>
      <c r="R18" s="56">
        <v>5.0</v>
      </c>
      <c r="S18" s="57">
        <v>83.33</v>
      </c>
      <c r="T18" s="55">
        <f t="shared" si="5"/>
        <v>85.13973485</v>
      </c>
    </row>
    <row r="19" ht="18.0" customHeight="1">
      <c r="A19" s="41">
        <v>9.0</v>
      </c>
      <c r="B19" s="58" t="s">
        <v>40</v>
      </c>
      <c r="C19" s="59" t="s">
        <v>41</v>
      </c>
      <c r="D19" s="44">
        <v>19.0</v>
      </c>
      <c r="E19" s="45">
        <v>95.0</v>
      </c>
      <c r="F19" s="60">
        <v>19.0</v>
      </c>
      <c r="G19" s="47">
        <v>100.0</v>
      </c>
      <c r="H19" s="48">
        <v>29.0</v>
      </c>
      <c r="I19" s="49">
        <v>100.0</v>
      </c>
      <c r="J19" s="50">
        <v>22.0</v>
      </c>
      <c r="K19" s="51">
        <f t="shared" si="1"/>
        <v>100</v>
      </c>
      <c r="L19" s="52">
        <v>6.0</v>
      </c>
      <c r="M19" s="51">
        <f t="shared" si="2"/>
        <v>100</v>
      </c>
      <c r="N19" s="52">
        <v>10.0</v>
      </c>
      <c r="O19" s="53">
        <f t="shared" si="3"/>
        <v>100</v>
      </c>
      <c r="P19" s="54">
        <v>4.0</v>
      </c>
      <c r="Q19" s="55">
        <f t="shared" si="4"/>
        <v>100</v>
      </c>
      <c r="R19" s="56">
        <v>6.0</v>
      </c>
      <c r="S19" s="57">
        <v>100.0</v>
      </c>
      <c r="T19" s="55">
        <f t="shared" si="5"/>
        <v>99.375</v>
      </c>
    </row>
    <row r="20" ht="18.0" customHeight="1">
      <c r="A20" s="41">
        <v>10.0</v>
      </c>
      <c r="B20" s="58" t="s">
        <v>42</v>
      </c>
      <c r="C20" s="59" t="s">
        <v>43</v>
      </c>
      <c r="D20" s="44">
        <v>11.0</v>
      </c>
      <c r="E20" s="45">
        <v>55.0</v>
      </c>
      <c r="F20" s="60">
        <v>11.0</v>
      </c>
      <c r="G20" s="47">
        <v>58.0</v>
      </c>
      <c r="H20" s="48">
        <v>14.0</v>
      </c>
      <c r="I20" s="49">
        <v>48.0</v>
      </c>
      <c r="J20" s="62">
        <v>15.0</v>
      </c>
      <c r="K20" s="51">
        <f t="shared" si="1"/>
        <v>68.18181818</v>
      </c>
      <c r="L20" s="52">
        <v>4.0</v>
      </c>
      <c r="M20" s="51">
        <f t="shared" si="2"/>
        <v>66.66666667</v>
      </c>
      <c r="N20" s="52">
        <v>7.0</v>
      </c>
      <c r="O20" s="53">
        <f t="shared" si="3"/>
        <v>70</v>
      </c>
      <c r="P20" s="54">
        <v>2.0</v>
      </c>
      <c r="Q20" s="55">
        <f t="shared" si="4"/>
        <v>50</v>
      </c>
      <c r="R20" s="56">
        <v>3.0</v>
      </c>
      <c r="S20" s="57">
        <v>50.0</v>
      </c>
      <c r="T20" s="55">
        <f t="shared" si="5"/>
        <v>58.23106061</v>
      </c>
    </row>
    <row r="21" ht="18.0" customHeight="1">
      <c r="A21" s="41">
        <v>11.0</v>
      </c>
      <c r="B21" s="58" t="s">
        <v>44</v>
      </c>
      <c r="C21" s="59" t="s">
        <v>45</v>
      </c>
      <c r="D21" s="44">
        <v>20.0</v>
      </c>
      <c r="E21" s="45">
        <v>100.0</v>
      </c>
      <c r="F21" s="60">
        <v>19.0</v>
      </c>
      <c r="G21" s="47">
        <v>100.0</v>
      </c>
      <c r="H21" s="48">
        <v>29.0</v>
      </c>
      <c r="I21" s="49">
        <v>100.0</v>
      </c>
      <c r="J21" s="50">
        <v>22.0</v>
      </c>
      <c r="K21" s="51">
        <f t="shared" si="1"/>
        <v>100</v>
      </c>
      <c r="L21" s="52">
        <v>6.0</v>
      </c>
      <c r="M21" s="51">
        <f t="shared" si="2"/>
        <v>100</v>
      </c>
      <c r="N21" s="52">
        <v>10.0</v>
      </c>
      <c r="O21" s="53">
        <f t="shared" si="3"/>
        <v>100</v>
      </c>
      <c r="P21" s="54">
        <v>4.0</v>
      </c>
      <c r="Q21" s="55">
        <f t="shared" si="4"/>
        <v>100</v>
      </c>
      <c r="R21" s="56">
        <v>6.0</v>
      </c>
      <c r="S21" s="57">
        <v>100.0</v>
      </c>
      <c r="T21" s="55">
        <f t="shared" si="5"/>
        <v>100</v>
      </c>
    </row>
    <row r="22" ht="18.0" customHeight="1">
      <c r="A22" s="41">
        <v>12.0</v>
      </c>
      <c r="B22" s="58" t="s">
        <v>46</v>
      </c>
      <c r="C22" s="59" t="s">
        <v>47</v>
      </c>
      <c r="D22" s="44">
        <v>17.0</v>
      </c>
      <c r="E22" s="45">
        <v>85.0</v>
      </c>
      <c r="F22" s="60">
        <v>16.0</v>
      </c>
      <c r="G22" s="47">
        <v>85.0</v>
      </c>
      <c r="H22" s="48">
        <v>28.0</v>
      </c>
      <c r="I22" s="49">
        <v>97.0</v>
      </c>
      <c r="J22" s="50">
        <v>20.0</v>
      </c>
      <c r="K22" s="51">
        <f t="shared" si="1"/>
        <v>90.90909091</v>
      </c>
      <c r="L22" s="52">
        <v>4.0</v>
      </c>
      <c r="M22" s="51">
        <f t="shared" si="2"/>
        <v>66.66666667</v>
      </c>
      <c r="N22" s="52">
        <v>10.0</v>
      </c>
      <c r="O22" s="53">
        <f t="shared" si="3"/>
        <v>100</v>
      </c>
      <c r="P22" s="54">
        <v>2.0</v>
      </c>
      <c r="Q22" s="55">
        <f t="shared" si="4"/>
        <v>50</v>
      </c>
      <c r="R22" s="56">
        <v>5.0</v>
      </c>
      <c r="S22" s="57">
        <v>83.33</v>
      </c>
      <c r="T22" s="55">
        <f t="shared" si="5"/>
        <v>82.2382197</v>
      </c>
    </row>
    <row r="23" ht="18.0" customHeight="1">
      <c r="A23" s="41">
        <v>13.0</v>
      </c>
      <c r="B23" s="58" t="s">
        <v>48</v>
      </c>
      <c r="C23" s="59" t="s">
        <v>49</v>
      </c>
      <c r="D23" s="44">
        <v>16.0</v>
      </c>
      <c r="E23" s="45">
        <v>80.0</v>
      </c>
      <c r="F23" s="60">
        <v>12.0</v>
      </c>
      <c r="G23" s="61">
        <v>64.0</v>
      </c>
      <c r="H23" s="48">
        <v>15.0</v>
      </c>
      <c r="I23" s="49">
        <v>52.0</v>
      </c>
      <c r="J23" s="50">
        <v>17.0</v>
      </c>
      <c r="K23" s="51">
        <f t="shared" si="1"/>
        <v>77.27272727</v>
      </c>
      <c r="L23" s="52">
        <v>5.0</v>
      </c>
      <c r="M23" s="51">
        <f t="shared" si="2"/>
        <v>83.33333333</v>
      </c>
      <c r="N23" s="52">
        <v>7.0</v>
      </c>
      <c r="O23" s="53">
        <f t="shared" si="3"/>
        <v>70</v>
      </c>
      <c r="P23" s="54">
        <v>2.0</v>
      </c>
      <c r="Q23" s="55">
        <f t="shared" si="4"/>
        <v>50</v>
      </c>
      <c r="R23" s="56">
        <v>5.0</v>
      </c>
      <c r="S23" s="57">
        <v>83.33</v>
      </c>
      <c r="T23" s="55">
        <f t="shared" si="5"/>
        <v>69.99200758</v>
      </c>
    </row>
    <row r="24" ht="18.0" customHeight="1">
      <c r="A24" s="41">
        <v>14.0</v>
      </c>
      <c r="B24" s="58" t="s">
        <v>50</v>
      </c>
      <c r="C24" s="59" t="s">
        <v>51</v>
      </c>
      <c r="D24" s="44">
        <v>17.0</v>
      </c>
      <c r="E24" s="45">
        <v>85.0</v>
      </c>
      <c r="F24" s="60">
        <v>16.0</v>
      </c>
      <c r="G24" s="47">
        <v>85.0</v>
      </c>
      <c r="H24" s="48">
        <v>18.0</v>
      </c>
      <c r="I24" s="49">
        <v>62.0</v>
      </c>
      <c r="J24" s="50">
        <v>20.0</v>
      </c>
      <c r="K24" s="51">
        <f t="shared" si="1"/>
        <v>90.90909091</v>
      </c>
      <c r="L24" s="52">
        <v>6.0</v>
      </c>
      <c r="M24" s="51">
        <f t="shared" si="2"/>
        <v>100</v>
      </c>
      <c r="N24" s="52">
        <v>8.0</v>
      </c>
      <c r="O24" s="53">
        <f t="shared" si="3"/>
        <v>80</v>
      </c>
      <c r="P24" s="54">
        <v>2.0</v>
      </c>
      <c r="Q24" s="55">
        <f t="shared" si="4"/>
        <v>50</v>
      </c>
      <c r="R24" s="56">
        <v>6.0</v>
      </c>
      <c r="S24" s="57">
        <v>100.0</v>
      </c>
      <c r="T24" s="55">
        <f t="shared" si="5"/>
        <v>81.61363636</v>
      </c>
    </row>
    <row r="25" ht="18.0" customHeight="1">
      <c r="A25" s="41">
        <v>15.0</v>
      </c>
      <c r="B25" s="58" t="s">
        <v>52</v>
      </c>
      <c r="C25" s="59" t="s">
        <v>53</v>
      </c>
      <c r="D25" s="44">
        <v>15.0</v>
      </c>
      <c r="E25" s="45">
        <v>75.0</v>
      </c>
      <c r="F25" s="60">
        <v>14.0</v>
      </c>
      <c r="G25" s="47">
        <v>74.0</v>
      </c>
      <c r="H25" s="48">
        <v>13.0</v>
      </c>
      <c r="I25" s="49">
        <v>44.0</v>
      </c>
      <c r="J25" s="62">
        <v>16.0</v>
      </c>
      <c r="K25" s="51">
        <f t="shared" si="1"/>
        <v>72.72727273</v>
      </c>
      <c r="L25" s="52">
        <v>4.0</v>
      </c>
      <c r="M25" s="51">
        <f t="shared" si="2"/>
        <v>66.66666667</v>
      </c>
      <c r="N25" s="52">
        <v>7.0</v>
      </c>
      <c r="O25" s="53">
        <f t="shared" si="3"/>
        <v>70</v>
      </c>
      <c r="P25" s="54">
        <v>3.0</v>
      </c>
      <c r="Q25" s="55">
        <f t="shared" si="4"/>
        <v>75</v>
      </c>
      <c r="R25" s="56">
        <v>5.0</v>
      </c>
      <c r="S25" s="57">
        <v>83.0</v>
      </c>
      <c r="T25" s="55">
        <f t="shared" si="5"/>
        <v>70.04924242</v>
      </c>
    </row>
    <row r="26" ht="18.0" customHeight="1">
      <c r="A26" s="41">
        <v>16.0</v>
      </c>
      <c r="B26" s="58" t="s">
        <v>54</v>
      </c>
      <c r="C26" s="59" t="s">
        <v>55</v>
      </c>
      <c r="D26" s="44">
        <v>13.0</v>
      </c>
      <c r="E26" s="45">
        <v>65.0</v>
      </c>
      <c r="F26" s="60">
        <v>9.0</v>
      </c>
      <c r="G26" s="47">
        <v>48.0</v>
      </c>
      <c r="H26" s="48">
        <v>22.0</v>
      </c>
      <c r="I26" s="49">
        <v>75.0</v>
      </c>
      <c r="J26" s="62">
        <v>15.0</v>
      </c>
      <c r="K26" s="51">
        <f t="shared" si="1"/>
        <v>68.18181818</v>
      </c>
      <c r="L26" s="52">
        <v>3.0</v>
      </c>
      <c r="M26" s="51">
        <f t="shared" si="2"/>
        <v>50</v>
      </c>
      <c r="N26" s="52">
        <v>6.0</v>
      </c>
      <c r="O26" s="53">
        <f t="shared" si="3"/>
        <v>60</v>
      </c>
      <c r="P26" s="54">
        <v>0.0</v>
      </c>
      <c r="Q26" s="55">
        <f t="shared" si="4"/>
        <v>0</v>
      </c>
      <c r="R26" s="56">
        <v>3.0</v>
      </c>
      <c r="S26" s="57">
        <v>50.0</v>
      </c>
      <c r="T26" s="55">
        <f t="shared" si="5"/>
        <v>52.02272727</v>
      </c>
    </row>
    <row r="27" ht="18.0" customHeight="1">
      <c r="A27" s="41">
        <v>17.0</v>
      </c>
      <c r="B27" s="58" t="s">
        <v>56</v>
      </c>
      <c r="C27" s="59" t="s">
        <v>57</v>
      </c>
      <c r="D27" s="44">
        <v>13.0</v>
      </c>
      <c r="E27" s="45">
        <v>65.0</v>
      </c>
      <c r="F27" s="60">
        <v>12.0</v>
      </c>
      <c r="G27" s="61">
        <v>64.0</v>
      </c>
      <c r="H27" s="48">
        <v>19.0</v>
      </c>
      <c r="I27" s="49">
        <v>66.0</v>
      </c>
      <c r="J27" s="50">
        <v>17.0</v>
      </c>
      <c r="K27" s="51">
        <f t="shared" si="1"/>
        <v>77.27272727</v>
      </c>
      <c r="L27" s="52">
        <v>4.0</v>
      </c>
      <c r="M27" s="51">
        <f t="shared" si="2"/>
        <v>66.66666667</v>
      </c>
      <c r="N27" s="52">
        <v>7.0</v>
      </c>
      <c r="O27" s="53">
        <f t="shared" si="3"/>
        <v>70</v>
      </c>
      <c r="P27" s="54">
        <v>3.0</v>
      </c>
      <c r="Q27" s="55">
        <f t="shared" si="4"/>
        <v>75</v>
      </c>
      <c r="R27" s="56">
        <v>5.0</v>
      </c>
      <c r="S27" s="57">
        <v>83.33</v>
      </c>
      <c r="T27" s="55">
        <f t="shared" si="5"/>
        <v>70.90867424</v>
      </c>
    </row>
    <row r="28" ht="18.0" customHeight="1">
      <c r="A28" s="41">
        <v>18.0</v>
      </c>
      <c r="B28" s="58" t="s">
        <v>58</v>
      </c>
      <c r="C28" s="59" t="s">
        <v>59</v>
      </c>
      <c r="D28" s="44">
        <v>4.0</v>
      </c>
      <c r="E28" s="45">
        <v>20.0</v>
      </c>
      <c r="F28" s="60">
        <v>6.0</v>
      </c>
      <c r="G28" s="61">
        <v>32.0</v>
      </c>
      <c r="H28" s="48">
        <v>14.0</v>
      </c>
      <c r="I28" s="49">
        <v>48.0</v>
      </c>
      <c r="J28" s="50">
        <v>7.0</v>
      </c>
      <c r="K28" s="51">
        <f t="shared" si="1"/>
        <v>31.81818182</v>
      </c>
      <c r="L28" s="52">
        <v>1.0</v>
      </c>
      <c r="M28" s="51">
        <f t="shared" si="2"/>
        <v>16.66666667</v>
      </c>
      <c r="N28" s="52">
        <v>4.0</v>
      </c>
      <c r="O28" s="53">
        <f t="shared" si="3"/>
        <v>40</v>
      </c>
      <c r="P28" s="54">
        <v>3.0</v>
      </c>
      <c r="Q28" s="55">
        <f t="shared" si="4"/>
        <v>75</v>
      </c>
      <c r="R28" s="56">
        <v>1.0</v>
      </c>
      <c r="S28" s="57">
        <v>16.67</v>
      </c>
      <c r="T28" s="55">
        <f t="shared" si="5"/>
        <v>35.01935606</v>
      </c>
    </row>
    <row r="29" ht="18.0" customHeight="1">
      <c r="A29" s="41">
        <v>19.0</v>
      </c>
      <c r="B29" s="58" t="s">
        <v>60</v>
      </c>
      <c r="C29" s="59" t="s">
        <v>61</v>
      </c>
      <c r="D29" s="44">
        <v>13.0</v>
      </c>
      <c r="E29" s="45">
        <v>65.0</v>
      </c>
      <c r="F29" s="60">
        <v>12.0</v>
      </c>
      <c r="G29" s="61">
        <v>64.0</v>
      </c>
      <c r="H29" s="48">
        <v>13.0</v>
      </c>
      <c r="I29" s="49">
        <v>44.0</v>
      </c>
      <c r="J29" s="62">
        <v>16.0</v>
      </c>
      <c r="K29" s="51">
        <f t="shared" si="1"/>
        <v>72.72727273</v>
      </c>
      <c r="L29" s="52">
        <v>4.0</v>
      </c>
      <c r="M29" s="51">
        <f t="shared" si="2"/>
        <v>66.66666667</v>
      </c>
      <c r="N29" s="52">
        <v>6.0</v>
      </c>
      <c r="O29" s="53">
        <f t="shared" si="3"/>
        <v>60</v>
      </c>
      <c r="P29" s="54">
        <v>1.0</v>
      </c>
      <c r="Q29" s="55">
        <f t="shared" si="4"/>
        <v>25</v>
      </c>
      <c r="R29" s="56">
        <v>4.0</v>
      </c>
      <c r="S29" s="57">
        <v>66.67</v>
      </c>
      <c r="T29" s="55">
        <f t="shared" si="5"/>
        <v>58.00799242</v>
      </c>
    </row>
    <row r="30" ht="18.0" customHeight="1">
      <c r="A30" s="41">
        <v>20.0</v>
      </c>
      <c r="B30" s="58" t="s">
        <v>62</v>
      </c>
      <c r="C30" s="59" t="s">
        <v>63</v>
      </c>
      <c r="D30" s="44">
        <v>14.0</v>
      </c>
      <c r="E30" s="45">
        <v>70.0</v>
      </c>
      <c r="F30" s="60">
        <v>16.0</v>
      </c>
      <c r="G30" s="47">
        <v>85.0</v>
      </c>
      <c r="H30" s="48">
        <v>25.0</v>
      </c>
      <c r="I30" s="49">
        <v>86.0</v>
      </c>
      <c r="J30" s="50">
        <v>19.0</v>
      </c>
      <c r="K30" s="51">
        <f t="shared" si="1"/>
        <v>86.36363636</v>
      </c>
      <c r="L30" s="52">
        <v>5.0</v>
      </c>
      <c r="M30" s="51">
        <f t="shared" si="2"/>
        <v>83.33333333</v>
      </c>
      <c r="N30" s="52">
        <v>9.0</v>
      </c>
      <c r="O30" s="53">
        <f t="shared" si="3"/>
        <v>90</v>
      </c>
      <c r="P30" s="54">
        <v>4.0</v>
      </c>
      <c r="Q30" s="55">
        <f t="shared" si="4"/>
        <v>100</v>
      </c>
      <c r="R30" s="56">
        <v>5.0</v>
      </c>
      <c r="S30" s="57">
        <v>83.33</v>
      </c>
      <c r="T30" s="55">
        <f t="shared" si="5"/>
        <v>85.50337121</v>
      </c>
    </row>
    <row r="31" ht="18.0" customHeight="1">
      <c r="A31" s="41">
        <v>21.0</v>
      </c>
      <c r="B31" s="58" t="s">
        <v>64</v>
      </c>
      <c r="C31" s="59" t="s">
        <v>65</v>
      </c>
      <c r="D31" s="44">
        <v>6.0</v>
      </c>
      <c r="E31" s="45">
        <v>30.0</v>
      </c>
      <c r="F31" s="60">
        <v>8.0</v>
      </c>
      <c r="G31" s="47">
        <v>43.0</v>
      </c>
      <c r="H31" s="48">
        <v>6.0</v>
      </c>
      <c r="I31" s="49">
        <v>21.0</v>
      </c>
      <c r="J31" s="62">
        <v>9.0</v>
      </c>
      <c r="K31" s="51">
        <f t="shared" si="1"/>
        <v>40.90909091</v>
      </c>
      <c r="L31" s="52">
        <v>3.0</v>
      </c>
      <c r="M31" s="51">
        <f t="shared" si="2"/>
        <v>50</v>
      </c>
      <c r="N31" s="52">
        <v>4.0</v>
      </c>
      <c r="O31" s="53">
        <f t="shared" si="3"/>
        <v>40</v>
      </c>
      <c r="P31" s="54">
        <v>1.0</v>
      </c>
      <c r="Q31" s="55">
        <f t="shared" si="4"/>
        <v>25</v>
      </c>
      <c r="R31" s="56">
        <v>2.0</v>
      </c>
      <c r="S31" s="57">
        <v>33.33</v>
      </c>
      <c r="T31" s="55">
        <f t="shared" si="5"/>
        <v>35.40488636</v>
      </c>
    </row>
    <row r="32" ht="18.0" customHeight="1">
      <c r="A32" s="41">
        <v>22.0</v>
      </c>
      <c r="B32" s="58" t="s">
        <v>66</v>
      </c>
      <c r="C32" s="59" t="s">
        <v>67</v>
      </c>
      <c r="D32" s="44">
        <v>19.0</v>
      </c>
      <c r="E32" s="45">
        <v>95.0</v>
      </c>
      <c r="F32" s="60">
        <v>17.0</v>
      </c>
      <c r="G32" s="47">
        <v>90.0</v>
      </c>
      <c r="H32" s="48">
        <v>25.0</v>
      </c>
      <c r="I32" s="49">
        <v>86.0</v>
      </c>
      <c r="J32" s="50">
        <v>22.0</v>
      </c>
      <c r="K32" s="51">
        <f t="shared" si="1"/>
        <v>100</v>
      </c>
      <c r="L32" s="52">
        <v>5.0</v>
      </c>
      <c r="M32" s="51">
        <f t="shared" si="2"/>
        <v>83.33333333</v>
      </c>
      <c r="N32" s="52">
        <v>9.0</v>
      </c>
      <c r="O32" s="53">
        <f t="shared" si="3"/>
        <v>90</v>
      </c>
      <c r="P32" s="54">
        <v>4.0</v>
      </c>
      <c r="Q32" s="55">
        <f t="shared" si="4"/>
        <v>100</v>
      </c>
      <c r="R32" s="56">
        <v>6.0</v>
      </c>
      <c r="S32" s="57">
        <v>100.0</v>
      </c>
      <c r="T32" s="55">
        <f t="shared" si="5"/>
        <v>93.04166667</v>
      </c>
    </row>
    <row r="33" ht="18.0" customHeight="1">
      <c r="A33" s="41">
        <v>23.0</v>
      </c>
      <c r="B33" s="58" t="s">
        <v>68</v>
      </c>
      <c r="C33" s="59" t="s">
        <v>69</v>
      </c>
      <c r="D33" s="44">
        <v>18.0</v>
      </c>
      <c r="E33" s="45">
        <v>90.0</v>
      </c>
      <c r="F33" s="60">
        <v>16.0</v>
      </c>
      <c r="G33" s="47">
        <v>85.0</v>
      </c>
      <c r="H33" s="48">
        <v>25.0</v>
      </c>
      <c r="I33" s="49">
        <v>86.0</v>
      </c>
      <c r="J33" s="50">
        <v>18.0</v>
      </c>
      <c r="K33" s="51">
        <f t="shared" si="1"/>
        <v>81.81818182</v>
      </c>
      <c r="L33" s="52">
        <v>5.0</v>
      </c>
      <c r="M33" s="51">
        <f t="shared" si="2"/>
        <v>83.33333333</v>
      </c>
      <c r="N33" s="52">
        <v>9.0</v>
      </c>
      <c r="O33" s="53">
        <f t="shared" si="3"/>
        <v>90</v>
      </c>
      <c r="P33" s="54">
        <v>5.0</v>
      </c>
      <c r="Q33" s="55">
        <f t="shared" ref="Q33:Q53" si="6">(P33/6)*100</f>
        <v>83.33333333</v>
      </c>
      <c r="R33" s="63">
        <v>5.0</v>
      </c>
      <c r="S33" s="55">
        <f t="shared" ref="S33:S53" si="7">(R33/5)*100</f>
        <v>100</v>
      </c>
      <c r="T33" s="55">
        <f t="shared" si="5"/>
        <v>87.43560606</v>
      </c>
    </row>
    <row r="34" ht="18.0" customHeight="1">
      <c r="A34" s="41">
        <v>24.0</v>
      </c>
      <c r="B34" s="58" t="s">
        <v>70</v>
      </c>
      <c r="C34" s="59" t="s">
        <v>71</v>
      </c>
      <c r="D34" s="44">
        <v>20.0</v>
      </c>
      <c r="E34" s="45">
        <v>100.0</v>
      </c>
      <c r="F34" s="60">
        <v>17.0</v>
      </c>
      <c r="G34" s="47">
        <v>90.0</v>
      </c>
      <c r="H34" s="48">
        <v>28.0</v>
      </c>
      <c r="I34" s="49">
        <v>97.0</v>
      </c>
      <c r="J34" s="50">
        <v>22.0</v>
      </c>
      <c r="K34" s="51">
        <f t="shared" si="1"/>
        <v>100</v>
      </c>
      <c r="L34" s="52">
        <v>6.0</v>
      </c>
      <c r="M34" s="51">
        <f t="shared" si="2"/>
        <v>100</v>
      </c>
      <c r="N34" s="52">
        <v>10.0</v>
      </c>
      <c r="O34" s="53">
        <f t="shared" si="3"/>
        <v>100</v>
      </c>
      <c r="P34" s="54">
        <v>6.0</v>
      </c>
      <c r="Q34" s="55">
        <f t="shared" si="6"/>
        <v>100</v>
      </c>
      <c r="R34" s="64">
        <v>5.0</v>
      </c>
      <c r="S34" s="55">
        <f t="shared" si="7"/>
        <v>100</v>
      </c>
      <c r="T34" s="55">
        <f t="shared" si="5"/>
        <v>98.375</v>
      </c>
    </row>
    <row r="35" ht="18.0" customHeight="1">
      <c r="A35" s="41">
        <v>25.0</v>
      </c>
      <c r="B35" s="58" t="s">
        <v>72</v>
      </c>
      <c r="C35" s="59" t="s">
        <v>73</v>
      </c>
      <c r="D35" s="44">
        <v>16.0</v>
      </c>
      <c r="E35" s="45">
        <v>80.0</v>
      </c>
      <c r="F35" s="60">
        <v>15.0</v>
      </c>
      <c r="G35" s="47">
        <v>80.0</v>
      </c>
      <c r="H35" s="48">
        <v>24.0</v>
      </c>
      <c r="I35" s="49">
        <v>83.0</v>
      </c>
      <c r="J35" s="50">
        <v>18.0</v>
      </c>
      <c r="K35" s="51">
        <f t="shared" si="1"/>
        <v>81.81818182</v>
      </c>
      <c r="L35" s="52">
        <v>5.0</v>
      </c>
      <c r="M35" s="51">
        <f t="shared" si="2"/>
        <v>83.33333333</v>
      </c>
      <c r="N35" s="52">
        <v>8.0</v>
      </c>
      <c r="O35" s="53">
        <f t="shared" si="3"/>
        <v>80</v>
      </c>
      <c r="P35" s="54">
        <v>5.0</v>
      </c>
      <c r="Q35" s="55">
        <f t="shared" si="6"/>
        <v>83.33333333</v>
      </c>
      <c r="R35" s="64">
        <v>3.0</v>
      </c>
      <c r="S35" s="55">
        <f t="shared" si="7"/>
        <v>60</v>
      </c>
      <c r="T35" s="55">
        <f t="shared" si="5"/>
        <v>78.93560606</v>
      </c>
    </row>
    <row r="36" ht="18.0" customHeight="1">
      <c r="A36" s="41">
        <v>26.0</v>
      </c>
      <c r="B36" s="58" t="s">
        <v>74</v>
      </c>
      <c r="C36" s="59" t="s">
        <v>75</v>
      </c>
      <c r="D36" s="44">
        <v>17.0</v>
      </c>
      <c r="E36" s="45">
        <v>85.0</v>
      </c>
      <c r="F36" s="60">
        <v>14.0</v>
      </c>
      <c r="G36" s="47">
        <v>74.0</v>
      </c>
      <c r="H36" s="48">
        <v>22.0</v>
      </c>
      <c r="I36" s="49">
        <v>76.0</v>
      </c>
      <c r="J36" s="50">
        <v>21.0</v>
      </c>
      <c r="K36" s="51">
        <f t="shared" si="1"/>
        <v>95.45454545</v>
      </c>
      <c r="L36" s="52">
        <v>4.0</v>
      </c>
      <c r="M36" s="51">
        <f t="shared" si="2"/>
        <v>66.66666667</v>
      </c>
      <c r="N36" s="52">
        <v>9.0</v>
      </c>
      <c r="O36" s="53">
        <f t="shared" si="3"/>
        <v>90</v>
      </c>
      <c r="P36" s="54">
        <v>5.0</v>
      </c>
      <c r="Q36" s="55">
        <f t="shared" si="6"/>
        <v>83.33333333</v>
      </c>
      <c r="R36" s="64">
        <v>4.0</v>
      </c>
      <c r="S36" s="55">
        <f t="shared" si="7"/>
        <v>80</v>
      </c>
      <c r="T36" s="55">
        <f t="shared" si="5"/>
        <v>81.30681818</v>
      </c>
    </row>
    <row r="37" ht="14.25" customHeight="1">
      <c r="A37" s="41">
        <v>27.0</v>
      </c>
      <c r="B37" s="58" t="s">
        <v>76</v>
      </c>
      <c r="C37" s="59" t="s">
        <v>77</v>
      </c>
      <c r="D37" s="44">
        <v>18.0</v>
      </c>
      <c r="E37" s="45">
        <v>90.0</v>
      </c>
      <c r="F37" s="60">
        <v>15.0</v>
      </c>
      <c r="G37" s="47">
        <v>79.0</v>
      </c>
      <c r="H37" s="48">
        <v>22.0</v>
      </c>
      <c r="I37" s="49">
        <v>76.0</v>
      </c>
      <c r="J37" s="50">
        <v>18.0</v>
      </c>
      <c r="K37" s="51">
        <f t="shared" si="1"/>
        <v>81.81818182</v>
      </c>
      <c r="L37" s="52">
        <v>5.0</v>
      </c>
      <c r="M37" s="51">
        <f t="shared" si="2"/>
        <v>83.33333333</v>
      </c>
      <c r="N37" s="52">
        <v>9.0</v>
      </c>
      <c r="O37" s="53">
        <f t="shared" si="3"/>
        <v>90</v>
      </c>
      <c r="P37" s="54">
        <v>5.0</v>
      </c>
      <c r="Q37" s="55">
        <f t="shared" si="6"/>
        <v>83.33333333</v>
      </c>
      <c r="R37" s="63">
        <v>5.0</v>
      </c>
      <c r="S37" s="55">
        <f t="shared" si="7"/>
        <v>100</v>
      </c>
      <c r="T37" s="55">
        <f t="shared" si="5"/>
        <v>85.43560606</v>
      </c>
    </row>
    <row r="38" ht="18.0" customHeight="1">
      <c r="A38" s="41">
        <v>28.0</v>
      </c>
      <c r="B38" s="58" t="s">
        <v>78</v>
      </c>
      <c r="C38" s="59" t="s">
        <v>79</v>
      </c>
      <c r="D38" s="44">
        <v>15.0</v>
      </c>
      <c r="E38" s="45">
        <v>75.0</v>
      </c>
      <c r="F38" s="60">
        <v>13.0</v>
      </c>
      <c r="G38" s="61">
        <v>69.0</v>
      </c>
      <c r="H38" s="48">
        <v>19.0</v>
      </c>
      <c r="I38" s="49">
        <v>66.0</v>
      </c>
      <c r="J38" s="50">
        <v>18.0</v>
      </c>
      <c r="K38" s="51">
        <f t="shared" si="1"/>
        <v>81.81818182</v>
      </c>
      <c r="L38" s="52">
        <v>5.0</v>
      </c>
      <c r="M38" s="51">
        <f t="shared" si="2"/>
        <v>83.33333333</v>
      </c>
      <c r="N38" s="52">
        <v>8.0</v>
      </c>
      <c r="O38" s="53">
        <f t="shared" si="3"/>
        <v>80</v>
      </c>
      <c r="P38" s="54">
        <v>4.0</v>
      </c>
      <c r="Q38" s="55">
        <f t="shared" si="6"/>
        <v>66.66666667</v>
      </c>
      <c r="R38" s="63">
        <v>5.0</v>
      </c>
      <c r="S38" s="55">
        <f t="shared" si="7"/>
        <v>100</v>
      </c>
      <c r="T38" s="55">
        <f t="shared" si="5"/>
        <v>77.72727273</v>
      </c>
    </row>
    <row r="39" ht="18.0" customHeight="1">
      <c r="A39" s="41">
        <v>29.0</v>
      </c>
      <c r="B39" s="58" t="s">
        <v>80</v>
      </c>
      <c r="C39" s="59" t="s">
        <v>81</v>
      </c>
      <c r="D39" s="44">
        <v>9.0</v>
      </c>
      <c r="E39" s="45">
        <v>45.0</v>
      </c>
      <c r="F39" s="60">
        <v>8.0</v>
      </c>
      <c r="G39" s="47">
        <v>43.0</v>
      </c>
      <c r="H39" s="48">
        <v>13.0</v>
      </c>
      <c r="I39" s="49">
        <v>44.0</v>
      </c>
      <c r="J39" s="62">
        <v>13.0</v>
      </c>
      <c r="K39" s="51">
        <f t="shared" si="1"/>
        <v>59.09090909</v>
      </c>
      <c r="L39" s="52">
        <v>2.0</v>
      </c>
      <c r="M39" s="51">
        <f t="shared" si="2"/>
        <v>33.33333333</v>
      </c>
      <c r="N39" s="52">
        <v>5.0</v>
      </c>
      <c r="O39" s="53">
        <f t="shared" si="3"/>
        <v>50</v>
      </c>
      <c r="P39" s="54">
        <v>2.0</v>
      </c>
      <c r="Q39" s="55">
        <f t="shared" si="6"/>
        <v>33.33333333</v>
      </c>
      <c r="R39" s="63">
        <v>3.0</v>
      </c>
      <c r="S39" s="55">
        <f t="shared" si="7"/>
        <v>60</v>
      </c>
      <c r="T39" s="55">
        <f t="shared" si="5"/>
        <v>45.96969697</v>
      </c>
    </row>
    <row r="40" ht="18.0" customHeight="1">
      <c r="A40" s="41">
        <v>30.0</v>
      </c>
      <c r="B40" s="58" t="s">
        <v>82</v>
      </c>
      <c r="C40" s="59" t="s">
        <v>83</v>
      </c>
      <c r="D40" s="44">
        <v>9.0</v>
      </c>
      <c r="E40" s="45">
        <v>45.0</v>
      </c>
      <c r="F40" s="60">
        <v>11.0</v>
      </c>
      <c r="G40" s="61">
        <v>58.0</v>
      </c>
      <c r="H40" s="48">
        <v>19.0</v>
      </c>
      <c r="I40" s="49">
        <v>66.0</v>
      </c>
      <c r="J40" s="50">
        <v>17.0</v>
      </c>
      <c r="K40" s="51">
        <f t="shared" si="1"/>
        <v>77.27272727</v>
      </c>
      <c r="L40" s="52">
        <v>4.0</v>
      </c>
      <c r="M40" s="51">
        <f t="shared" si="2"/>
        <v>66.66666667</v>
      </c>
      <c r="N40" s="52">
        <v>8.0</v>
      </c>
      <c r="O40" s="53">
        <f t="shared" si="3"/>
        <v>80</v>
      </c>
      <c r="P40" s="54">
        <v>3.0</v>
      </c>
      <c r="Q40" s="55">
        <f t="shared" si="6"/>
        <v>50</v>
      </c>
      <c r="R40" s="63">
        <v>5.0</v>
      </c>
      <c r="S40" s="55">
        <f t="shared" si="7"/>
        <v>100</v>
      </c>
      <c r="T40" s="55">
        <f t="shared" si="5"/>
        <v>67.86742424</v>
      </c>
    </row>
    <row r="41" ht="18.0" customHeight="1">
      <c r="A41" s="41">
        <v>31.0</v>
      </c>
      <c r="B41" s="65" t="s">
        <v>84</v>
      </c>
      <c r="C41" s="66" t="s">
        <v>85</v>
      </c>
      <c r="D41" s="44">
        <v>10.0</v>
      </c>
      <c r="E41" s="45">
        <v>50.0</v>
      </c>
      <c r="F41" s="60">
        <v>11.0</v>
      </c>
      <c r="G41" s="47">
        <v>58.0</v>
      </c>
      <c r="H41" s="48">
        <v>23.0</v>
      </c>
      <c r="I41" s="49">
        <v>79.0</v>
      </c>
      <c r="J41" s="50">
        <v>17.0</v>
      </c>
      <c r="K41" s="51">
        <f t="shared" si="1"/>
        <v>77.27272727</v>
      </c>
      <c r="L41" s="52">
        <v>2.0</v>
      </c>
      <c r="M41" s="51">
        <f t="shared" si="2"/>
        <v>33.33333333</v>
      </c>
      <c r="N41" s="52">
        <v>10.0</v>
      </c>
      <c r="O41" s="53">
        <f t="shared" si="3"/>
        <v>100</v>
      </c>
      <c r="P41" s="54">
        <v>3.0</v>
      </c>
      <c r="Q41" s="55">
        <f t="shared" si="6"/>
        <v>50</v>
      </c>
      <c r="R41" s="63">
        <v>5.0</v>
      </c>
      <c r="S41" s="55">
        <f t="shared" si="7"/>
        <v>100</v>
      </c>
      <c r="T41" s="55">
        <f t="shared" si="5"/>
        <v>68.45075758</v>
      </c>
    </row>
    <row r="42" ht="18.0" customHeight="1">
      <c r="A42" s="41">
        <v>32.0</v>
      </c>
      <c r="B42" s="65" t="s">
        <v>86</v>
      </c>
      <c r="C42" s="66" t="s">
        <v>87</v>
      </c>
      <c r="D42" s="44">
        <v>6.0</v>
      </c>
      <c r="E42" s="45">
        <v>30.0</v>
      </c>
      <c r="F42" s="60">
        <v>1.0</v>
      </c>
      <c r="G42" s="47">
        <v>6.0</v>
      </c>
      <c r="H42" s="48">
        <v>5.0</v>
      </c>
      <c r="I42" s="49">
        <v>17.0</v>
      </c>
      <c r="J42" s="62">
        <v>6.0</v>
      </c>
      <c r="K42" s="51">
        <f t="shared" si="1"/>
        <v>27.27272727</v>
      </c>
      <c r="L42" s="52">
        <v>1.0</v>
      </c>
      <c r="M42" s="51">
        <f t="shared" si="2"/>
        <v>16.66666667</v>
      </c>
      <c r="N42" s="52">
        <v>1.0</v>
      </c>
      <c r="O42" s="53">
        <f t="shared" si="3"/>
        <v>10</v>
      </c>
      <c r="P42" s="54">
        <v>0.0</v>
      </c>
      <c r="Q42" s="55">
        <f t="shared" si="6"/>
        <v>0</v>
      </c>
      <c r="R42" s="63">
        <v>1.0</v>
      </c>
      <c r="S42" s="55">
        <f t="shared" si="7"/>
        <v>20</v>
      </c>
      <c r="T42" s="55">
        <f t="shared" si="5"/>
        <v>15.86742424</v>
      </c>
    </row>
    <row r="43" ht="18.0" customHeight="1">
      <c r="A43" s="41">
        <v>33.0</v>
      </c>
      <c r="B43" s="65" t="s">
        <v>88</v>
      </c>
      <c r="C43" s="66" t="s">
        <v>89</v>
      </c>
      <c r="D43" s="44">
        <v>18.0</v>
      </c>
      <c r="E43" s="45">
        <v>90.0</v>
      </c>
      <c r="F43" s="60">
        <v>17.0</v>
      </c>
      <c r="G43" s="47">
        <v>90.0</v>
      </c>
      <c r="H43" s="48">
        <v>28.0</v>
      </c>
      <c r="I43" s="49">
        <v>97.0</v>
      </c>
      <c r="J43" s="50">
        <v>20.0</v>
      </c>
      <c r="K43" s="51">
        <f t="shared" si="1"/>
        <v>90.90909091</v>
      </c>
      <c r="L43" s="52">
        <v>5.0</v>
      </c>
      <c r="M43" s="51">
        <f t="shared" si="2"/>
        <v>83.33333333</v>
      </c>
      <c r="N43" s="52">
        <v>8.0</v>
      </c>
      <c r="O43" s="53">
        <f t="shared" si="3"/>
        <v>80</v>
      </c>
      <c r="P43" s="54">
        <v>5.0</v>
      </c>
      <c r="Q43" s="55">
        <f t="shared" si="6"/>
        <v>83.33333333</v>
      </c>
      <c r="R43" s="63">
        <v>5.0</v>
      </c>
      <c r="S43" s="55">
        <f t="shared" si="7"/>
        <v>100</v>
      </c>
      <c r="T43" s="55">
        <f t="shared" si="5"/>
        <v>89.3219697</v>
      </c>
    </row>
    <row r="44" ht="18.0" customHeight="1">
      <c r="A44" s="41">
        <v>34.0</v>
      </c>
      <c r="B44" s="65" t="s">
        <v>90</v>
      </c>
      <c r="C44" s="66" t="s">
        <v>91</v>
      </c>
      <c r="D44" s="44">
        <v>17.0</v>
      </c>
      <c r="E44" s="45">
        <v>85.0</v>
      </c>
      <c r="F44" s="60">
        <v>12.0</v>
      </c>
      <c r="G44" s="47">
        <v>64.0</v>
      </c>
      <c r="H44" s="48">
        <v>22.0</v>
      </c>
      <c r="I44" s="49">
        <v>76.0</v>
      </c>
      <c r="J44" s="50">
        <v>21.0</v>
      </c>
      <c r="K44" s="51">
        <f t="shared" si="1"/>
        <v>95.45454545</v>
      </c>
      <c r="L44" s="52">
        <v>6.0</v>
      </c>
      <c r="M44" s="51">
        <f t="shared" si="2"/>
        <v>100</v>
      </c>
      <c r="N44" s="52">
        <v>8.0</v>
      </c>
      <c r="O44" s="53">
        <f t="shared" si="3"/>
        <v>80</v>
      </c>
      <c r="P44" s="54">
        <v>6.0</v>
      </c>
      <c r="Q44" s="55">
        <f t="shared" si="6"/>
        <v>100</v>
      </c>
      <c r="R44" s="63">
        <v>5.0</v>
      </c>
      <c r="S44" s="55">
        <f t="shared" si="7"/>
        <v>100</v>
      </c>
      <c r="T44" s="55">
        <f t="shared" si="5"/>
        <v>87.55681818</v>
      </c>
    </row>
    <row r="45" ht="18.0" customHeight="1">
      <c r="A45" s="41">
        <v>35.0</v>
      </c>
      <c r="B45" s="65" t="s">
        <v>92</v>
      </c>
      <c r="C45" s="66" t="s">
        <v>93</v>
      </c>
      <c r="D45" s="44">
        <v>15.0</v>
      </c>
      <c r="E45" s="45">
        <v>75.0</v>
      </c>
      <c r="F45" s="60">
        <v>13.0</v>
      </c>
      <c r="G45" s="61">
        <v>69.0</v>
      </c>
      <c r="H45" s="48">
        <v>23.0</v>
      </c>
      <c r="I45" s="49">
        <v>79.0</v>
      </c>
      <c r="J45" s="50">
        <v>17.0</v>
      </c>
      <c r="K45" s="51">
        <f t="shared" si="1"/>
        <v>77.27272727</v>
      </c>
      <c r="L45" s="52">
        <v>4.0</v>
      </c>
      <c r="M45" s="51">
        <f t="shared" si="2"/>
        <v>66.66666667</v>
      </c>
      <c r="N45" s="52">
        <v>8.0</v>
      </c>
      <c r="O45" s="53">
        <f t="shared" si="3"/>
        <v>80</v>
      </c>
      <c r="P45" s="54">
        <v>4.0</v>
      </c>
      <c r="Q45" s="55">
        <f t="shared" si="6"/>
        <v>66.66666667</v>
      </c>
      <c r="R45" s="63">
        <v>5.0</v>
      </c>
      <c r="S45" s="55">
        <f t="shared" si="7"/>
        <v>100</v>
      </c>
      <c r="T45" s="55">
        <f t="shared" si="5"/>
        <v>76.70075758</v>
      </c>
    </row>
    <row r="46" ht="18.0" customHeight="1">
      <c r="A46" s="41">
        <v>36.0</v>
      </c>
      <c r="B46" s="65" t="s">
        <v>94</v>
      </c>
      <c r="C46" s="66" t="s">
        <v>95</v>
      </c>
      <c r="D46" s="44">
        <v>15.0</v>
      </c>
      <c r="E46" s="45">
        <v>75.0</v>
      </c>
      <c r="F46" s="60">
        <v>10.0</v>
      </c>
      <c r="G46" s="47">
        <v>53.0</v>
      </c>
      <c r="H46" s="48">
        <v>22.0</v>
      </c>
      <c r="I46" s="49">
        <v>76.0</v>
      </c>
      <c r="J46" s="50">
        <v>16.0</v>
      </c>
      <c r="K46" s="51">
        <f t="shared" si="1"/>
        <v>72.72727273</v>
      </c>
      <c r="L46" s="52">
        <v>4.0</v>
      </c>
      <c r="M46" s="51">
        <f t="shared" si="2"/>
        <v>66.66666667</v>
      </c>
      <c r="N46" s="52">
        <v>4.0</v>
      </c>
      <c r="O46" s="53">
        <f t="shared" si="3"/>
        <v>40</v>
      </c>
      <c r="P46" s="54">
        <v>4.0</v>
      </c>
      <c r="Q46" s="55">
        <f t="shared" si="6"/>
        <v>66.66666667</v>
      </c>
      <c r="R46" s="63">
        <v>2.0</v>
      </c>
      <c r="S46" s="55">
        <f t="shared" si="7"/>
        <v>40</v>
      </c>
      <c r="T46" s="55">
        <f t="shared" si="5"/>
        <v>61.25757576</v>
      </c>
    </row>
    <row r="47" ht="18.0" customHeight="1">
      <c r="A47" s="41">
        <v>37.0</v>
      </c>
      <c r="B47" s="65" t="s">
        <v>96</v>
      </c>
      <c r="C47" s="66" t="s">
        <v>97</v>
      </c>
      <c r="D47" s="44">
        <v>10.0</v>
      </c>
      <c r="E47" s="45">
        <v>50.0</v>
      </c>
      <c r="F47" s="60">
        <v>11.0</v>
      </c>
      <c r="G47" s="47">
        <v>58.0</v>
      </c>
      <c r="H47" s="48">
        <v>18.0</v>
      </c>
      <c r="I47" s="49">
        <v>62.0</v>
      </c>
      <c r="J47" s="50">
        <v>14.0</v>
      </c>
      <c r="K47" s="51">
        <f t="shared" si="1"/>
        <v>63.63636364</v>
      </c>
      <c r="L47" s="52">
        <v>3.0</v>
      </c>
      <c r="M47" s="51">
        <f t="shared" si="2"/>
        <v>50</v>
      </c>
      <c r="N47" s="52">
        <v>8.0</v>
      </c>
      <c r="O47" s="53">
        <f t="shared" si="3"/>
        <v>80</v>
      </c>
      <c r="P47" s="54">
        <v>4.0</v>
      </c>
      <c r="Q47" s="55">
        <f t="shared" si="6"/>
        <v>66.66666667</v>
      </c>
      <c r="R47" s="63">
        <v>4.0</v>
      </c>
      <c r="S47" s="55">
        <f t="shared" si="7"/>
        <v>80</v>
      </c>
      <c r="T47" s="55">
        <f t="shared" si="5"/>
        <v>63.78787879</v>
      </c>
    </row>
    <row r="48" ht="18.0" customHeight="1">
      <c r="A48" s="41">
        <v>38.0</v>
      </c>
      <c r="B48" s="65" t="s">
        <v>98</v>
      </c>
      <c r="C48" s="66" t="s">
        <v>99</v>
      </c>
      <c r="D48" s="44">
        <v>9.0</v>
      </c>
      <c r="E48" s="45">
        <v>45.0</v>
      </c>
      <c r="F48" s="60">
        <v>8.0</v>
      </c>
      <c r="G48" s="47">
        <v>43.0</v>
      </c>
      <c r="H48" s="48">
        <v>14.0</v>
      </c>
      <c r="I48" s="49">
        <v>48.0</v>
      </c>
      <c r="J48" s="62">
        <v>13.0</v>
      </c>
      <c r="K48" s="51">
        <f t="shared" si="1"/>
        <v>59.09090909</v>
      </c>
      <c r="L48" s="52">
        <v>2.0</v>
      </c>
      <c r="M48" s="51">
        <f t="shared" si="2"/>
        <v>33.33333333</v>
      </c>
      <c r="N48" s="52">
        <v>2.0</v>
      </c>
      <c r="O48" s="53">
        <f t="shared" si="3"/>
        <v>20</v>
      </c>
      <c r="P48" s="54">
        <v>1.0</v>
      </c>
      <c r="Q48" s="55">
        <f t="shared" si="6"/>
        <v>16.66666667</v>
      </c>
      <c r="R48" s="63">
        <v>3.0</v>
      </c>
      <c r="S48" s="55">
        <f t="shared" si="7"/>
        <v>60</v>
      </c>
      <c r="T48" s="55">
        <f t="shared" si="5"/>
        <v>40.63636364</v>
      </c>
    </row>
    <row r="49" ht="18.0" customHeight="1">
      <c r="A49" s="41">
        <v>39.0</v>
      </c>
      <c r="B49" s="65" t="s">
        <v>100</v>
      </c>
      <c r="C49" s="66" t="s">
        <v>101</v>
      </c>
      <c r="D49" s="44">
        <v>11.0</v>
      </c>
      <c r="E49" s="45">
        <v>55.0</v>
      </c>
      <c r="F49" s="60">
        <v>10.0</v>
      </c>
      <c r="G49" s="47">
        <v>53.0</v>
      </c>
      <c r="H49" s="48">
        <v>21.0</v>
      </c>
      <c r="I49" s="49">
        <v>72.0</v>
      </c>
      <c r="J49" s="50">
        <v>17.0</v>
      </c>
      <c r="K49" s="51">
        <f t="shared" si="1"/>
        <v>77.27272727</v>
      </c>
      <c r="L49" s="52">
        <v>3.0</v>
      </c>
      <c r="M49" s="51">
        <f t="shared" si="2"/>
        <v>50</v>
      </c>
      <c r="N49" s="52">
        <v>7.0</v>
      </c>
      <c r="O49" s="53">
        <f t="shared" si="3"/>
        <v>70</v>
      </c>
      <c r="P49" s="54">
        <v>4.0</v>
      </c>
      <c r="Q49" s="55">
        <f t="shared" si="6"/>
        <v>66.66666667</v>
      </c>
      <c r="R49" s="63">
        <v>4.0</v>
      </c>
      <c r="S49" s="55">
        <f t="shared" si="7"/>
        <v>80</v>
      </c>
      <c r="T49" s="55">
        <f t="shared" si="5"/>
        <v>65.49242424</v>
      </c>
    </row>
    <row r="50" ht="18.0" customHeight="1">
      <c r="A50" s="41">
        <v>40.0</v>
      </c>
      <c r="B50" s="65" t="s">
        <v>102</v>
      </c>
      <c r="C50" s="66" t="s">
        <v>103</v>
      </c>
      <c r="D50" s="44">
        <v>14.0</v>
      </c>
      <c r="E50" s="45">
        <v>70.0</v>
      </c>
      <c r="F50" s="60">
        <v>13.0</v>
      </c>
      <c r="G50" s="47">
        <v>69.0</v>
      </c>
      <c r="H50" s="48">
        <v>20.0</v>
      </c>
      <c r="I50" s="49">
        <v>69.0</v>
      </c>
      <c r="J50" s="50">
        <v>18.0</v>
      </c>
      <c r="K50" s="51">
        <f t="shared" si="1"/>
        <v>81.81818182</v>
      </c>
      <c r="L50" s="52">
        <v>3.0</v>
      </c>
      <c r="M50" s="51">
        <f t="shared" si="2"/>
        <v>50</v>
      </c>
      <c r="N50" s="52">
        <v>8.0</v>
      </c>
      <c r="O50" s="53">
        <f t="shared" si="3"/>
        <v>80</v>
      </c>
      <c r="P50" s="54">
        <v>4.0</v>
      </c>
      <c r="Q50" s="55">
        <f t="shared" si="6"/>
        <v>66.66666667</v>
      </c>
      <c r="R50" s="63">
        <v>4.0</v>
      </c>
      <c r="S50" s="55">
        <f t="shared" si="7"/>
        <v>80</v>
      </c>
      <c r="T50" s="55">
        <f t="shared" si="5"/>
        <v>70.81060606</v>
      </c>
    </row>
    <row r="51" ht="18.0" customHeight="1">
      <c r="A51" s="41">
        <v>41.0</v>
      </c>
      <c r="B51" s="67" t="s">
        <v>104</v>
      </c>
      <c r="C51" s="66" t="s">
        <v>105</v>
      </c>
      <c r="D51" s="44">
        <v>9.0</v>
      </c>
      <c r="E51" s="45">
        <v>45.0</v>
      </c>
      <c r="F51" s="60">
        <v>9.0</v>
      </c>
      <c r="G51" s="61">
        <v>48.0</v>
      </c>
      <c r="H51" s="48">
        <v>14.0</v>
      </c>
      <c r="I51" s="49">
        <v>48.0</v>
      </c>
      <c r="J51" s="50">
        <v>13.0</v>
      </c>
      <c r="K51" s="51">
        <f t="shared" si="1"/>
        <v>59.09090909</v>
      </c>
      <c r="L51" s="52">
        <v>2.0</v>
      </c>
      <c r="M51" s="51">
        <f t="shared" si="2"/>
        <v>33.33333333</v>
      </c>
      <c r="N51" s="52">
        <v>8.0</v>
      </c>
      <c r="O51" s="53">
        <f t="shared" si="3"/>
        <v>80</v>
      </c>
      <c r="P51" s="54">
        <v>1.0</v>
      </c>
      <c r="Q51" s="55">
        <f t="shared" si="6"/>
        <v>16.66666667</v>
      </c>
      <c r="R51" s="63">
        <v>4.0</v>
      </c>
      <c r="S51" s="55">
        <f t="shared" si="7"/>
        <v>80</v>
      </c>
      <c r="T51" s="55">
        <f t="shared" si="5"/>
        <v>51.26136364</v>
      </c>
    </row>
    <row r="52" ht="18.0" customHeight="1">
      <c r="A52" s="41">
        <v>42.0</v>
      </c>
      <c r="B52" s="67" t="s">
        <v>106</v>
      </c>
      <c r="C52" s="68" t="s">
        <v>107</v>
      </c>
      <c r="D52" s="44">
        <v>14.0</v>
      </c>
      <c r="E52" s="45">
        <v>70.0</v>
      </c>
      <c r="F52" s="60">
        <v>14.0</v>
      </c>
      <c r="G52" s="47">
        <v>74.0</v>
      </c>
      <c r="H52" s="48">
        <v>19.0</v>
      </c>
      <c r="I52" s="49">
        <v>66.0</v>
      </c>
      <c r="J52" s="50">
        <v>17.0</v>
      </c>
      <c r="K52" s="51">
        <f t="shared" si="1"/>
        <v>77.27272727</v>
      </c>
      <c r="L52" s="52">
        <v>5.0</v>
      </c>
      <c r="M52" s="51">
        <f t="shared" si="2"/>
        <v>83.33333333</v>
      </c>
      <c r="N52" s="52">
        <v>8.0</v>
      </c>
      <c r="O52" s="53">
        <f t="shared" si="3"/>
        <v>80</v>
      </c>
      <c r="P52" s="54">
        <v>5.0</v>
      </c>
      <c r="Q52" s="55">
        <f t="shared" si="6"/>
        <v>83.33333333</v>
      </c>
      <c r="R52" s="63">
        <v>4.0</v>
      </c>
      <c r="S52" s="55">
        <f t="shared" si="7"/>
        <v>80</v>
      </c>
      <c r="T52" s="55">
        <f t="shared" si="5"/>
        <v>76.74242424</v>
      </c>
    </row>
    <row r="53" ht="18.0" customHeight="1">
      <c r="A53" s="41">
        <v>43.0</v>
      </c>
      <c r="B53" s="67" t="s">
        <v>108</v>
      </c>
      <c r="C53" s="69" t="s">
        <v>109</v>
      </c>
      <c r="D53" s="44">
        <v>10.0</v>
      </c>
      <c r="E53" s="45">
        <v>50.0</v>
      </c>
      <c r="F53" s="60">
        <v>4.0</v>
      </c>
      <c r="G53" s="47">
        <v>22.0</v>
      </c>
      <c r="H53" s="48">
        <v>14.0</v>
      </c>
      <c r="I53" s="49">
        <v>48.0</v>
      </c>
      <c r="J53" s="62">
        <v>12.0</v>
      </c>
      <c r="K53" s="51">
        <f t="shared" si="1"/>
        <v>54.54545455</v>
      </c>
      <c r="L53" s="52">
        <v>2.0</v>
      </c>
      <c r="M53" s="51">
        <f t="shared" si="2"/>
        <v>33.33333333</v>
      </c>
      <c r="N53" s="52">
        <v>3.0</v>
      </c>
      <c r="O53" s="53">
        <f t="shared" si="3"/>
        <v>30</v>
      </c>
      <c r="P53" s="54">
        <v>1.0</v>
      </c>
      <c r="Q53" s="55">
        <f t="shared" si="6"/>
        <v>16.66666667</v>
      </c>
      <c r="R53" s="63">
        <v>1.0</v>
      </c>
      <c r="S53" s="55">
        <f t="shared" si="7"/>
        <v>20</v>
      </c>
      <c r="T53" s="55">
        <f t="shared" si="5"/>
        <v>34.31818182</v>
      </c>
    </row>
    <row r="54" ht="29.25" customHeight="1">
      <c r="A54" s="70" t="s">
        <v>110</v>
      </c>
      <c r="B54" s="5"/>
      <c r="C54" s="6"/>
      <c r="D54" s="71" t="s">
        <v>111</v>
      </c>
      <c r="E54" s="6"/>
      <c r="F54" s="71" t="s">
        <v>112</v>
      </c>
      <c r="G54" s="6"/>
      <c r="H54" s="71" t="s">
        <v>113</v>
      </c>
      <c r="I54" s="6"/>
      <c r="J54" s="28" t="s">
        <v>114</v>
      </c>
      <c r="K54" s="6"/>
      <c r="L54" s="28" t="s">
        <v>115</v>
      </c>
      <c r="M54" s="6"/>
      <c r="N54" s="71" t="s">
        <v>116</v>
      </c>
      <c r="O54" s="6"/>
      <c r="P54" s="28" t="s">
        <v>115</v>
      </c>
      <c r="Q54" s="6"/>
      <c r="R54" s="72" t="s">
        <v>117</v>
      </c>
      <c r="S54" s="55"/>
      <c r="T54" s="73"/>
    </row>
    <row r="55" ht="27.0" customHeight="1">
      <c r="A55" s="74"/>
      <c r="B55" s="75"/>
      <c r="C55" s="76"/>
      <c r="D55" s="77"/>
      <c r="E55" s="77"/>
      <c r="F55" s="74"/>
      <c r="G55" s="78"/>
      <c r="H55" s="79"/>
      <c r="I55" s="79"/>
      <c r="J55" s="74"/>
      <c r="K55" s="13"/>
      <c r="L55" s="74"/>
      <c r="M55" s="13"/>
      <c r="N55" s="74"/>
      <c r="O55" s="80"/>
      <c r="P55" s="74"/>
      <c r="Q55" s="74"/>
      <c r="R55" s="81"/>
      <c r="S55" s="81"/>
      <c r="T55" s="82"/>
    </row>
    <row r="56" ht="29.25" customHeight="1">
      <c r="A56" s="83"/>
      <c r="B56" s="84" t="s">
        <v>118</v>
      </c>
      <c r="D56" s="13"/>
      <c r="E56" s="13"/>
      <c r="F56" s="85"/>
      <c r="G56" s="86" t="s">
        <v>119</v>
      </c>
      <c r="H56" s="13"/>
      <c r="I56" s="87" t="s">
        <v>120</v>
      </c>
      <c r="J56" s="74"/>
      <c r="K56" s="88" t="s">
        <v>121</v>
      </c>
      <c r="L56" s="89"/>
      <c r="M56" s="86"/>
      <c r="N56" s="90"/>
      <c r="O56" s="80"/>
      <c r="P56" s="91"/>
      <c r="Q56" s="92" t="s">
        <v>122</v>
      </c>
      <c r="R56" s="86"/>
      <c r="S56" s="86"/>
      <c r="T56" s="86"/>
    </row>
    <row r="57" ht="11.25" customHeight="1">
      <c r="A57" s="83"/>
      <c r="B57" s="84"/>
      <c r="C57" s="13"/>
      <c r="D57" s="1"/>
      <c r="E57" s="1"/>
      <c r="F57" s="1"/>
      <c r="G57" s="1"/>
      <c r="H57" s="1"/>
      <c r="I57" s="1"/>
      <c r="J57" s="1"/>
      <c r="K57" s="1"/>
      <c r="L57" s="13"/>
      <c r="M57" s="13"/>
      <c r="N57" s="13"/>
      <c r="O57" s="13"/>
      <c r="P57" s="1"/>
      <c r="Q57" s="1"/>
      <c r="R57" s="86"/>
      <c r="S57" s="13"/>
      <c r="T57" s="13"/>
    </row>
    <row r="58" ht="11.25" customHeight="1">
      <c r="A58" s="13"/>
      <c r="B58" s="9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1.25" customHeight="1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1.25" customHeight="1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1.25" customHeight="1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1.25" customHeight="1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1.25" customHeight="1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1.25" customHeight="1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1.25" customHeight="1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1.25" customHeight="1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1.25" customHeight="1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1.25" customHeight="1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1.2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1.2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1.2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1.2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1.2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1.2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1.2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1.2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1.2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1.2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1.2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1.2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1.2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1.2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1.2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1.2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1.2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1.2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1.2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1.2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1.2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1.2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1.2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1.2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1.2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1.2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1.2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1.2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1.2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1.2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1.2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1.2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1.2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1.2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1.2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1.2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1.2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1.2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1.2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1.2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1.2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1.2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1.2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1.2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1.2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1.2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1.2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1.2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1.2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1.2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1.2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1.2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1.2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1.2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1.2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1.2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1.2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1.2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1.2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1.2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1.2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1.2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1.2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1.2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1.2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1.2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1.2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1.2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1.2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1.2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1.2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1.2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1.2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1.2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1.2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1.2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1.2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1.2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1.2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1.2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1.2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1.2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1.2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1.2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1.2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1.2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1.2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1.2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1.2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1.2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1.2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1.2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1.2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1.2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1.2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1.2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1.2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1.2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1.2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1.2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1.2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1.2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1.2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1.2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1.2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1.2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1.2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1.2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1.2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1.2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1.2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1.2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1.2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1.2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1.2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1.2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1.2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1.2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1.2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1.2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1.2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1.2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1.2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1.2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1.2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1.2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1.2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1.2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1.2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1.2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1.2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1.2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1.2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1.2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1.2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1.2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1.2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1.2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1.2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1.2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1.2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1.2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1.2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1.2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1.2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1.2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1.2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1.2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1.2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1.2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1.2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1.2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1.2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1.2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1.2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1.2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1.2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1.2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1.2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1.2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1.2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1.2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1.2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1.2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1.2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1.2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1.2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1.2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1.2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1.2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1.2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1.2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1.2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1.2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1.2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1.2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1.2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1.2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1.2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1.2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1.2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1.2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1.2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1.2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1.2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1.2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1.2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1.2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B257" s="94"/>
    </row>
    <row r="258" ht="15.75" customHeight="1">
      <c r="B258" s="94"/>
    </row>
    <row r="259" ht="15.75" customHeight="1">
      <c r="B259" s="94"/>
    </row>
    <row r="260" ht="15.75" customHeight="1">
      <c r="B260" s="94"/>
    </row>
    <row r="261" ht="15.75" customHeight="1">
      <c r="B261" s="94"/>
    </row>
    <row r="262" ht="15.75" customHeight="1">
      <c r="B262" s="94"/>
    </row>
    <row r="263" ht="15.75" customHeight="1">
      <c r="B263" s="94"/>
    </row>
    <row r="264" ht="15.75" customHeight="1">
      <c r="B264" s="94"/>
    </row>
    <row r="265" ht="15.75" customHeight="1">
      <c r="B265" s="94"/>
    </row>
    <row r="266" ht="15.75" customHeight="1">
      <c r="B266" s="94"/>
    </row>
    <row r="267" ht="15.75" customHeight="1">
      <c r="B267" s="94"/>
    </row>
    <row r="268" ht="15.75" customHeight="1">
      <c r="B268" s="94"/>
    </row>
    <row r="269" ht="15.75" customHeight="1">
      <c r="B269" s="94"/>
    </row>
    <row r="270" ht="15.75" customHeight="1">
      <c r="B270" s="94"/>
    </row>
    <row r="271" ht="15.75" customHeight="1">
      <c r="B271" s="94"/>
    </row>
    <row r="272" ht="15.75" customHeight="1">
      <c r="B272" s="94"/>
    </row>
    <row r="273" ht="15.75" customHeight="1">
      <c r="B273" s="94"/>
    </row>
    <row r="274" ht="15.75" customHeight="1">
      <c r="B274" s="94"/>
    </row>
    <row r="275" ht="15.75" customHeight="1">
      <c r="B275" s="94"/>
    </row>
    <row r="276" ht="15.75" customHeight="1">
      <c r="B276" s="94"/>
    </row>
    <row r="277" ht="15.75" customHeight="1">
      <c r="B277" s="94"/>
    </row>
    <row r="278" ht="15.75" customHeight="1">
      <c r="B278" s="94"/>
    </row>
    <row r="279" ht="15.75" customHeight="1">
      <c r="B279" s="94"/>
    </row>
    <row r="280" ht="15.75" customHeight="1">
      <c r="B280" s="94"/>
    </row>
    <row r="281" ht="15.75" customHeight="1">
      <c r="B281" s="94"/>
    </row>
    <row r="282" ht="15.75" customHeight="1">
      <c r="B282" s="94"/>
    </row>
    <row r="283" ht="15.75" customHeight="1">
      <c r="B283" s="94"/>
    </row>
    <row r="284" ht="15.75" customHeight="1">
      <c r="B284" s="94"/>
    </row>
    <row r="285" ht="15.75" customHeight="1">
      <c r="B285" s="94"/>
    </row>
    <row r="286" ht="15.75" customHeight="1">
      <c r="B286" s="94"/>
    </row>
    <row r="287" ht="15.75" customHeight="1">
      <c r="B287" s="94"/>
    </row>
    <row r="288" ht="15.75" customHeight="1">
      <c r="B288" s="94"/>
    </row>
    <row r="289" ht="15.75" customHeight="1">
      <c r="B289" s="94"/>
    </row>
    <row r="290" ht="15.75" customHeight="1">
      <c r="B290" s="94"/>
    </row>
    <row r="291" ht="15.75" customHeight="1">
      <c r="B291" s="94"/>
    </row>
    <row r="292" ht="15.75" customHeight="1">
      <c r="B292" s="94"/>
    </row>
    <row r="293" ht="15.75" customHeight="1">
      <c r="B293" s="94"/>
    </row>
    <row r="294" ht="15.75" customHeight="1">
      <c r="B294" s="94"/>
    </row>
    <row r="295" ht="15.75" customHeight="1">
      <c r="B295" s="94"/>
    </row>
    <row r="296" ht="15.75" customHeight="1">
      <c r="B296" s="94"/>
    </row>
    <row r="297" ht="15.75" customHeight="1">
      <c r="B297" s="94"/>
    </row>
    <row r="298" ht="15.75" customHeight="1">
      <c r="B298" s="94"/>
    </row>
    <row r="299" ht="15.75" customHeight="1">
      <c r="B299" s="94"/>
    </row>
    <row r="300" ht="15.75" customHeight="1">
      <c r="B300" s="94"/>
    </row>
    <row r="301" ht="15.75" customHeight="1">
      <c r="B301" s="94"/>
    </row>
    <row r="302" ht="15.75" customHeight="1">
      <c r="B302" s="94"/>
    </row>
    <row r="303" ht="15.75" customHeight="1">
      <c r="B303" s="94"/>
    </row>
    <row r="304" ht="15.75" customHeight="1">
      <c r="B304" s="94"/>
    </row>
    <row r="305" ht="15.75" customHeight="1">
      <c r="B305" s="94"/>
    </row>
    <row r="306" ht="15.75" customHeight="1">
      <c r="B306" s="94"/>
    </row>
    <row r="307" ht="15.75" customHeight="1">
      <c r="B307" s="94"/>
    </row>
    <row r="308" ht="15.75" customHeight="1">
      <c r="B308" s="94"/>
    </row>
    <row r="309" ht="15.75" customHeight="1">
      <c r="B309" s="94"/>
    </row>
    <row r="310" ht="15.75" customHeight="1">
      <c r="B310" s="94"/>
    </row>
    <row r="311" ht="15.75" customHeight="1">
      <c r="B311" s="94"/>
    </row>
    <row r="312" ht="15.75" customHeight="1">
      <c r="B312" s="94"/>
    </row>
    <row r="313" ht="15.75" customHeight="1">
      <c r="B313" s="94"/>
    </row>
    <row r="314" ht="15.75" customHeight="1">
      <c r="B314" s="94"/>
    </row>
    <row r="315" ht="15.75" customHeight="1">
      <c r="B315" s="94"/>
    </row>
    <row r="316" ht="15.75" customHeight="1">
      <c r="B316" s="94"/>
    </row>
    <row r="317" ht="15.75" customHeight="1">
      <c r="B317" s="94"/>
    </row>
    <row r="318" ht="15.75" customHeight="1">
      <c r="B318" s="94"/>
    </row>
    <row r="319" ht="15.75" customHeight="1">
      <c r="B319" s="94"/>
    </row>
    <row r="320" ht="15.75" customHeight="1">
      <c r="B320" s="94"/>
    </row>
    <row r="321" ht="15.75" customHeight="1">
      <c r="B321" s="94"/>
    </row>
    <row r="322" ht="15.75" customHeight="1">
      <c r="B322" s="94"/>
    </row>
    <row r="323" ht="15.75" customHeight="1">
      <c r="B323" s="94"/>
    </row>
    <row r="324" ht="15.75" customHeight="1">
      <c r="B324" s="94"/>
    </row>
    <row r="325" ht="15.75" customHeight="1">
      <c r="B325" s="94"/>
    </row>
    <row r="326" ht="15.75" customHeight="1">
      <c r="B326" s="94"/>
    </row>
    <row r="327" ht="15.75" customHeight="1">
      <c r="B327" s="94"/>
    </row>
    <row r="328" ht="15.75" customHeight="1">
      <c r="B328" s="94"/>
    </row>
    <row r="329" ht="15.75" customHeight="1">
      <c r="B329" s="94"/>
    </row>
    <row r="330" ht="15.75" customHeight="1">
      <c r="B330" s="94"/>
    </row>
    <row r="331" ht="15.75" customHeight="1">
      <c r="B331" s="94"/>
    </row>
    <row r="332" ht="15.75" customHeight="1">
      <c r="B332" s="94"/>
    </row>
    <row r="333" ht="15.75" customHeight="1">
      <c r="B333" s="94"/>
    </row>
    <row r="334" ht="15.75" customHeight="1">
      <c r="B334" s="94"/>
    </row>
    <row r="335" ht="15.75" customHeight="1">
      <c r="B335" s="94"/>
    </row>
    <row r="336" ht="15.75" customHeight="1">
      <c r="B336" s="94"/>
    </row>
    <row r="337" ht="15.75" customHeight="1">
      <c r="B337" s="94"/>
    </row>
    <row r="338" ht="15.75" customHeight="1">
      <c r="B338" s="94"/>
    </row>
    <row r="339" ht="15.75" customHeight="1">
      <c r="B339" s="94"/>
    </row>
    <row r="340" ht="15.75" customHeight="1">
      <c r="B340" s="94"/>
    </row>
    <row r="341" ht="15.75" customHeight="1">
      <c r="B341" s="94"/>
    </row>
    <row r="342" ht="15.75" customHeight="1">
      <c r="B342" s="94"/>
    </row>
    <row r="343" ht="15.75" customHeight="1">
      <c r="B343" s="94"/>
    </row>
    <row r="344" ht="15.75" customHeight="1">
      <c r="B344" s="94"/>
    </row>
    <row r="345" ht="15.75" customHeight="1">
      <c r="B345" s="94"/>
    </row>
    <row r="346" ht="15.75" customHeight="1">
      <c r="B346" s="94"/>
    </row>
    <row r="347" ht="15.75" customHeight="1">
      <c r="B347" s="94"/>
    </row>
    <row r="348" ht="15.75" customHeight="1">
      <c r="B348" s="94"/>
    </row>
    <row r="349" ht="15.75" customHeight="1">
      <c r="B349" s="94"/>
    </row>
    <row r="350" ht="15.75" customHeight="1">
      <c r="B350" s="94"/>
    </row>
    <row r="351" ht="15.75" customHeight="1">
      <c r="B351" s="94"/>
    </row>
    <row r="352" ht="15.75" customHeight="1">
      <c r="B352" s="94"/>
    </row>
    <row r="353" ht="15.75" customHeight="1">
      <c r="B353" s="94"/>
    </row>
    <row r="354" ht="15.75" customHeight="1">
      <c r="B354" s="94"/>
    </row>
    <row r="355" ht="15.75" customHeight="1">
      <c r="B355" s="94"/>
    </row>
    <row r="356" ht="15.75" customHeight="1">
      <c r="B356" s="94"/>
    </row>
    <row r="357" ht="15.75" customHeight="1">
      <c r="B357" s="94"/>
    </row>
    <row r="358" ht="15.75" customHeight="1">
      <c r="B358" s="94"/>
    </row>
    <row r="359" ht="15.75" customHeight="1">
      <c r="B359" s="94"/>
    </row>
    <row r="360" ht="15.75" customHeight="1">
      <c r="B360" s="94"/>
    </row>
    <row r="361" ht="15.75" customHeight="1">
      <c r="B361" s="94"/>
    </row>
    <row r="362" ht="15.75" customHeight="1">
      <c r="B362" s="94"/>
    </row>
    <row r="363" ht="15.75" customHeight="1">
      <c r="B363" s="94"/>
    </row>
    <row r="364" ht="15.75" customHeight="1">
      <c r="B364" s="94"/>
    </row>
    <row r="365" ht="15.75" customHeight="1">
      <c r="B365" s="94"/>
    </row>
    <row r="366" ht="15.75" customHeight="1">
      <c r="B366" s="94"/>
    </row>
    <row r="367" ht="15.75" customHeight="1">
      <c r="B367" s="94"/>
    </row>
    <row r="368" ht="15.75" customHeight="1">
      <c r="B368" s="94"/>
    </row>
    <row r="369" ht="15.75" customHeight="1">
      <c r="B369" s="94"/>
    </row>
    <row r="370" ht="15.75" customHeight="1">
      <c r="B370" s="94"/>
    </row>
    <row r="371" ht="15.75" customHeight="1">
      <c r="B371" s="94"/>
    </row>
    <row r="372" ht="15.75" customHeight="1">
      <c r="B372" s="94"/>
    </row>
    <row r="373" ht="15.75" customHeight="1">
      <c r="B373" s="94"/>
    </row>
    <row r="374" ht="15.75" customHeight="1">
      <c r="B374" s="94"/>
    </row>
    <row r="375" ht="15.75" customHeight="1">
      <c r="B375" s="94"/>
    </row>
    <row r="376" ht="15.75" customHeight="1">
      <c r="B376" s="94"/>
    </row>
    <row r="377" ht="15.75" customHeight="1">
      <c r="B377" s="94"/>
    </row>
    <row r="378" ht="15.75" customHeight="1">
      <c r="B378" s="94"/>
    </row>
    <row r="379" ht="15.75" customHeight="1">
      <c r="B379" s="94"/>
    </row>
    <row r="380" ht="15.75" customHeight="1">
      <c r="B380" s="94"/>
    </row>
    <row r="381" ht="15.75" customHeight="1">
      <c r="B381" s="94"/>
    </row>
    <row r="382" ht="15.75" customHeight="1">
      <c r="B382" s="94"/>
    </row>
    <row r="383" ht="15.75" customHeight="1">
      <c r="B383" s="94"/>
    </row>
    <row r="384" ht="15.75" customHeight="1">
      <c r="B384" s="94"/>
    </row>
    <row r="385" ht="15.75" customHeight="1">
      <c r="B385" s="94"/>
    </row>
    <row r="386" ht="15.75" customHeight="1">
      <c r="B386" s="94"/>
    </row>
    <row r="387" ht="15.75" customHeight="1">
      <c r="B387" s="94"/>
    </row>
    <row r="388" ht="15.75" customHeight="1">
      <c r="B388" s="94"/>
    </row>
    <row r="389" ht="15.75" customHeight="1">
      <c r="B389" s="94"/>
    </row>
    <row r="390" ht="15.75" customHeight="1">
      <c r="B390" s="94"/>
    </row>
    <row r="391" ht="15.75" customHeight="1">
      <c r="B391" s="94"/>
    </row>
    <row r="392" ht="15.75" customHeight="1">
      <c r="B392" s="94"/>
    </row>
    <row r="393" ht="15.75" customHeight="1">
      <c r="B393" s="94"/>
    </row>
    <row r="394" ht="15.75" customHeight="1">
      <c r="B394" s="94"/>
    </row>
    <row r="395" ht="15.75" customHeight="1">
      <c r="B395" s="94"/>
    </row>
    <row r="396" ht="15.75" customHeight="1">
      <c r="B396" s="94"/>
    </row>
    <row r="397" ht="15.75" customHeight="1">
      <c r="B397" s="94"/>
    </row>
    <row r="398" ht="15.75" customHeight="1">
      <c r="B398" s="94"/>
    </row>
    <row r="399" ht="15.75" customHeight="1">
      <c r="B399" s="94"/>
    </row>
    <row r="400" ht="15.75" customHeight="1">
      <c r="B400" s="94"/>
    </row>
    <row r="401" ht="15.75" customHeight="1">
      <c r="B401" s="94"/>
    </row>
    <row r="402" ht="15.75" customHeight="1">
      <c r="B402" s="94"/>
    </row>
    <row r="403" ht="15.75" customHeight="1">
      <c r="B403" s="94"/>
    </row>
    <row r="404" ht="15.75" customHeight="1">
      <c r="B404" s="94"/>
    </row>
    <row r="405" ht="15.75" customHeight="1">
      <c r="B405" s="94"/>
    </row>
    <row r="406" ht="15.75" customHeight="1">
      <c r="B406" s="94"/>
    </row>
    <row r="407" ht="15.75" customHeight="1">
      <c r="B407" s="94"/>
    </row>
    <row r="408" ht="15.75" customHeight="1">
      <c r="B408" s="94"/>
    </row>
    <row r="409" ht="15.75" customHeight="1">
      <c r="B409" s="94"/>
    </row>
    <row r="410" ht="15.75" customHeight="1">
      <c r="B410" s="94"/>
    </row>
    <row r="411" ht="15.75" customHeight="1">
      <c r="B411" s="94"/>
    </row>
    <row r="412" ht="15.75" customHeight="1">
      <c r="B412" s="94"/>
    </row>
    <row r="413" ht="15.75" customHeight="1">
      <c r="B413" s="94"/>
    </row>
    <row r="414" ht="15.75" customHeight="1">
      <c r="B414" s="94"/>
    </row>
    <row r="415" ht="15.75" customHeight="1">
      <c r="B415" s="94"/>
    </row>
    <row r="416" ht="15.75" customHeight="1">
      <c r="B416" s="94"/>
    </row>
    <row r="417" ht="15.75" customHeight="1">
      <c r="B417" s="94"/>
    </row>
    <row r="418" ht="15.75" customHeight="1">
      <c r="B418" s="94"/>
    </row>
    <row r="419" ht="15.75" customHeight="1">
      <c r="B419" s="94"/>
    </row>
    <row r="420" ht="15.75" customHeight="1">
      <c r="B420" s="94"/>
    </row>
    <row r="421" ht="15.75" customHeight="1">
      <c r="B421" s="94"/>
    </row>
    <row r="422" ht="15.75" customHeight="1">
      <c r="B422" s="94"/>
    </row>
    <row r="423" ht="15.75" customHeight="1">
      <c r="B423" s="94"/>
    </row>
    <row r="424" ht="15.75" customHeight="1">
      <c r="B424" s="94"/>
    </row>
    <row r="425" ht="15.75" customHeight="1">
      <c r="B425" s="94"/>
    </row>
    <row r="426" ht="15.75" customHeight="1">
      <c r="B426" s="94"/>
    </row>
    <row r="427" ht="15.75" customHeight="1">
      <c r="B427" s="94"/>
    </row>
    <row r="428" ht="15.75" customHeight="1">
      <c r="B428" s="94"/>
    </row>
    <row r="429" ht="15.75" customHeight="1">
      <c r="B429" s="94"/>
    </row>
    <row r="430" ht="15.75" customHeight="1">
      <c r="B430" s="94"/>
    </row>
    <row r="431" ht="15.75" customHeight="1">
      <c r="B431" s="94"/>
    </row>
    <row r="432" ht="15.75" customHeight="1">
      <c r="B432" s="94"/>
    </row>
    <row r="433" ht="15.75" customHeight="1">
      <c r="B433" s="94"/>
    </row>
    <row r="434" ht="15.75" customHeight="1">
      <c r="B434" s="94"/>
    </row>
    <row r="435" ht="15.75" customHeight="1">
      <c r="B435" s="94"/>
    </row>
    <row r="436" ht="15.75" customHeight="1">
      <c r="B436" s="94"/>
    </row>
    <row r="437" ht="15.75" customHeight="1">
      <c r="B437" s="94"/>
    </row>
    <row r="438" ht="15.75" customHeight="1">
      <c r="B438" s="94"/>
    </row>
    <row r="439" ht="15.75" customHeight="1">
      <c r="B439" s="94"/>
    </row>
    <row r="440" ht="15.75" customHeight="1">
      <c r="B440" s="94"/>
    </row>
    <row r="441" ht="15.75" customHeight="1">
      <c r="B441" s="94"/>
    </row>
    <row r="442" ht="15.75" customHeight="1">
      <c r="B442" s="94"/>
    </row>
    <row r="443" ht="15.75" customHeight="1">
      <c r="B443" s="94"/>
    </row>
    <row r="444" ht="15.75" customHeight="1">
      <c r="B444" s="94"/>
    </row>
    <row r="445" ht="15.75" customHeight="1">
      <c r="B445" s="94"/>
    </row>
    <row r="446" ht="15.75" customHeight="1">
      <c r="B446" s="94"/>
    </row>
    <row r="447" ht="15.75" customHeight="1">
      <c r="B447" s="94"/>
    </row>
    <row r="448" ht="15.75" customHeight="1">
      <c r="B448" s="94"/>
    </row>
    <row r="449" ht="15.75" customHeight="1">
      <c r="B449" s="94"/>
    </row>
    <row r="450" ht="15.75" customHeight="1">
      <c r="B450" s="94"/>
    </row>
    <row r="451" ht="15.75" customHeight="1">
      <c r="B451" s="94"/>
    </row>
    <row r="452" ht="15.75" customHeight="1">
      <c r="B452" s="94"/>
    </row>
    <row r="453" ht="15.75" customHeight="1">
      <c r="B453" s="94"/>
    </row>
    <row r="454" ht="15.75" customHeight="1">
      <c r="B454" s="94"/>
    </row>
    <row r="455" ht="15.75" customHeight="1">
      <c r="B455" s="94"/>
    </row>
    <row r="456" ht="15.75" customHeight="1">
      <c r="B456" s="94"/>
    </row>
    <row r="457" ht="15.75" customHeight="1">
      <c r="B457" s="94"/>
    </row>
    <row r="458" ht="15.75" customHeight="1">
      <c r="B458" s="94"/>
    </row>
    <row r="459" ht="15.75" customHeight="1">
      <c r="B459" s="94"/>
    </row>
    <row r="460" ht="15.75" customHeight="1">
      <c r="B460" s="94"/>
    </row>
    <row r="461" ht="15.75" customHeight="1">
      <c r="B461" s="94"/>
    </row>
    <row r="462" ht="15.75" customHeight="1">
      <c r="B462" s="94"/>
    </row>
    <row r="463" ht="15.75" customHeight="1">
      <c r="B463" s="94"/>
    </row>
    <row r="464" ht="15.75" customHeight="1">
      <c r="B464" s="94"/>
    </row>
    <row r="465" ht="15.75" customHeight="1">
      <c r="B465" s="94"/>
    </row>
    <row r="466" ht="15.75" customHeight="1">
      <c r="B466" s="94"/>
    </row>
    <row r="467" ht="15.75" customHeight="1">
      <c r="B467" s="94"/>
    </row>
    <row r="468" ht="15.75" customHeight="1">
      <c r="B468" s="94"/>
    </row>
    <row r="469" ht="15.75" customHeight="1">
      <c r="B469" s="94"/>
    </row>
    <row r="470" ht="15.75" customHeight="1">
      <c r="B470" s="94"/>
    </row>
    <row r="471" ht="15.75" customHeight="1">
      <c r="B471" s="94"/>
    </row>
    <row r="472" ht="15.75" customHeight="1">
      <c r="B472" s="94"/>
    </row>
    <row r="473" ht="15.75" customHeight="1">
      <c r="B473" s="94"/>
    </row>
    <row r="474" ht="15.75" customHeight="1">
      <c r="B474" s="94"/>
    </row>
    <row r="475" ht="15.75" customHeight="1">
      <c r="B475" s="94"/>
    </row>
    <row r="476" ht="15.75" customHeight="1">
      <c r="B476" s="94"/>
    </row>
    <row r="477" ht="15.75" customHeight="1">
      <c r="B477" s="94"/>
    </row>
    <row r="478" ht="15.75" customHeight="1">
      <c r="B478" s="94"/>
    </row>
    <row r="479" ht="15.75" customHeight="1">
      <c r="B479" s="94"/>
    </row>
    <row r="480" ht="15.75" customHeight="1">
      <c r="B480" s="94"/>
    </row>
    <row r="481" ht="15.75" customHeight="1">
      <c r="B481" s="94"/>
    </row>
    <row r="482" ht="15.75" customHeight="1">
      <c r="B482" s="94"/>
    </row>
    <row r="483" ht="15.75" customHeight="1">
      <c r="B483" s="94"/>
    </row>
    <row r="484" ht="15.75" customHeight="1">
      <c r="B484" s="94"/>
    </row>
    <row r="485" ht="15.75" customHeight="1">
      <c r="B485" s="94"/>
    </row>
    <row r="486" ht="15.75" customHeight="1">
      <c r="B486" s="94"/>
    </row>
    <row r="487" ht="15.75" customHeight="1">
      <c r="B487" s="94"/>
    </row>
    <row r="488" ht="15.75" customHeight="1">
      <c r="B488" s="94"/>
    </row>
    <row r="489" ht="15.75" customHeight="1">
      <c r="B489" s="94"/>
    </row>
    <row r="490" ht="15.75" customHeight="1">
      <c r="B490" s="94"/>
    </row>
    <row r="491" ht="15.75" customHeight="1">
      <c r="B491" s="94"/>
    </row>
    <row r="492" ht="15.75" customHeight="1">
      <c r="B492" s="94"/>
    </row>
    <row r="493" ht="15.75" customHeight="1">
      <c r="B493" s="94"/>
    </row>
    <row r="494" ht="15.75" customHeight="1">
      <c r="B494" s="94"/>
    </row>
    <row r="495" ht="15.75" customHeight="1">
      <c r="B495" s="94"/>
    </row>
    <row r="496" ht="15.75" customHeight="1">
      <c r="B496" s="94"/>
    </row>
    <row r="497" ht="15.75" customHeight="1">
      <c r="B497" s="94"/>
    </row>
    <row r="498" ht="15.75" customHeight="1">
      <c r="B498" s="94"/>
    </row>
    <row r="499" ht="15.75" customHeight="1">
      <c r="B499" s="94"/>
    </row>
    <row r="500" ht="15.75" customHeight="1">
      <c r="B500" s="94"/>
    </row>
    <row r="501" ht="15.75" customHeight="1">
      <c r="B501" s="94"/>
    </row>
    <row r="502" ht="15.75" customHeight="1">
      <c r="B502" s="94"/>
    </row>
    <row r="503" ht="15.75" customHeight="1">
      <c r="B503" s="94"/>
    </row>
    <row r="504" ht="15.75" customHeight="1">
      <c r="B504" s="94"/>
    </row>
    <row r="505" ht="15.75" customHeight="1">
      <c r="B505" s="94"/>
    </row>
    <row r="506" ht="15.75" customHeight="1">
      <c r="B506" s="94"/>
    </row>
    <row r="507" ht="15.75" customHeight="1">
      <c r="B507" s="94"/>
    </row>
    <row r="508" ht="15.75" customHeight="1">
      <c r="B508" s="94"/>
    </row>
    <row r="509" ht="15.75" customHeight="1">
      <c r="B509" s="94"/>
    </row>
    <row r="510" ht="15.75" customHeight="1">
      <c r="B510" s="94"/>
    </row>
    <row r="511" ht="15.75" customHeight="1">
      <c r="B511" s="94"/>
    </row>
    <row r="512" ht="15.75" customHeight="1">
      <c r="B512" s="94"/>
    </row>
    <row r="513" ht="15.75" customHeight="1">
      <c r="B513" s="94"/>
    </row>
    <row r="514" ht="15.75" customHeight="1">
      <c r="B514" s="94"/>
    </row>
    <row r="515" ht="15.75" customHeight="1">
      <c r="B515" s="94"/>
    </row>
    <row r="516" ht="15.75" customHeight="1">
      <c r="B516" s="94"/>
    </row>
    <row r="517" ht="15.75" customHeight="1">
      <c r="B517" s="94"/>
    </row>
    <row r="518" ht="15.75" customHeight="1">
      <c r="B518" s="94"/>
    </row>
    <row r="519" ht="15.75" customHeight="1">
      <c r="B519" s="94"/>
    </row>
    <row r="520" ht="15.75" customHeight="1">
      <c r="B520" s="94"/>
    </row>
    <row r="521" ht="15.75" customHeight="1">
      <c r="B521" s="94"/>
    </row>
    <row r="522" ht="15.75" customHeight="1">
      <c r="B522" s="94"/>
    </row>
    <row r="523" ht="15.75" customHeight="1">
      <c r="B523" s="94"/>
    </row>
    <row r="524" ht="15.75" customHeight="1">
      <c r="B524" s="94"/>
    </row>
    <row r="525" ht="15.75" customHeight="1">
      <c r="B525" s="94"/>
    </row>
    <row r="526" ht="15.75" customHeight="1">
      <c r="B526" s="94"/>
    </row>
    <row r="527" ht="15.75" customHeight="1">
      <c r="B527" s="94"/>
    </row>
    <row r="528" ht="15.75" customHeight="1">
      <c r="B528" s="94"/>
    </row>
    <row r="529" ht="15.75" customHeight="1">
      <c r="B529" s="94"/>
    </row>
    <row r="530" ht="15.75" customHeight="1">
      <c r="B530" s="94"/>
    </row>
    <row r="531" ht="15.75" customHeight="1">
      <c r="B531" s="94"/>
    </row>
    <row r="532" ht="15.75" customHeight="1">
      <c r="B532" s="94"/>
    </row>
    <row r="533" ht="15.75" customHeight="1">
      <c r="B533" s="94"/>
    </row>
    <row r="534" ht="15.75" customHeight="1">
      <c r="B534" s="94"/>
    </row>
    <row r="535" ht="15.75" customHeight="1">
      <c r="B535" s="94"/>
    </row>
    <row r="536" ht="15.75" customHeight="1">
      <c r="B536" s="94"/>
    </row>
    <row r="537" ht="15.75" customHeight="1">
      <c r="B537" s="94"/>
    </row>
    <row r="538" ht="15.75" customHeight="1">
      <c r="B538" s="94"/>
    </row>
    <row r="539" ht="15.75" customHeight="1">
      <c r="B539" s="94"/>
    </row>
    <row r="540" ht="15.75" customHeight="1">
      <c r="B540" s="94"/>
    </row>
    <row r="541" ht="15.75" customHeight="1">
      <c r="B541" s="94"/>
    </row>
    <row r="542" ht="15.75" customHeight="1">
      <c r="B542" s="94"/>
    </row>
    <row r="543" ht="15.75" customHeight="1">
      <c r="B543" s="94"/>
    </row>
    <row r="544" ht="15.75" customHeight="1">
      <c r="B544" s="94"/>
    </row>
    <row r="545" ht="15.75" customHeight="1">
      <c r="B545" s="94"/>
    </row>
    <row r="546" ht="15.75" customHeight="1">
      <c r="B546" s="94"/>
    </row>
    <row r="547" ht="15.75" customHeight="1">
      <c r="B547" s="94"/>
    </row>
    <row r="548" ht="15.75" customHeight="1">
      <c r="B548" s="94"/>
    </row>
    <row r="549" ht="15.75" customHeight="1">
      <c r="B549" s="94"/>
    </row>
    <row r="550" ht="15.75" customHeight="1">
      <c r="B550" s="94"/>
    </row>
    <row r="551" ht="15.75" customHeight="1">
      <c r="B551" s="94"/>
    </row>
    <row r="552" ht="15.75" customHeight="1">
      <c r="B552" s="94"/>
    </row>
    <row r="553" ht="15.75" customHeight="1">
      <c r="B553" s="94"/>
    </row>
    <row r="554" ht="15.75" customHeight="1">
      <c r="B554" s="94"/>
    </row>
    <row r="555" ht="15.75" customHeight="1">
      <c r="B555" s="94"/>
    </row>
    <row r="556" ht="15.75" customHeight="1">
      <c r="B556" s="94"/>
    </row>
    <row r="557" ht="15.75" customHeight="1">
      <c r="B557" s="94"/>
    </row>
    <row r="558" ht="15.75" customHeight="1">
      <c r="B558" s="94"/>
    </row>
    <row r="559" ht="15.75" customHeight="1">
      <c r="B559" s="94"/>
    </row>
    <row r="560" ht="15.75" customHeight="1">
      <c r="B560" s="94"/>
    </row>
    <row r="561" ht="15.75" customHeight="1">
      <c r="B561" s="94"/>
    </row>
    <row r="562" ht="15.75" customHeight="1">
      <c r="B562" s="94"/>
    </row>
    <row r="563" ht="15.75" customHeight="1">
      <c r="B563" s="94"/>
    </row>
    <row r="564" ht="15.75" customHeight="1">
      <c r="B564" s="94"/>
    </row>
    <row r="565" ht="15.75" customHeight="1">
      <c r="B565" s="94"/>
    </row>
    <row r="566" ht="15.75" customHeight="1">
      <c r="B566" s="94"/>
    </row>
    <row r="567" ht="15.75" customHeight="1">
      <c r="B567" s="94"/>
    </row>
    <row r="568" ht="15.75" customHeight="1">
      <c r="B568" s="94"/>
    </row>
    <row r="569" ht="15.75" customHeight="1">
      <c r="B569" s="94"/>
    </row>
    <row r="570" ht="15.75" customHeight="1">
      <c r="B570" s="94"/>
    </row>
    <row r="571" ht="15.75" customHeight="1">
      <c r="B571" s="94"/>
    </row>
    <row r="572" ht="15.75" customHeight="1">
      <c r="B572" s="94"/>
    </row>
    <row r="573" ht="15.75" customHeight="1">
      <c r="B573" s="94"/>
    </row>
    <row r="574" ht="15.75" customHeight="1">
      <c r="B574" s="94"/>
    </row>
    <row r="575" ht="15.75" customHeight="1">
      <c r="B575" s="94"/>
    </row>
    <row r="576" ht="15.75" customHeight="1">
      <c r="B576" s="94"/>
    </row>
    <row r="577" ht="15.75" customHeight="1">
      <c r="B577" s="94"/>
    </row>
    <row r="578" ht="15.75" customHeight="1">
      <c r="B578" s="94"/>
    </row>
    <row r="579" ht="15.75" customHeight="1">
      <c r="B579" s="94"/>
    </row>
    <row r="580" ht="15.75" customHeight="1">
      <c r="B580" s="94"/>
    </row>
    <row r="581" ht="15.75" customHeight="1">
      <c r="B581" s="94"/>
    </row>
    <row r="582" ht="15.75" customHeight="1">
      <c r="B582" s="94"/>
    </row>
    <row r="583" ht="15.75" customHeight="1">
      <c r="B583" s="94"/>
    </row>
    <row r="584" ht="15.75" customHeight="1">
      <c r="B584" s="94"/>
    </row>
    <row r="585" ht="15.75" customHeight="1">
      <c r="B585" s="94"/>
    </row>
    <row r="586" ht="15.75" customHeight="1">
      <c r="B586" s="94"/>
    </row>
    <row r="587" ht="15.75" customHeight="1">
      <c r="B587" s="94"/>
    </row>
    <row r="588" ht="15.75" customHeight="1">
      <c r="B588" s="94"/>
    </row>
    <row r="589" ht="15.75" customHeight="1">
      <c r="B589" s="94"/>
    </row>
    <row r="590" ht="15.75" customHeight="1">
      <c r="B590" s="94"/>
    </row>
    <row r="591" ht="15.75" customHeight="1">
      <c r="B591" s="94"/>
    </row>
    <row r="592" ht="15.75" customHeight="1">
      <c r="B592" s="94"/>
    </row>
    <row r="593" ht="15.75" customHeight="1">
      <c r="B593" s="94"/>
    </row>
    <row r="594" ht="15.75" customHeight="1">
      <c r="B594" s="94"/>
    </row>
    <row r="595" ht="15.75" customHeight="1">
      <c r="B595" s="94"/>
    </row>
    <row r="596" ht="15.75" customHeight="1">
      <c r="B596" s="94"/>
    </row>
    <row r="597" ht="15.75" customHeight="1">
      <c r="B597" s="94"/>
    </row>
    <row r="598" ht="15.75" customHeight="1">
      <c r="B598" s="94"/>
    </row>
    <row r="599" ht="15.75" customHeight="1">
      <c r="B599" s="94"/>
    </row>
    <row r="600" ht="15.75" customHeight="1">
      <c r="B600" s="94"/>
    </row>
    <row r="601" ht="15.75" customHeight="1">
      <c r="B601" s="94"/>
    </row>
    <row r="602" ht="15.75" customHeight="1">
      <c r="B602" s="94"/>
    </row>
    <row r="603" ht="15.75" customHeight="1">
      <c r="B603" s="94"/>
    </row>
    <row r="604" ht="15.75" customHeight="1">
      <c r="B604" s="94"/>
    </row>
    <row r="605" ht="15.75" customHeight="1">
      <c r="B605" s="94"/>
    </row>
    <row r="606" ht="15.75" customHeight="1">
      <c r="B606" s="94"/>
    </row>
    <row r="607" ht="15.75" customHeight="1">
      <c r="B607" s="94"/>
    </row>
    <row r="608" ht="15.75" customHeight="1">
      <c r="B608" s="94"/>
    </row>
    <row r="609" ht="15.75" customHeight="1">
      <c r="B609" s="94"/>
    </row>
    <row r="610" ht="15.75" customHeight="1">
      <c r="B610" s="94"/>
    </row>
    <row r="611" ht="15.75" customHeight="1">
      <c r="B611" s="94"/>
    </row>
    <row r="612" ht="15.75" customHeight="1">
      <c r="B612" s="94"/>
    </row>
    <row r="613" ht="15.75" customHeight="1">
      <c r="B613" s="94"/>
    </row>
    <row r="614" ht="15.75" customHeight="1">
      <c r="B614" s="94"/>
    </row>
    <row r="615" ht="15.75" customHeight="1">
      <c r="B615" s="94"/>
    </row>
    <row r="616" ht="15.75" customHeight="1">
      <c r="B616" s="94"/>
    </row>
    <row r="617" ht="15.75" customHeight="1">
      <c r="B617" s="94"/>
    </row>
    <row r="618" ht="15.75" customHeight="1">
      <c r="B618" s="94"/>
    </row>
    <row r="619" ht="15.75" customHeight="1">
      <c r="B619" s="94"/>
    </row>
    <row r="620" ht="15.75" customHeight="1">
      <c r="B620" s="94"/>
    </row>
    <row r="621" ht="15.75" customHeight="1">
      <c r="B621" s="94"/>
    </row>
    <row r="622" ht="15.75" customHeight="1">
      <c r="B622" s="94"/>
    </row>
    <row r="623" ht="15.75" customHeight="1">
      <c r="B623" s="94"/>
    </row>
    <row r="624" ht="15.75" customHeight="1">
      <c r="B624" s="94"/>
    </row>
    <row r="625" ht="15.75" customHeight="1">
      <c r="B625" s="94"/>
    </row>
    <row r="626" ht="15.75" customHeight="1">
      <c r="B626" s="94"/>
    </row>
    <row r="627" ht="15.75" customHeight="1">
      <c r="B627" s="94"/>
    </row>
    <row r="628" ht="15.75" customHeight="1">
      <c r="B628" s="94"/>
    </row>
    <row r="629" ht="15.75" customHeight="1">
      <c r="B629" s="94"/>
    </row>
    <row r="630" ht="15.75" customHeight="1">
      <c r="B630" s="94"/>
    </row>
    <row r="631" ht="15.75" customHeight="1">
      <c r="B631" s="94"/>
    </row>
    <row r="632" ht="15.75" customHeight="1">
      <c r="B632" s="94"/>
    </row>
    <row r="633" ht="15.75" customHeight="1">
      <c r="B633" s="94"/>
    </row>
    <row r="634" ht="15.75" customHeight="1">
      <c r="B634" s="94"/>
    </row>
    <row r="635" ht="15.75" customHeight="1">
      <c r="B635" s="94"/>
    </row>
    <row r="636" ht="15.75" customHeight="1">
      <c r="B636" s="94"/>
    </row>
    <row r="637" ht="15.75" customHeight="1">
      <c r="B637" s="94"/>
    </row>
    <row r="638" ht="15.75" customHeight="1">
      <c r="B638" s="94"/>
    </row>
    <row r="639" ht="15.75" customHeight="1">
      <c r="B639" s="94"/>
    </row>
    <row r="640" ht="15.75" customHeight="1">
      <c r="B640" s="94"/>
    </row>
    <row r="641" ht="15.75" customHeight="1">
      <c r="B641" s="94"/>
    </row>
    <row r="642" ht="15.75" customHeight="1">
      <c r="B642" s="94"/>
    </row>
    <row r="643" ht="15.75" customHeight="1">
      <c r="B643" s="94"/>
    </row>
    <row r="644" ht="15.75" customHeight="1">
      <c r="B644" s="94"/>
    </row>
    <row r="645" ht="15.75" customHeight="1">
      <c r="B645" s="94"/>
    </row>
    <row r="646" ht="15.75" customHeight="1">
      <c r="B646" s="94"/>
    </row>
    <row r="647" ht="15.75" customHeight="1">
      <c r="B647" s="94"/>
    </row>
    <row r="648" ht="15.75" customHeight="1">
      <c r="B648" s="94"/>
    </row>
    <row r="649" ht="15.75" customHeight="1">
      <c r="B649" s="94"/>
    </row>
    <row r="650" ht="15.75" customHeight="1">
      <c r="B650" s="94"/>
    </row>
    <row r="651" ht="15.75" customHeight="1">
      <c r="B651" s="94"/>
    </row>
    <row r="652" ht="15.75" customHeight="1">
      <c r="B652" s="94"/>
    </row>
    <row r="653" ht="15.75" customHeight="1">
      <c r="B653" s="94"/>
    </row>
    <row r="654" ht="15.75" customHeight="1">
      <c r="B654" s="94"/>
    </row>
    <row r="655" ht="15.75" customHeight="1">
      <c r="B655" s="94"/>
    </row>
    <row r="656" ht="15.75" customHeight="1">
      <c r="B656" s="94"/>
    </row>
    <row r="657" ht="15.75" customHeight="1">
      <c r="B657" s="94"/>
    </row>
    <row r="658" ht="15.75" customHeight="1">
      <c r="B658" s="94"/>
    </row>
    <row r="659" ht="15.75" customHeight="1">
      <c r="B659" s="94"/>
    </row>
    <row r="660" ht="15.75" customHeight="1">
      <c r="B660" s="94"/>
    </row>
    <row r="661" ht="15.75" customHeight="1">
      <c r="B661" s="94"/>
    </row>
    <row r="662" ht="15.75" customHeight="1">
      <c r="B662" s="94"/>
    </row>
    <row r="663" ht="15.75" customHeight="1">
      <c r="B663" s="94"/>
    </row>
    <row r="664" ht="15.75" customHeight="1">
      <c r="B664" s="94"/>
    </row>
    <row r="665" ht="15.75" customHeight="1">
      <c r="B665" s="94"/>
    </row>
    <row r="666" ht="15.75" customHeight="1">
      <c r="B666" s="94"/>
    </row>
    <row r="667" ht="15.75" customHeight="1">
      <c r="B667" s="94"/>
    </row>
    <row r="668" ht="15.75" customHeight="1">
      <c r="B668" s="94"/>
    </row>
    <row r="669" ht="15.75" customHeight="1">
      <c r="B669" s="94"/>
    </row>
    <row r="670" ht="15.75" customHeight="1">
      <c r="B670" s="94"/>
    </row>
    <row r="671" ht="15.75" customHeight="1">
      <c r="B671" s="94"/>
    </row>
    <row r="672" ht="15.75" customHeight="1">
      <c r="B672" s="94"/>
    </row>
    <row r="673" ht="15.75" customHeight="1">
      <c r="B673" s="94"/>
    </row>
    <row r="674" ht="15.75" customHeight="1">
      <c r="B674" s="94"/>
    </row>
    <row r="675" ht="15.75" customHeight="1">
      <c r="B675" s="94"/>
    </row>
    <row r="676" ht="15.75" customHeight="1">
      <c r="B676" s="94"/>
    </row>
    <row r="677" ht="15.75" customHeight="1">
      <c r="B677" s="94"/>
    </row>
    <row r="678" ht="15.75" customHeight="1">
      <c r="B678" s="94"/>
    </row>
    <row r="679" ht="15.75" customHeight="1">
      <c r="B679" s="94"/>
    </row>
    <row r="680" ht="15.75" customHeight="1">
      <c r="B680" s="94"/>
    </row>
    <row r="681" ht="15.75" customHeight="1">
      <c r="B681" s="94"/>
    </row>
    <row r="682" ht="15.75" customHeight="1">
      <c r="B682" s="94"/>
    </row>
    <row r="683" ht="15.75" customHeight="1">
      <c r="B683" s="94"/>
    </row>
    <row r="684" ht="15.75" customHeight="1">
      <c r="B684" s="94"/>
    </row>
    <row r="685" ht="15.75" customHeight="1">
      <c r="B685" s="94"/>
    </row>
    <row r="686" ht="15.75" customHeight="1">
      <c r="B686" s="94"/>
    </row>
    <row r="687" ht="15.75" customHeight="1">
      <c r="B687" s="94"/>
    </row>
    <row r="688" ht="15.75" customHeight="1">
      <c r="B688" s="94"/>
    </row>
    <row r="689" ht="15.75" customHeight="1">
      <c r="B689" s="94"/>
    </row>
    <row r="690" ht="15.75" customHeight="1">
      <c r="B690" s="94"/>
    </row>
    <row r="691" ht="15.75" customHeight="1">
      <c r="B691" s="94"/>
    </row>
    <row r="692" ht="15.75" customHeight="1">
      <c r="B692" s="94"/>
    </row>
    <row r="693" ht="15.75" customHeight="1">
      <c r="B693" s="94"/>
    </row>
    <row r="694" ht="15.75" customHeight="1">
      <c r="B694" s="94"/>
    </row>
    <row r="695" ht="15.75" customHeight="1">
      <c r="B695" s="94"/>
    </row>
    <row r="696" ht="15.75" customHeight="1">
      <c r="B696" s="94"/>
    </row>
    <row r="697" ht="15.75" customHeight="1">
      <c r="B697" s="94"/>
    </row>
    <row r="698" ht="15.75" customHeight="1">
      <c r="B698" s="94"/>
    </row>
    <row r="699" ht="15.75" customHeight="1">
      <c r="B699" s="94"/>
    </row>
    <row r="700" ht="15.75" customHeight="1">
      <c r="B700" s="94"/>
    </row>
    <row r="701" ht="15.75" customHeight="1">
      <c r="B701" s="94"/>
    </row>
    <row r="702" ht="15.75" customHeight="1">
      <c r="B702" s="94"/>
    </row>
    <row r="703" ht="15.75" customHeight="1">
      <c r="B703" s="94"/>
    </row>
    <row r="704" ht="15.75" customHeight="1">
      <c r="B704" s="94"/>
    </row>
    <row r="705" ht="15.75" customHeight="1">
      <c r="B705" s="94"/>
    </row>
    <row r="706" ht="15.75" customHeight="1">
      <c r="B706" s="94"/>
    </row>
    <row r="707" ht="15.75" customHeight="1">
      <c r="B707" s="94"/>
    </row>
    <row r="708" ht="15.75" customHeight="1">
      <c r="B708" s="94"/>
    </row>
    <row r="709" ht="15.75" customHeight="1">
      <c r="B709" s="94"/>
    </row>
    <row r="710" ht="15.75" customHeight="1">
      <c r="B710" s="94"/>
    </row>
    <row r="711" ht="15.75" customHeight="1">
      <c r="B711" s="94"/>
    </row>
    <row r="712" ht="15.75" customHeight="1">
      <c r="B712" s="94"/>
    </row>
    <row r="713" ht="15.75" customHeight="1">
      <c r="B713" s="94"/>
    </row>
    <row r="714" ht="15.75" customHeight="1">
      <c r="B714" s="94"/>
    </row>
    <row r="715" ht="15.75" customHeight="1">
      <c r="B715" s="94"/>
    </row>
    <row r="716" ht="15.75" customHeight="1">
      <c r="B716" s="94"/>
    </row>
    <row r="717" ht="15.75" customHeight="1">
      <c r="B717" s="94"/>
    </row>
    <row r="718" ht="15.75" customHeight="1">
      <c r="B718" s="94"/>
    </row>
    <row r="719" ht="15.75" customHeight="1">
      <c r="B719" s="94"/>
    </row>
    <row r="720" ht="15.75" customHeight="1">
      <c r="B720" s="94"/>
    </row>
    <row r="721" ht="15.75" customHeight="1">
      <c r="B721" s="94"/>
    </row>
    <row r="722" ht="15.75" customHeight="1">
      <c r="B722" s="94"/>
    </row>
    <row r="723" ht="15.75" customHeight="1">
      <c r="B723" s="94"/>
    </row>
    <row r="724" ht="15.75" customHeight="1">
      <c r="B724" s="94"/>
    </row>
    <row r="725" ht="15.75" customHeight="1">
      <c r="B725" s="94"/>
    </row>
    <row r="726" ht="15.75" customHeight="1">
      <c r="B726" s="94"/>
    </row>
    <row r="727" ht="15.75" customHeight="1">
      <c r="B727" s="94"/>
    </row>
    <row r="728" ht="15.75" customHeight="1">
      <c r="B728" s="94"/>
    </row>
    <row r="729" ht="15.75" customHeight="1">
      <c r="B729" s="94"/>
    </row>
    <row r="730" ht="15.75" customHeight="1">
      <c r="B730" s="94"/>
    </row>
    <row r="731" ht="15.75" customHeight="1">
      <c r="B731" s="94"/>
    </row>
    <row r="732" ht="15.75" customHeight="1">
      <c r="B732" s="94"/>
    </row>
    <row r="733" ht="15.75" customHeight="1">
      <c r="B733" s="94"/>
    </row>
    <row r="734" ht="15.75" customHeight="1">
      <c r="B734" s="94"/>
    </row>
    <row r="735" ht="15.75" customHeight="1">
      <c r="B735" s="94"/>
    </row>
    <row r="736" ht="15.75" customHeight="1">
      <c r="B736" s="94"/>
    </row>
    <row r="737" ht="15.75" customHeight="1">
      <c r="B737" s="94"/>
    </row>
    <row r="738" ht="15.75" customHeight="1">
      <c r="B738" s="94"/>
    </row>
    <row r="739" ht="15.75" customHeight="1">
      <c r="B739" s="94"/>
    </row>
    <row r="740" ht="15.75" customHeight="1">
      <c r="B740" s="94"/>
    </row>
    <row r="741" ht="15.75" customHeight="1">
      <c r="B741" s="94"/>
    </row>
    <row r="742" ht="15.75" customHeight="1">
      <c r="B742" s="94"/>
    </row>
    <row r="743" ht="15.75" customHeight="1">
      <c r="B743" s="94"/>
    </row>
    <row r="744" ht="15.75" customHeight="1">
      <c r="B744" s="94"/>
    </row>
    <row r="745" ht="15.75" customHeight="1">
      <c r="B745" s="94"/>
    </row>
    <row r="746" ht="15.75" customHeight="1">
      <c r="B746" s="94"/>
    </row>
    <row r="747" ht="15.75" customHeight="1">
      <c r="B747" s="94"/>
    </row>
    <row r="748" ht="15.75" customHeight="1">
      <c r="B748" s="94"/>
    </row>
    <row r="749" ht="15.75" customHeight="1">
      <c r="B749" s="94"/>
    </row>
    <row r="750" ht="15.75" customHeight="1">
      <c r="B750" s="94"/>
    </row>
    <row r="751" ht="15.75" customHeight="1">
      <c r="B751" s="94"/>
    </row>
    <row r="752" ht="15.75" customHeight="1">
      <c r="B752" s="94"/>
    </row>
    <row r="753" ht="15.75" customHeight="1">
      <c r="B753" s="94"/>
    </row>
    <row r="754" ht="15.75" customHeight="1">
      <c r="B754" s="94"/>
    </row>
    <row r="755" ht="15.75" customHeight="1">
      <c r="B755" s="94"/>
    </row>
    <row r="756" ht="15.75" customHeight="1">
      <c r="B756" s="94"/>
    </row>
    <row r="757" ht="15.75" customHeight="1">
      <c r="B757" s="94"/>
    </row>
    <row r="758" ht="15.75" customHeight="1">
      <c r="B758" s="94"/>
    </row>
    <row r="759" ht="15.75" customHeight="1">
      <c r="B759" s="94"/>
    </row>
    <row r="760" ht="15.75" customHeight="1">
      <c r="B760" s="94"/>
    </row>
    <row r="761" ht="15.75" customHeight="1">
      <c r="B761" s="94"/>
    </row>
    <row r="762" ht="15.75" customHeight="1">
      <c r="B762" s="94"/>
    </row>
    <row r="763" ht="15.75" customHeight="1">
      <c r="B763" s="94"/>
    </row>
    <row r="764" ht="15.75" customHeight="1">
      <c r="B764" s="94"/>
    </row>
    <row r="765" ht="15.75" customHeight="1">
      <c r="B765" s="94"/>
    </row>
    <row r="766" ht="15.75" customHeight="1">
      <c r="B766" s="94"/>
    </row>
    <row r="767" ht="15.75" customHeight="1">
      <c r="B767" s="94"/>
    </row>
    <row r="768" ht="15.75" customHeight="1">
      <c r="B768" s="94"/>
    </row>
    <row r="769" ht="15.75" customHeight="1">
      <c r="B769" s="94"/>
    </row>
    <row r="770" ht="15.75" customHeight="1">
      <c r="B770" s="94"/>
    </row>
    <row r="771" ht="15.75" customHeight="1">
      <c r="B771" s="94"/>
    </row>
    <row r="772" ht="15.75" customHeight="1">
      <c r="B772" s="94"/>
    </row>
    <row r="773" ht="15.75" customHeight="1">
      <c r="B773" s="94"/>
    </row>
    <row r="774" ht="15.75" customHeight="1">
      <c r="B774" s="94"/>
    </row>
    <row r="775" ht="15.75" customHeight="1">
      <c r="B775" s="94"/>
    </row>
    <row r="776" ht="15.75" customHeight="1">
      <c r="B776" s="94"/>
    </row>
    <row r="777" ht="15.75" customHeight="1">
      <c r="B777" s="94"/>
    </row>
    <row r="778" ht="15.75" customHeight="1">
      <c r="B778" s="94"/>
    </row>
    <row r="779" ht="15.75" customHeight="1">
      <c r="B779" s="94"/>
    </row>
    <row r="780" ht="15.75" customHeight="1">
      <c r="B780" s="94"/>
    </row>
    <row r="781" ht="15.75" customHeight="1">
      <c r="B781" s="94"/>
    </row>
    <row r="782" ht="15.75" customHeight="1">
      <c r="B782" s="94"/>
    </row>
    <row r="783" ht="15.75" customHeight="1">
      <c r="B783" s="94"/>
    </row>
    <row r="784" ht="15.75" customHeight="1">
      <c r="B784" s="94"/>
    </row>
    <row r="785" ht="15.75" customHeight="1">
      <c r="B785" s="94"/>
    </row>
    <row r="786" ht="15.75" customHeight="1">
      <c r="B786" s="94"/>
    </row>
    <row r="787" ht="15.75" customHeight="1">
      <c r="B787" s="94"/>
    </row>
    <row r="788" ht="15.75" customHeight="1">
      <c r="B788" s="94"/>
    </row>
    <row r="789" ht="15.75" customHeight="1">
      <c r="B789" s="94"/>
    </row>
    <row r="790" ht="15.75" customHeight="1">
      <c r="B790" s="94"/>
    </row>
    <row r="791" ht="15.75" customHeight="1">
      <c r="B791" s="94"/>
    </row>
    <row r="792" ht="15.75" customHeight="1">
      <c r="B792" s="94"/>
    </row>
    <row r="793" ht="15.75" customHeight="1">
      <c r="B793" s="94"/>
    </row>
    <row r="794" ht="15.75" customHeight="1">
      <c r="B794" s="94"/>
    </row>
    <row r="795" ht="15.75" customHeight="1">
      <c r="B795" s="94"/>
    </row>
    <row r="796" ht="15.75" customHeight="1">
      <c r="B796" s="94"/>
    </row>
    <row r="797" ht="15.75" customHeight="1">
      <c r="B797" s="94"/>
    </row>
    <row r="798" ht="15.75" customHeight="1">
      <c r="B798" s="94"/>
    </row>
    <row r="799" ht="15.75" customHeight="1">
      <c r="B799" s="94"/>
    </row>
    <row r="800" ht="15.75" customHeight="1">
      <c r="B800" s="94"/>
    </row>
    <row r="801" ht="15.75" customHeight="1">
      <c r="B801" s="94"/>
    </row>
    <row r="802" ht="15.75" customHeight="1">
      <c r="B802" s="94"/>
    </row>
    <row r="803" ht="15.75" customHeight="1">
      <c r="B803" s="94"/>
    </row>
    <row r="804" ht="15.75" customHeight="1">
      <c r="B804" s="94"/>
    </row>
    <row r="805" ht="15.75" customHeight="1">
      <c r="B805" s="94"/>
    </row>
    <row r="806" ht="15.75" customHeight="1">
      <c r="B806" s="94"/>
    </row>
    <row r="807" ht="15.75" customHeight="1">
      <c r="B807" s="94"/>
    </row>
    <row r="808" ht="15.75" customHeight="1">
      <c r="B808" s="94"/>
    </row>
    <row r="809" ht="15.75" customHeight="1">
      <c r="B809" s="94"/>
    </row>
    <row r="810" ht="15.75" customHeight="1">
      <c r="B810" s="94"/>
    </row>
    <row r="811" ht="15.75" customHeight="1">
      <c r="B811" s="94"/>
    </row>
    <row r="812" ht="15.75" customHeight="1">
      <c r="B812" s="94"/>
    </row>
    <row r="813" ht="15.75" customHeight="1">
      <c r="B813" s="94"/>
    </row>
    <row r="814" ht="15.75" customHeight="1">
      <c r="B814" s="94"/>
    </row>
    <row r="815" ht="15.75" customHeight="1">
      <c r="B815" s="94"/>
    </row>
    <row r="816" ht="15.75" customHeight="1">
      <c r="B816" s="94"/>
    </row>
    <row r="817" ht="15.75" customHeight="1">
      <c r="B817" s="94"/>
    </row>
    <row r="818" ht="15.75" customHeight="1">
      <c r="B818" s="94"/>
    </row>
    <row r="819" ht="15.75" customHeight="1">
      <c r="B819" s="94"/>
    </row>
    <row r="820" ht="15.75" customHeight="1">
      <c r="B820" s="94"/>
    </row>
    <row r="821" ht="15.75" customHeight="1">
      <c r="B821" s="94"/>
    </row>
    <row r="822" ht="15.75" customHeight="1">
      <c r="B822" s="94"/>
    </row>
    <row r="823" ht="15.75" customHeight="1">
      <c r="B823" s="94"/>
    </row>
    <row r="824" ht="15.75" customHeight="1">
      <c r="B824" s="94"/>
    </row>
    <row r="825" ht="15.75" customHeight="1">
      <c r="B825" s="94"/>
    </row>
    <row r="826" ht="15.75" customHeight="1">
      <c r="B826" s="94"/>
    </row>
    <row r="827" ht="15.75" customHeight="1">
      <c r="B827" s="94"/>
    </row>
    <row r="828" ht="15.75" customHeight="1">
      <c r="B828" s="94"/>
    </row>
    <row r="829" ht="15.75" customHeight="1">
      <c r="B829" s="94"/>
    </row>
    <row r="830" ht="15.75" customHeight="1">
      <c r="B830" s="94"/>
    </row>
    <row r="831" ht="15.75" customHeight="1">
      <c r="B831" s="94"/>
    </row>
    <row r="832" ht="15.75" customHeight="1">
      <c r="B832" s="94"/>
    </row>
    <row r="833" ht="15.75" customHeight="1">
      <c r="B833" s="94"/>
    </row>
    <row r="834" ht="15.75" customHeight="1">
      <c r="B834" s="94"/>
    </row>
    <row r="835" ht="15.75" customHeight="1">
      <c r="B835" s="94"/>
    </row>
    <row r="836" ht="15.75" customHeight="1">
      <c r="B836" s="94"/>
    </row>
    <row r="837" ht="15.75" customHeight="1">
      <c r="B837" s="94"/>
    </row>
    <row r="838" ht="15.75" customHeight="1">
      <c r="B838" s="94"/>
    </row>
    <row r="839" ht="15.75" customHeight="1">
      <c r="B839" s="94"/>
    </row>
    <row r="840" ht="15.75" customHeight="1">
      <c r="B840" s="94"/>
    </row>
    <row r="841" ht="15.75" customHeight="1">
      <c r="B841" s="94"/>
    </row>
    <row r="842" ht="15.75" customHeight="1">
      <c r="B842" s="94"/>
    </row>
    <row r="843" ht="15.75" customHeight="1">
      <c r="B843" s="94"/>
    </row>
    <row r="844" ht="15.75" customHeight="1">
      <c r="B844" s="94"/>
    </row>
    <row r="845" ht="15.75" customHeight="1">
      <c r="B845" s="94"/>
    </row>
    <row r="846" ht="15.75" customHeight="1">
      <c r="B846" s="94"/>
    </row>
    <row r="847" ht="15.75" customHeight="1">
      <c r="B847" s="94"/>
    </row>
    <row r="848" ht="15.75" customHeight="1">
      <c r="B848" s="94"/>
    </row>
    <row r="849" ht="15.75" customHeight="1">
      <c r="B849" s="94"/>
    </row>
    <row r="850" ht="15.75" customHeight="1">
      <c r="B850" s="94"/>
    </row>
    <row r="851" ht="15.75" customHeight="1">
      <c r="B851" s="94"/>
    </row>
    <row r="852" ht="15.75" customHeight="1">
      <c r="B852" s="94"/>
    </row>
    <row r="853" ht="15.75" customHeight="1">
      <c r="B853" s="94"/>
    </row>
    <row r="854" ht="15.75" customHeight="1">
      <c r="B854" s="94"/>
    </row>
    <row r="855" ht="15.75" customHeight="1">
      <c r="B855" s="94"/>
    </row>
    <row r="856" ht="15.75" customHeight="1">
      <c r="B856" s="94"/>
    </row>
    <row r="857" ht="15.75" customHeight="1">
      <c r="B857" s="94"/>
    </row>
    <row r="858" ht="15.75" customHeight="1">
      <c r="B858" s="94"/>
    </row>
    <row r="859" ht="15.75" customHeight="1">
      <c r="B859" s="94"/>
    </row>
    <row r="860" ht="15.75" customHeight="1">
      <c r="B860" s="94"/>
    </row>
    <row r="861" ht="15.75" customHeight="1">
      <c r="B861" s="94"/>
    </row>
    <row r="862" ht="15.75" customHeight="1">
      <c r="B862" s="94"/>
    </row>
    <row r="863" ht="15.75" customHeight="1">
      <c r="B863" s="94"/>
    </row>
    <row r="864" ht="15.75" customHeight="1">
      <c r="B864" s="94"/>
    </row>
    <row r="865" ht="15.75" customHeight="1">
      <c r="B865" s="94"/>
    </row>
    <row r="866" ht="15.75" customHeight="1">
      <c r="B866" s="94"/>
    </row>
    <row r="867" ht="15.75" customHeight="1">
      <c r="B867" s="94"/>
    </row>
    <row r="868" ht="15.75" customHeight="1">
      <c r="B868" s="94"/>
    </row>
    <row r="869" ht="15.75" customHeight="1">
      <c r="B869" s="94"/>
    </row>
    <row r="870" ht="15.75" customHeight="1">
      <c r="B870" s="94"/>
    </row>
    <row r="871" ht="15.75" customHeight="1">
      <c r="B871" s="94"/>
    </row>
    <row r="872" ht="15.75" customHeight="1">
      <c r="B872" s="94"/>
    </row>
    <row r="873" ht="15.75" customHeight="1">
      <c r="B873" s="94"/>
    </row>
    <row r="874" ht="15.75" customHeight="1">
      <c r="B874" s="94"/>
    </row>
    <row r="875" ht="15.75" customHeight="1">
      <c r="B875" s="94"/>
    </row>
    <row r="876" ht="15.75" customHeight="1">
      <c r="B876" s="94"/>
    </row>
    <row r="877" ht="15.75" customHeight="1">
      <c r="B877" s="94"/>
    </row>
    <row r="878" ht="15.75" customHeight="1">
      <c r="B878" s="94"/>
    </row>
    <row r="879" ht="15.75" customHeight="1">
      <c r="B879" s="94"/>
    </row>
    <row r="880" ht="15.75" customHeight="1">
      <c r="B880" s="94"/>
    </row>
    <row r="881" ht="15.75" customHeight="1">
      <c r="B881" s="94"/>
    </row>
    <row r="882" ht="15.75" customHeight="1">
      <c r="B882" s="94"/>
    </row>
    <row r="883" ht="15.75" customHeight="1">
      <c r="B883" s="94"/>
    </row>
    <row r="884" ht="15.75" customHeight="1">
      <c r="B884" s="94"/>
    </row>
    <row r="885" ht="15.75" customHeight="1">
      <c r="B885" s="94"/>
    </row>
    <row r="886" ht="15.75" customHeight="1">
      <c r="B886" s="94"/>
    </row>
    <row r="887" ht="15.75" customHeight="1">
      <c r="B887" s="94"/>
    </row>
    <row r="888" ht="15.75" customHeight="1">
      <c r="B888" s="94"/>
    </row>
    <row r="889" ht="15.75" customHeight="1">
      <c r="B889" s="94"/>
    </row>
    <row r="890" ht="15.75" customHeight="1">
      <c r="B890" s="94"/>
    </row>
    <row r="891" ht="15.75" customHeight="1">
      <c r="B891" s="94"/>
    </row>
    <row r="892" ht="15.75" customHeight="1">
      <c r="B892" s="94"/>
    </row>
    <row r="893" ht="15.75" customHeight="1">
      <c r="B893" s="94"/>
    </row>
    <row r="894" ht="15.75" customHeight="1">
      <c r="B894" s="94"/>
    </row>
    <row r="895" ht="15.75" customHeight="1">
      <c r="B895" s="94"/>
    </row>
    <row r="896" ht="15.75" customHeight="1">
      <c r="B896" s="94"/>
    </row>
    <row r="897" ht="15.75" customHeight="1">
      <c r="B897" s="94"/>
    </row>
    <row r="898" ht="15.75" customHeight="1">
      <c r="B898" s="94"/>
    </row>
    <row r="899" ht="15.75" customHeight="1">
      <c r="B899" s="94"/>
    </row>
    <row r="900" ht="15.75" customHeight="1">
      <c r="B900" s="94"/>
    </row>
    <row r="901" ht="15.75" customHeight="1">
      <c r="B901" s="94"/>
    </row>
    <row r="902" ht="15.75" customHeight="1">
      <c r="B902" s="94"/>
    </row>
    <row r="903" ht="15.75" customHeight="1">
      <c r="B903" s="94"/>
    </row>
    <row r="904" ht="15.75" customHeight="1">
      <c r="B904" s="94"/>
    </row>
    <row r="905" ht="15.75" customHeight="1">
      <c r="B905" s="94"/>
    </row>
    <row r="906" ht="15.75" customHeight="1">
      <c r="B906" s="94"/>
    </row>
    <row r="907" ht="15.75" customHeight="1">
      <c r="B907" s="94"/>
    </row>
    <row r="908" ht="15.75" customHeight="1">
      <c r="B908" s="94"/>
    </row>
    <row r="909" ht="15.75" customHeight="1">
      <c r="B909" s="94"/>
    </row>
    <row r="910" ht="15.75" customHeight="1">
      <c r="B910" s="94"/>
    </row>
    <row r="911" ht="15.75" customHeight="1">
      <c r="B911" s="94"/>
    </row>
    <row r="912" ht="15.75" customHeight="1">
      <c r="B912" s="94"/>
    </row>
    <row r="913" ht="15.75" customHeight="1">
      <c r="B913" s="94"/>
    </row>
    <row r="914" ht="15.75" customHeight="1">
      <c r="B914" s="94"/>
    </row>
    <row r="915" ht="15.75" customHeight="1">
      <c r="B915" s="94"/>
    </row>
    <row r="916" ht="15.75" customHeight="1">
      <c r="B916" s="94"/>
    </row>
    <row r="917" ht="15.75" customHeight="1">
      <c r="B917" s="94"/>
    </row>
    <row r="918" ht="15.75" customHeight="1">
      <c r="B918" s="94"/>
    </row>
    <row r="919" ht="15.75" customHeight="1">
      <c r="B919" s="94"/>
    </row>
    <row r="920" ht="15.75" customHeight="1">
      <c r="B920" s="94"/>
    </row>
    <row r="921" ht="15.75" customHeight="1">
      <c r="B921" s="94"/>
    </row>
    <row r="922" ht="15.75" customHeight="1">
      <c r="B922" s="94"/>
    </row>
    <row r="923" ht="15.75" customHeight="1">
      <c r="B923" s="94"/>
    </row>
    <row r="924" ht="15.75" customHeight="1">
      <c r="B924" s="94"/>
    </row>
    <row r="925" ht="15.75" customHeight="1">
      <c r="B925" s="94"/>
    </row>
    <row r="926" ht="15.75" customHeight="1">
      <c r="B926" s="94"/>
    </row>
    <row r="927" ht="15.75" customHeight="1">
      <c r="B927" s="94"/>
    </row>
    <row r="928" ht="15.75" customHeight="1">
      <c r="B928" s="94"/>
    </row>
    <row r="929" ht="15.75" customHeight="1">
      <c r="B929" s="94"/>
    </row>
    <row r="930" ht="15.75" customHeight="1">
      <c r="B930" s="94"/>
    </row>
    <row r="931" ht="15.75" customHeight="1">
      <c r="B931" s="94"/>
    </row>
    <row r="932" ht="15.75" customHeight="1">
      <c r="B932" s="94"/>
    </row>
    <row r="933" ht="15.75" customHeight="1">
      <c r="B933" s="94"/>
    </row>
    <row r="934" ht="15.75" customHeight="1">
      <c r="B934" s="94"/>
    </row>
    <row r="935" ht="15.75" customHeight="1">
      <c r="B935" s="94"/>
    </row>
    <row r="936" ht="15.75" customHeight="1">
      <c r="B936" s="94"/>
    </row>
    <row r="937" ht="15.75" customHeight="1">
      <c r="B937" s="94"/>
    </row>
    <row r="938" ht="15.75" customHeight="1">
      <c r="B938" s="94"/>
    </row>
    <row r="939" ht="15.75" customHeight="1">
      <c r="B939" s="94"/>
    </row>
    <row r="940" ht="15.75" customHeight="1">
      <c r="B940" s="94"/>
    </row>
    <row r="941" ht="15.75" customHeight="1">
      <c r="B941" s="94"/>
    </row>
    <row r="942" ht="15.75" customHeight="1">
      <c r="B942" s="94"/>
    </row>
    <row r="943" ht="15.75" customHeight="1">
      <c r="B943" s="94"/>
    </row>
    <row r="944" ht="15.75" customHeight="1">
      <c r="B944" s="94"/>
    </row>
    <row r="945" ht="15.75" customHeight="1">
      <c r="B945" s="94"/>
    </row>
    <row r="946" ht="15.75" customHeight="1">
      <c r="B946" s="94"/>
    </row>
    <row r="947" ht="15.75" customHeight="1">
      <c r="B947" s="94"/>
    </row>
    <row r="948" ht="15.75" customHeight="1">
      <c r="B948" s="94"/>
    </row>
    <row r="949" ht="15.75" customHeight="1">
      <c r="B949" s="94"/>
    </row>
    <row r="950" ht="15.75" customHeight="1">
      <c r="B950" s="94"/>
    </row>
    <row r="951" ht="15.75" customHeight="1">
      <c r="B951" s="94"/>
    </row>
    <row r="952" ht="15.75" customHeight="1">
      <c r="B952" s="94"/>
    </row>
    <row r="953" ht="15.75" customHeight="1">
      <c r="B953" s="94"/>
    </row>
    <row r="954" ht="15.75" customHeight="1">
      <c r="B954" s="94"/>
    </row>
    <row r="955" ht="15.75" customHeight="1">
      <c r="B955" s="94"/>
    </row>
    <row r="956" ht="15.75" customHeight="1">
      <c r="B956" s="94"/>
    </row>
    <row r="957" ht="15.75" customHeight="1">
      <c r="B957" s="94"/>
    </row>
    <row r="958" ht="15.75" customHeight="1">
      <c r="B958" s="94"/>
    </row>
    <row r="959" ht="15.75" customHeight="1">
      <c r="B959" s="94"/>
    </row>
    <row r="960" ht="15.75" customHeight="1">
      <c r="B960" s="94"/>
    </row>
    <row r="961" ht="15.75" customHeight="1">
      <c r="B961" s="94"/>
    </row>
    <row r="962" ht="15.75" customHeight="1">
      <c r="B962" s="94"/>
    </row>
    <row r="963" ht="15.75" customHeight="1">
      <c r="B963" s="94"/>
    </row>
    <row r="964" ht="15.75" customHeight="1">
      <c r="B964" s="94"/>
    </row>
    <row r="965" ht="15.75" customHeight="1">
      <c r="B965" s="94"/>
    </row>
    <row r="966" ht="15.75" customHeight="1">
      <c r="B966" s="94"/>
    </row>
    <row r="967" ht="15.75" customHeight="1">
      <c r="B967" s="94"/>
    </row>
    <row r="968" ht="15.75" customHeight="1">
      <c r="B968" s="94"/>
    </row>
    <row r="969" ht="15.75" customHeight="1">
      <c r="B969" s="94"/>
    </row>
    <row r="970" ht="15.75" customHeight="1">
      <c r="B970" s="94"/>
    </row>
    <row r="971" ht="15.75" customHeight="1">
      <c r="B971" s="94"/>
    </row>
    <row r="972" ht="15.75" customHeight="1">
      <c r="B972" s="94"/>
    </row>
    <row r="973" ht="15.75" customHeight="1">
      <c r="B973" s="94"/>
    </row>
    <row r="974" ht="15.75" customHeight="1">
      <c r="B974" s="94"/>
    </row>
    <row r="975" ht="15.75" customHeight="1">
      <c r="B975" s="94"/>
    </row>
    <row r="976" ht="15.75" customHeight="1">
      <c r="B976" s="94"/>
    </row>
    <row r="977" ht="15.75" customHeight="1">
      <c r="B977" s="94"/>
    </row>
    <row r="978" ht="15.75" customHeight="1">
      <c r="B978" s="94"/>
    </row>
    <row r="979" ht="15.75" customHeight="1">
      <c r="B979" s="94"/>
    </row>
    <row r="980" ht="15.75" customHeight="1">
      <c r="B980" s="94"/>
    </row>
    <row r="981" ht="15.75" customHeight="1">
      <c r="B981" s="94"/>
    </row>
    <row r="982" ht="15.75" customHeight="1">
      <c r="B982" s="94"/>
    </row>
    <row r="983" ht="15.75" customHeight="1">
      <c r="B983" s="94"/>
    </row>
    <row r="984" ht="15.75" customHeight="1">
      <c r="B984" s="94"/>
    </row>
    <row r="985" ht="15.75" customHeight="1">
      <c r="B985" s="94"/>
    </row>
  </sheetData>
  <mergeCells count="46">
    <mergeCell ref="N9:N10"/>
    <mergeCell ref="O9:O10"/>
    <mergeCell ref="P9:P10"/>
    <mergeCell ref="Q9:Q10"/>
    <mergeCell ref="R9:R10"/>
    <mergeCell ref="S9:S10"/>
    <mergeCell ref="L7:M7"/>
    <mergeCell ref="N7:O7"/>
    <mergeCell ref="T7:T10"/>
    <mergeCell ref="L8:M8"/>
    <mergeCell ref="N8:O8"/>
    <mergeCell ref="P8:Q8"/>
    <mergeCell ref="R8:S8"/>
    <mergeCell ref="M1:T1"/>
    <mergeCell ref="A2:T2"/>
    <mergeCell ref="A3:T3"/>
    <mergeCell ref="A4:T4"/>
    <mergeCell ref="O6:Q6"/>
    <mergeCell ref="D7:E7"/>
    <mergeCell ref="F7:G7"/>
    <mergeCell ref="P7:Q7"/>
    <mergeCell ref="D9:D10"/>
    <mergeCell ref="E9:E10"/>
    <mergeCell ref="A54:C54"/>
    <mergeCell ref="D54:E54"/>
    <mergeCell ref="F9:F10"/>
    <mergeCell ref="G9:G10"/>
    <mergeCell ref="F54:G54"/>
    <mergeCell ref="H9:H10"/>
    <mergeCell ref="I9:I10"/>
    <mergeCell ref="H54:I54"/>
    <mergeCell ref="J9:J10"/>
    <mergeCell ref="K9:K10"/>
    <mergeCell ref="J54:K54"/>
    <mergeCell ref="H7:I7"/>
    <mergeCell ref="J7:K7"/>
    <mergeCell ref="D8:E8"/>
    <mergeCell ref="F8:G8"/>
    <mergeCell ref="H8:I8"/>
    <mergeCell ref="J8:K8"/>
    <mergeCell ref="C9:C10"/>
    <mergeCell ref="L9:L10"/>
    <mergeCell ref="M9:M10"/>
    <mergeCell ref="L54:M54"/>
    <mergeCell ref="N54:O54"/>
    <mergeCell ref="P54:Q54"/>
  </mergeCells>
  <printOptions horizontalCentered="1"/>
  <pageMargins bottom="0.25" footer="0.0" header="0.0" left="0.0" right="0.25" top="0.5"/>
  <pageSetup paperSize="9" scale="8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3.25"/>
    <col customWidth="1" min="3" max="3" width="28.75"/>
    <col customWidth="1" min="4" max="4" width="4.13"/>
    <col customWidth="1" min="5" max="5" width="4.38"/>
    <col customWidth="1" min="6" max="6" width="3.88"/>
    <col customWidth="1" min="7" max="7" width="5.0"/>
    <col customWidth="1" min="8" max="8" width="3.88"/>
    <col customWidth="1" min="9" max="9" width="5.63"/>
    <col customWidth="1" min="10" max="10" width="4.13"/>
    <col customWidth="1" min="11" max="11" width="5.0"/>
    <col customWidth="1" min="12" max="12" width="4.75"/>
    <col customWidth="1" min="13" max="13" width="5.63"/>
    <col customWidth="1" min="14" max="14" width="4.63"/>
    <col customWidth="1" min="15" max="15" width="4.5"/>
    <col customWidth="1" min="16" max="16" width="3.88"/>
    <col customWidth="1" min="17" max="17" width="5.63"/>
    <col customWidth="1" min="18" max="19" width="4.88"/>
    <col customWidth="1" min="20" max="20" width="5.88"/>
    <col customWidth="1" min="21" max="21" width="5.25"/>
    <col customWidth="1" min="22" max="22" width="4.88"/>
  </cols>
  <sheetData>
    <row r="1" ht="12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4" t="s">
        <v>0</v>
      </c>
      <c r="N1" s="5"/>
      <c r="O1" s="5"/>
      <c r="P1" s="5"/>
      <c r="Q1" s="5"/>
      <c r="R1" s="5"/>
      <c r="S1" s="5"/>
      <c r="T1" s="6"/>
      <c r="U1" s="95"/>
      <c r="V1" s="95"/>
    </row>
    <row r="2" ht="23.25" customHeight="1">
      <c r="A2" s="7" t="s">
        <v>1</v>
      </c>
      <c r="U2" s="7"/>
      <c r="V2" s="7"/>
    </row>
    <row r="3" ht="21.75" customHeight="1">
      <c r="A3" s="8" t="s">
        <v>2</v>
      </c>
      <c r="U3" s="8"/>
      <c r="V3" s="8"/>
    </row>
    <row r="4" ht="11.25" customHeight="1">
      <c r="A4" s="96" t="s">
        <v>123</v>
      </c>
      <c r="U4" s="9"/>
      <c r="V4" s="9"/>
    </row>
    <row r="5" ht="18.0" customHeight="1">
      <c r="A5" s="10"/>
      <c r="B5" s="11"/>
      <c r="D5" s="10"/>
      <c r="E5" s="10"/>
      <c r="F5" s="10"/>
      <c r="G5" s="10"/>
      <c r="H5" s="10"/>
      <c r="I5" s="10"/>
      <c r="J5" s="10"/>
      <c r="K5" s="12"/>
      <c r="L5" s="10"/>
      <c r="M5" s="10"/>
      <c r="N5" s="13"/>
      <c r="O5" s="13"/>
      <c r="P5" s="13"/>
      <c r="Q5" s="13"/>
      <c r="R5" s="9"/>
      <c r="S5" s="9"/>
      <c r="T5" s="9"/>
      <c r="U5" s="9"/>
      <c r="V5" s="9"/>
    </row>
    <row r="6" ht="20.25" customHeight="1">
      <c r="A6" s="10"/>
      <c r="B6" s="11"/>
      <c r="C6" s="14" t="s">
        <v>4</v>
      </c>
      <c r="D6" s="13"/>
      <c r="E6" s="10"/>
      <c r="F6" s="10"/>
      <c r="G6" s="10"/>
      <c r="H6" s="15" t="s">
        <v>5</v>
      </c>
      <c r="I6" s="16" t="s">
        <v>6</v>
      </c>
      <c r="J6" s="10"/>
      <c r="K6" s="12"/>
      <c r="M6" s="10"/>
      <c r="N6" s="10"/>
      <c r="O6" s="17" t="s">
        <v>124</v>
      </c>
      <c r="R6" s="18"/>
      <c r="S6" s="18"/>
      <c r="T6" s="18"/>
      <c r="U6" s="18"/>
      <c r="V6" s="18"/>
    </row>
    <row r="7" ht="14.25" customHeight="1">
      <c r="A7" s="19" t="s">
        <v>8</v>
      </c>
      <c r="B7" s="20" t="s">
        <v>9</v>
      </c>
      <c r="C7" s="21" t="s">
        <v>10</v>
      </c>
      <c r="D7" s="23">
        <v>33.0</v>
      </c>
      <c r="E7" s="6"/>
      <c r="F7" s="97">
        <v>37.0</v>
      </c>
      <c r="G7" s="6"/>
      <c r="H7" s="23">
        <v>51.0</v>
      </c>
      <c r="I7" s="6"/>
      <c r="J7" s="23">
        <v>49.0</v>
      </c>
      <c r="K7" s="6"/>
      <c r="L7" s="23">
        <v>12.0</v>
      </c>
      <c r="M7" s="6"/>
      <c r="N7" s="23">
        <v>21.0</v>
      </c>
      <c r="O7" s="6"/>
      <c r="P7" s="23">
        <v>5.0</v>
      </c>
      <c r="Q7" s="6"/>
      <c r="R7" s="23" t="s">
        <v>125</v>
      </c>
      <c r="S7" s="6"/>
      <c r="T7" s="98">
        <v>46306.0</v>
      </c>
      <c r="U7" s="24"/>
      <c r="V7" s="24" t="s">
        <v>11</v>
      </c>
    </row>
    <row r="8" ht="22.5" customHeight="1">
      <c r="A8" s="25"/>
      <c r="B8" s="26"/>
      <c r="C8" s="21" t="s">
        <v>12</v>
      </c>
      <c r="D8" s="27" t="s">
        <v>13</v>
      </c>
      <c r="E8" s="6"/>
      <c r="F8" s="23" t="s">
        <v>126</v>
      </c>
      <c r="G8" s="6"/>
      <c r="H8" s="28" t="s">
        <v>15</v>
      </c>
      <c r="I8" s="6"/>
      <c r="J8" s="28" t="s">
        <v>16</v>
      </c>
      <c r="K8" s="6"/>
      <c r="L8" s="28" t="s">
        <v>17</v>
      </c>
      <c r="M8" s="6"/>
      <c r="N8" s="28" t="s">
        <v>18</v>
      </c>
      <c r="O8" s="6"/>
      <c r="P8" s="28" t="s">
        <v>127</v>
      </c>
      <c r="Q8" s="6"/>
      <c r="R8" s="29" t="s">
        <v>19</v>
      </c>
      <c r="S8" s="6"/>
      <c r="T8" s="30" t="s">
        <v>20</v>
      </c>
      <c r="U8" s="6"/>
      <c r="V8" s="31"/>
    </row>
    <row r="9" ht="11.25" customHeight="1">
      <c r="A9" s="25"/>
      <c r="B9" s="26"/>
      <c r="C9" s="32" t="s">
        <v>21</v>
      </c>
      <c r="D9" s="34" t="s">
        <v>22</v>
      </c>
      <c r="E9" s="34" t="s">
        <v>23</v>
      </c>
      <c r="F9" s="34" t="s">
        <v>22</v>
      </c>
      <c r="G9" s="34" t="s">
        <v>23</v>
      </c>
      <c r="H9" s="34" t="s">
        <v>22</v>
      </c>
      <c r="I9" s="35" t="s">
        <v>23</v>
      </c>
      <c r="J9" s="34" t="s">
        <v>22</v>
      </c>
      <c r="K9" s="34" t="s">
        <v>23</v>
      </c>
      <c r="L9" s="34" t="s">
        <v>22</v>
      </c>
      <c r="M9" s="34" t="s">
        <v>23</v>
      </c>
      <c r="N9" s="34" t="s">
        <v>22</v>
      </c>
      <c r="O9" s="34" t="s">
        <v>23</v>
      </c>
      <c r="P9" s="34" t="s">
        <v>22</v>
      </c>
      <c r="Q9" s="34" t="s">
        <v>23</v>
      </c>
      <c r="R9" s="34" t="s">
        <v>22</v>
      </c>
      <c r="S9" s="36" t="s">
        <v>23</v>
      </c>
      <c r="T9" s="34" t="s">
        <v>22</v>
      </c>
      <c r="U9" s="34" t="s">
        <v>23</v>
      </c>
      <c r="V9" s="31"/>
    </row>
    <row r="10" ht="9.0" customHeight="1">
      <c r="A10" s="37"/>
      <c r="B10" s="38"/>
      <c r="C10" s="39"/>
      <c r="D10" s="39"/>
      <c r="E10" s="39"/>
      <c r="F10" s="31"/>
      <c r="G10" s="39"/>
      <c r="H10" s="39"/>
      <c r="I10" s="31"/>
      <c r="J10" s="31"/>
      <c r="K10" s="31"/>
      <c r="L10" s="31"/>
      <c r="M10" s="31"/>
      <c r="N10" s="31"/>
      <c r="O10" s="39"/>
      <c r="P10" s="31"/>
      <c r="Q10" s="39"/>
      <c r="R10" s="31"/>
      <c r="S10" s="39"/>
      <c r="T10" s="31"/>
      <c r="U10" s="39"/>
      <c r="V10" s="39"/>
    </row>
    <row r="11" ht="22.5" customHeight="1">
      <c r="A11" s="41">
        <v>1.0</v>
      </c>
      <c r="B11" s="42" t="s">
        <v>24</v>
      </c>
      <c r="C11" s="43" t="s">
        <v>25</v>
      </c>
      <c r="D11" s="44">
        <v>27.0</v>
      </c>
      <c r="E11" s="45">
        <v>81.82</v>
      </c>
      <c r="F11" s="46">
        <v>30.0</v>
      </c>
      <c r="G11" s="47">
        <v>82.0</v>
      </c>
      <c r="H11" s="48">
        <v>40.0</v>
      </c>
      <c r="I11" s="49">
        <f t="shared" ref="I11:I53" si="1">(H11/51)*100</f>
        <v>78.43137255</v>
      </c>
      <c r="J11" s="99">
        <v>42.0</v>
      </c>
      <c r="K11" s="100">
        <v>87.76</v>
      </c>
      <c r="L11" s="52">
        <v>10.0</v>
      </c>
      <c r="M11" s="51">
        <f t="shared" ref="M11:M53" si="2">round((L11/12)*100,0)</f>
        <v>83</v>
      </c>
      <c r="N11" s="52">
        <v>18.0</v>
      </c>
      <c r="O11" s="101">
        <f t="shared" ref="O11:O53" si="3">(N11/21)*100</f>
        <v>85.71428571</v>
      </c>
      <c r="P11" s="102">
        <v>5.0</v>
      </c>
      <c r="Q11" s="55">
        <f t="shared" ref="Q11:Q53" si="4">(P11/5)*100</f>
        <v>100</v>
      </c>
      <c r="R11" s="56">
        <v>6.0</v>
      </c>
      <c r="S11" s="57">
        <f t="shared" ref="S11:S32" si="5">(R11/9)*100</f>
        <v>66.66666667</v>
      </c>
      <c r="T11" s="56">
        <v>9.0</v>
      </c>
      <c r="U11" s="57">
        <v>90.0</v>
      </c>
      <c r="V11" s="55">
        <f t="shared" ref="V11:V53" si="6">average(E11,G11,I11,K11,M11,O11,Q11,S11,U11)</f>
        <v>83.93248055</v>
      </c>
    </row>
    <row r="12" ht="20.25" customHeight="1">
      <c r="A12" s="41">
        <v>2.0</v>
      </c>
      <c r="B12" s="58" t="s">
        <v>26</v>
      </c>
      <c r="C12" s="59" t="s">
        <v>27</v>
      </c>
      <c r="D12" s="44">
        <v>19.0</v>
      </c>
      <c r="E12" s="45">
        <v>57.0</v>
      </c>
      <c r="F12" s="60">
        <v>29.0</v>
      </c>
      <c r="G12" s="47">
        <v>79.0</v>
      </c>
      <c r="H12" s="48">
        <v>40.0</v>
      </c>
      <c r="I12" s="49">
        <f t="shared" si="1"/>
        <v>78.43137255</v>
      </c>
      <c r="J12" s="99">
        <v>34.0</v>
      </c>
      <c r="K12" s="100">
        <v>69.39</v>
      </c>
      <c r="L12" s="52">
        <v>9.0</v>
      </c>
      <c r="M12" s="51">
        <f t="shared" si="2"/>
        <v>75</v>
      </c>
      <c r="N12" s="52">
        <v>16.0</v>
      </c>
      <c r="O12" s="101">
        <f t="shared" si="3"/>
        <v>76.19047619</v>
      </c>
      <c r="P12" s="102">
        <v>3.0</v>
      </c>
      <c r="Q12" s="55">
        <f t="shared" si="4"/>
        <v>60</v>
      </c>
      <c r="R12" s="56">
        <v>7.0</v>
      </c>
      <c r="S12" s="57">
        <f t="shared" si="5"/>
        <v>77.77777778</v>
      </c>
      <c r="T12" s="56">
        <v>5.0</v>
      </c>
      <c r="U12" s="57">
        <v>50.0</v>
      </c>
      <c r="V12" s="55">
        <f t="shared" si="6"/>
        <v>69.19884739</v>
      </c>
    </row>
    <row r="13" ht="18.0" customHeight="1">
      <c r="A13" s="41">
        <v>3.0</v>
      </c>
      <c r="B13" s="58" t="s">
        <v>28</v>
      </c>
      <c r="C13" s="59" t="s">
        <v>29</v>
      </c>
      <c r="D13" s="44">
        <v>19.0</v>
      </c>
      <c r="E13" s="45">
        <v>57.0</v>
      </c>
      <c r="F13" s="60">
        <v>29.0</v>
      </c>
      <c r="G13" s="47">
        <v>79.0</v>
      </c>
      <c r="H13" s="48">
        <v>38.0</v>
      </c>
      <c r="I13" s="49">
        <f t="shared" si="1"/>
        <v>74.50980392</v>
      </c>
      <c r="J13" s="99">
        <v>43.0</v>
      </c>
      <c r="K13" s="100">
        <v>87.76</v>
      </c>
      <c r="L13" s="52">
        <v>8.0</v>
      </c>
      <c r="M13" s="51">
        <f t="shared" si="2"/>
        <v>67</v>
      </c>
      <c r="N13" s="52">
        <v>19.0</v>
      </c>
      <c r="O13" s="101">
        <f t="shared" si="3"/>
        <v>90.47619048</v>
      </c>
      <c r="P13" s="102">
        <v>3.0</v>
      </c>
      <c r="Q13" s="55">
        <f t="shared" si="4"/>
        <v>60</v>
      </c>
      <c r="R13" s="56">
        <v>9.0</v>
      </c>
      <c r="S13" s="57">
        <f t="shared" si="5"/>
        <v>100</v>
      </c>
      <c r="T13" s="56">
        <v>9.0</v>
      </c>
      <c r="U13" s="57">
        <v>90.0</v>
      </c>
      <c r="V13" s="55">
        <f t="shared" si="6"/>
        <v>78.4162216</v>
      </c>
    </row>
    <row r="14" ht="18.0" customHeight="1">
      <c r="A14" s="41">
        <v>4.0</v>
      </c>
      <c r="B14" s="58" t="s">
        <v>30</v>
      </c>
      <c r="C14" s="59" t="s">
        <v>31</v>
      </c>
      <c r="D14" s="44">
        <v>27.0</v>
      </c>
      <c r="E14" s="45">
        <v>81.82</v>
      </c>
      <c r="F14" s="60">
        <v>30.0</v>
      </c>
      <c r="G14" s="47">
        <v>82.0</v>
      </c>
      <c r="H14" s="48">
        <v>41.0</v>
      </c>
      <c r="I14" s="49">
        <f t="shared" si="1"/>
        <v>80.39215686</v>
      </c>
      <c r="J14" s="99">
        <v>44.0</v>
      </c>
      <c r="K14" s="100">
        <v>89.8</v>
      </c>
      <c r="L14" s="52">
        <v>11.0</v>
      </c>
      <c r="M14" s="51">
        <f t="shared" si="2"/>
        <v>92</v>
      </c>
      <c r="N14" s="52">
        <v>18.0</v>
      </c>
      <c r="O14" s="101">
        <f t="shared" si="3"/>
        <v>85.71428571</v>
      </c>
      <c r="P14" s="103">
        <v>4.0</v>
      </c>
      <c r="Q14" s="55">
        <f t="shared" si="4"/>
        <v>80</v>
      </c>
      <c r="R14" s="56">
        <v>9.0</v>
      </c>
      <c r="S14" s="57">
        <f t="shared" si="5"/>
        <v>100</v>
      </c>
      <c r="T14" s="56">
        <v>8.0</v>
      </c>
      <c r="U14" s="57">
        <v>80.0</v>
      </c>
      <c r="V14" s="55">
        <f t="shared" si="6"/>
        <v>85.74738251</v>
      </c>
    </row>
    <row r="15" ht="18.0" customHeight="1">
      <c r="A15" s="41">
        <v>5.0</v>
      </c>
      <c r="B15" s="58" t="s">
        <v>32</v>
      </c>
      <c r="C15" s="59" t="s">
        <v>33</v>
      </c>
      <c r="D15" s="44">
        <v>7.0</v>
      </c>
      <c r="E15" s="45">
        <v>21.21</v>
      </c>
      <c r="F15" s="60">
        <v>9.0</v>
      </c>
      <c r="G15" s="47">
        <v>25.0</v>
      </c>
      <c r="H15" s="48">
        <v>10.0</v>
      </c>
      <c r="I15" s="49">
        <f t="shared" si="1"/>
        <v>19.60784314</v>
      </c>
      <c r="J15" s="99">
        <v>11.0</v>
      </c>
      <c r="K15" s="100">
        <v>22.45</v>
      </c>
      <c r="L15" s="52">
        <v>2.0</v>
      </c>
      <c r="M15" s="51">
        <f t="shared" si="2"/>
        <v>17</v>
      </c>
      <c r="N15" s="52">
        <v>5.0</v>
      </c>
      <c r="O15" s="101">
        <f t="shared" si="3"/>
        <v>23.80952381</v>
      </c>
      <c r="P15" s="103">
        <v>0.0</v>
      </c>
      <c r="Q15" s="55">
        <f t="shared" si="4"/>
        <v>0</v>
      </c>
      <c r="R15" s="56">
        <v>0.0</v>
      </c>
      <c r="S15" s="57">
        <f t="shared" si="5"/>
        <v>0</v>
      </c>
      <c r="T15" s="56">
        <v>2.0</v>
      </c>
      <c r="U15" s="57">
        <v>20.0</v>
      </c>
      <c r="V15" s="55">
        <f t="shared" si="6"/>
        <v>16.56415188</v>
      </c>
    </row>
    <row r="16" ht="18.0" customHeight="1">
      <c r="A16" s="41">
        <v>6.0</v>
      </c>
      <c r="B16" s="58" t="s">
        <v>34</v>
      </c>
      <c r="C16" s="59" t="s">
        <v>35</v>
      </c>
      <c r="D16" s="44">
        <v>21.0</v>
      </c>
      <c r="E16" s="45">
        <v>63.64</v>
      </c>
      <c r="F16" s="60">
        <v>27.0</v>
      </c>
      <c r="G16" s="47">
        <v>73.0</v>
      </c>
      <c r="H16" s="48">
        <v>36.0</v>
      </c>
      <c r="I16" s="49">
        <f t="shared" si="1"/>
        <v>70.58823529</v>
      </c>
      <c r="J16" s="99">
        <v>42.0</v>
      </c>
      <c r="K16" s="100">
        <v>85.71</v>
      </c>
      <c r="L16" s="52">
        <v>10.0</v>
      </c>
      <c r="M16" s="51">
        <f t="shared" si="2"/>
        <v>83</v>
      </c>
      <c r="N16" s="52">
        <v>17.0</v>
      </c>
      <c r="O16" s="101">
        <f t="shared" si="3"/>
        <v>80.95238095</v>
      </c>
      <c r="P16" s="102">
        <v>3.0</v>
      </c>
      <c r="Q16" s="55">
        <f t="shared" si="4"/>
        <v>60</v>
      </c>
      <c r="R16" s="56">
        <v>8.0</v>
      </c>
      <c r="S16" s="57">
        <f t="shared" si="5"/>
        <v>88.88888889</v>
      </c>
      <c r="T16" s="56">
        <v>6.0</v>
      </c>
      <c r="U16" s="57">
        <v>60.0</v>
      </c>
      <c r="V16" s="55">
        <f t="shared" si="6"/>
        <v>73.97550057</v>
      </c>
    </row>
    <row r="17" ht="18.0" customHeight="1">
      <c r="A17" s="41">
        <v>7.0</v>
      </c>
      <c r="B17" s="58" t="s">
        <v>36</v>
      </c>
      <c r="C17" s="59" t="s">
        <v>37</v>
      </c>
      <c r="D17" s="44">
        <v>23.0</v>
      </c>
      <c r="E17" s="45">
        <v>69.7</v>
      </c>
      <c r="F17" s="60">
        <v>28.0</v>
      </c>
      <c r="G17" s="47">
        <v>76.0</v>
      </c>
      <c r="H17" s="48">
        <v>26.0</v>
      </c>
      <c r="I17" s="49">
        <f t="shared" si="1"/>
        <v>50.98039216</v>
      </c>
      <c r="J17" s="99">
        <v>33.0</v>
      </c>
      <c r="K17" s="100">
        <v>67.35</v>
      </c>
      <c r="L17" s="52">
        <v>8.0</v>
      </c>
      <c r="M17" s="51">
        <f t="shared" si="2"/>
        <v>67</v>
      </c>
      <c r="N17" s="52">
        <v>15.0</v>
      </c>
      <c r="O17" s="101">
        <f t="shared" si="3"/>
        <v>71.42857143</v>
      </c>
      <c r="P17" s="103">
        <v>2.0</v>
      </c>
      <c r="Q17" s="55">
        <f t="shared" si="4"/>
        <v>40</v>
      </c>
      <c r="R17" s="56">
        <v>5.0</v>
      </c>
      <c r="S17" s="57">
        <f t="shared" si="5"/>
        <v>55.55555556</v>
      </c>
      <c r="T17" s="56">
        <v>8.0</v>
      </c>
      <c r="U17" s="57">
        <v>80.0</v>
      </c>
      <c r="V17" s="55">
        <f t="shared" si="6"/>
        <v>64.22383546</v>
      </c>
    </row>
    <row r="18" ht="18.0" customHeight="1">
      <c r="A18" s="41">
        <v>8.0</v>
      </c>
      <c r="B18" s="58" t="s">
        <v>38</v>
      </c>
      <c r="C18" s="59" t="s">
        <v>39</v>
      </c>
      <c r="D18" s="44">
        <v>28.0</v>
      </c>
      <c r="E18" s="45">
        <v>84.85</v>
      </c>
      <c r="F18" s="60">
        <v>30.0</v>
      </c>
      <c r="G18" s="47">
        <v>82.0</v>
      </c>
      <c r="H18" s="48">
        <v>42.0</v>
      </c>
      <c r="I18" s="49">
        <f t="shared" si="1"/>
        <v>82.35294118</v>
      </c>
      <c r="J18" s="99">
        <v>43.0</v>
      </c>
      <c r="K18" s="100">
        <v>87.76</v>
      </c>
      <c r="L18" s="52">
        <v>9.0</v>
      </c>
      <c r="M18" s="51">
        <f t="shared" si="2"/>
        <v>75</v>
      </c>
      <c r="N18" s="52">
        <v>18.0</v>
      </c>
      <c r="O18" s="101">
        <f t="shared" si="3"/>
        <v>85.71428571</v>
      </c>
      <c r="P18" s="102">
        <v>5.0</v>
      </c>
      <c r="Q18" s="55">
        <f t="shared" si="4"/>
        <v>100</v>
      </c>
      <c r="R18" s="56">
        <v>6.0</v>
      </c>
      <c r="S18" s="57">
        <f t="shared" si="5"/>
        <v>66.66666667</v>
      </c>
      <c r="T18" s="56">
        <v>9.0</v>
      </c>
      <c r="U18" s="57">
        <v>90.0</v>
      </c>
      <c r="V18" s="55">
        <f t="shared" si="6"/>
        <v>83.81598817</v>
      </c>
    </row>
    <row r="19" ht="18.0" customHeight="1">
      <c r="A19" s="41">
        <v>9.0</v>
      </c>
      <c r="B19" s="58" t="s">
        <v>40</v>
      </c>
      <c r="C19" s="59" t="s">
        <v>41</v>
      </c>
      <c r="D19" s="44">
        <v>30.0</v>
      </c>
      <c r="E19" s="45">
        <v>90.91</v>
      </c>
      <c r="F19" s="60">
        <v>36.0</v>
      </c>
      <c r="G19" s="47">
        <v>98.0</v>
      </c>
      <c r="H19" s="48">
        <v>48.0</v>
      </c>
      <c r="I19" s="49">
        <f t="shared" si="1"/>
        <v>94.11764706</v>
      </c>
      <c r="J19" s="99">
        <v>48.0</v>
      </c>
      <c r="K19" s="100">
        <v>97.96</v>
      </c>
      <c r="L19" s="52">
        <v>12.0</v>
      </c>
      <c r="M19" s="51">
        <f t="shared" si="2"/>
        <v>100</v>
      </c>
      <c r="N19" s="52">
        <v>20.0</v>
      </c>
      <c r="O19" s="101">
        <f t="shared" si="3"/>
        <v>95.23809524</v>
      </c>
      <c r="P19" s="102">
        <v>5.0</v>
      </c>
      <c r="Q19" s="55">
        <f t="shared" si="4"/>
        <v>100</v>
      </c>
      <c r="R19" s="56">
        <v>8.0</v>
      </c>
      <c r="S19" s="57">
        <f t="shared" si="5"/>
        <v>88.88888889</v>
      </c>
      <c r="T19" s="56">
        <v>7.0</v>
      </c>
      <c r="U19" s="57">
        <v>70.0</v>
      </c>
      <c r="V19" s="55">
        <f t="shared" si="6"/>
        <v>92.79051458</v>
      </c>
    </row>
    <row r="20" ht="18.0" customHeight="1">
      <c r="A20" s="41">
        <v>10.0</v>
      </c>
      <c r="B20" s="58" t="s">
        <v>42</v>
      </c>
      <c r="C20" s="59" t="s">
        <v>43</v>
      </c>
      <c r="D20" s="44">
        <v>19.0</v>
      </c>
      <c r="E20" s="45">
        <v>57.58</v>
      </c>
      <c r="F20" s="60">
        <v>27.0</v>
      </c>
      <c r="G20" s="47">
        <v>73.0</v>
      </c>
      <c r="H20" s="48">
        <v>31.0</v>
      </c>
      <c r="I20" s="49">
        <f t="shared" si="1"/>
        <v>60.78431373</v>
      </c>
      <c r="J20" s="99">
        <v>38.0</v>
      </c>
      <c r="K20" s="100">
        <v>78.0</v>
      </c>
      <c r="L20" s="52">
        <v>9.0</v>
      </c>
      <c r="M20" s="51">
        <f t="shared" si="2"/>
        <v>75</v>
      </c>
      <c r="N20" s="52">
        <v>17.0</v>
      </c>
      <c r="O20" s="101">
        <f t="shared" si="3"/>
        <v>80.95238095</v>
      </c>
      <c r="P20" s="102">
        <v>5.0</v>
      </c>
      <c r="Q20" s="55">
        <f t="shared" si="4"/>
        <v>100</v>
      </c>
      <c r="R20" s="56">
        <v>6.0</v>
      </c>
      <c r="S20" s="57">
        <f t="shared" si="5"/>
        <v>66.66666667</v>
      </c>
      <c r="T20" s="56">
        <v>8.0</v>
      </c>
      <c r="U20" s="57">
        <v>80.0</v>
      </c>
      <c r="V20" s="55">
        <f t="shared" si="6"/>
        <v>74.66481793</v>
      </c>
    </row>
    <row r="21" ht="18.0" customHeight="1">
      <c r="A21" s="41">
        <v>11.0</v>
      </c>
      <c r="B21" s="58" t="s">
        <v>44</v>
      </c>
      <c r="C21" s="59" t="s">
        <v>45</v>
      </c>
      <c r="D21" s="44">
        <v>32.0</v>
      </c>
      <c r="E21" s="45">
        <v>96.97</v>
      </c>
      <c r="F21" s="60">
        <v>31.0</v>
      </c>
      <c r="G21" s="47">
        <v>84.0</v>
      </c>
      <c r="H21" s="48">
        <v>51.0</v>
      </c>
      <c r="I21" s="49">
        <f t="shared" si="1"/>
        <v>100</v>
      </c>
      <c r="J21" s="99">
        <v>48.0</v>
      </c>
      <c r="K21" s="100">
        <v>97.96</v>
      </c>
      <c r="L21" s="52">
        <v>11.0</v>
      </c>
      <c r="M21" s="51">
        <f t="shared" si="2"/>
        <v>92</v>
      </c>
      <c r="N21" s="52">
        <v>21.0</v>
      </c>
      <c r="O21" s="101">
        <f t="shared" si="3"/>
        <v>100</v>
      </c>
      <c r="P21" s="102">
        <v>5.0</v>
      </c>
      <c r="Q21" s="55">
        <f t="shared" si="4"/>
        <v>100</v>
      </c>
      <c r="R21" s="56">
        <v>9.0</v>
      </c>
      <c r="S21" s="57">
        <f t="shared" si="5"/>
        <v>100</v>
      </c>
      <c r="T21" s="56">
        <v>6.0</v>
      </c>
      <c r="U21" s="57">
        <v>60.0</v>
      </c>
      <c r="V21" s="55">
        <f t="shared" si="6"/>
        <v>92.32555556</v>
      </c>
    </row>
    <row r="22" ht="18.0" customHeight="1">
      <c r="A22" s="41">
        <v>12.0</v>
      </c>
      <c r="B22" s="58" t="s">
        <v>46</v>
      </c>
      <c r="C22" s="59" t="s">
        <v>47</v>
      </c>
      <c r="D22" s="44">
        <v>24.0</v>
      </c>
      <c r="E22" s="45">
        <v>72.73</v>
      </c>
      <c r="F22" s="60">
        <v>28.0</v>
      </c>
      <c r="G22" s="47">
        <v>76.0</v>
      </c>
      <c r="H22" s="48">
        <v>47.0</v>
      </c>
      <c r="I22" s="49">
        <f t="shared" si="1"/>
        <v>92.15686275</v>
      </c>
      <c r="J22" s="99">
        <v>43.0</v>
      </c>
      <c r="K22" s="100">
        <v>87.76</v>
      </c>
      <c r="L22" s="52">
        <v>8.0</v>
      </c>
      <c r="M22" s="51">
        <f t="shared" si="2"/>
        <v>67</v>
      </c>
      <c r="N22" s="52">
        <v>20.0</v>
      </c>
      <c r="O22" s="101">
        <f t="shared" si="3"/>
        <v>95.23809524</v>
      </c>
      <c r="P22" s="102">
        <v>5.0</v>
      </c>
      <c r="Q22" s="55">
        <f t="shared" si="4"/>
        <v>100</v>
      </c>
      <c r="R22" s="56">
        <v>9.0</v>
      </c>
      <c r="S22" s="57">
        <f t="shared" si="5"/>
        <v>100</v>
      </c>
      <c r="T22" s="56">
        <v>7.0</v>
      </c>
      <c r="U22" s="57">
        <v>70.0</v>
      </c>
      <c r="V22" s="55">
        <f t="shared" si="6"/>
        <v>84.54277311</v>
      </c>
    </row>
    <row r="23" ht="18.0" customHeight="1">
      <c r="A23" s="41">
        <v>13.0</v>
      </c>
      <c r="B23" s="58" t="s">
        <v>48</v>
      </c>
      <c r="C23" s="59" t="s">
        <v>49</v>
      </c>
      <c r="D23" s="44">
        <v>25.0</v>
      </c>
      <c r="E23" s="45">
        <v>74.0</v>
      </c>
      <c r="F23" s="60">
        <v>30.0</v>
      </c>
      <c r="G23" s="47">
        <v>82.0</v>
      </c>
      <c r="H23" s="48">
        <v>25.0</v>
      </c>
      <c r="I23" s="49">
        <f t="shared" si="1"/>
        <v>49.01960784</v>
      </c>
      <c r="J23" s="99">
        <v>39.0</v>
      </c>
      <c r="K23" s="100">
        <v>79.0</v>
      </c>
      <c r="L23" s="52">
        <v>10.0</v>
      </c>
      <c r="M23" s="51">
        <f t="shared" si="2"/>
        <v>83</v>
      </c>
      <c r="N23" s="52">
        <v>15.0</v>
      </c>
      <c r="O23" s="101">
        <f t="shared" si="3"/>
        <v>71.42857143</v>
      </c>
      <c r="P23" s="103">
        <v>0.0</v>
      </c>
      <c r="Q23" s="55">
        <f t="shared" si="4"/>
        <v>0</v>
      </c>
      <c r="R23" s="56">
        <v>6.0</v>
      </c>
      <c r="S23" s="57">
        <f t="shared" si="5"/>
        <v>66.66666667</v>
      </c>
      <c r="T23" s="56">
        <v>2.0</v>
      </c>
      <c r="U23" s="57">
        <v>20.0</v>
      </c>
      <c r="V23" s="55">
        <f t="shared" si="6"/>
        <v>58.34609399</v>
      </c>
    </row>
    <row r="24" ht="18.0" customHeight="1">
      <c r="A24" s="41">
        <v>14.0</v>
      </c>
      <c r="B24" s="58" t="s">
        <v>50</v>
      </c>
      <c r="C24" s="59" t="s">
        <v>51</v>
      </c>
      <c r="D24" s="44">
        <v>27.0</v>
      </c>
      <c r="E24" s="45">
        <v>81.82</v>
      </c>
      <c r="F24" s="60">
        <v>32.0</v>
      </c>
      <c r="G24" s="47">
        <v>87.0</v>
      </c>
      <c r="H24" s="48">
        <v>36.0</v>
      </c>
      <c r="I24" s="49">
        <f t="shared" si="1"/>
        <v>70.58823529</v>
      </c>
      <c r="J24" s="99">
        <v>45.0</v>
      </c>
      <c r="K24" s="100">
        <v>91.84</v>
      </c>
      <c r="L24" s="52">
        <v>10.0</v>
      </c>
      <c r="M24" s="51">
        <f t="shared" si="2"/>
        <v>83</v>
      </c>
      <c r="N24" s="52">
        <v>18.0</v>
      </c>
      <c r="O24" s="101">
        <f t="shared" si="3"/>
        <v>85.71428571</v>
      </c>
      <c r="P24" s="102">
        <v>5.0</v>
      </c>
      <c r="Q24" s="55">
        <f t="shared" si="4"/>
        <v>100</v>
      </c>
      <c r="R24" s="56">
        <v>6.0</v>
      </c>
      <c r="S24" s="57">
        <f t="shared" si="5"/>
        <v>66.66666667</v>
      </c>
      <c r="T24" s="56">
        <v>6.0</v>
      </c>
      <c r="U24" s="57">
        <v>60.0</v>
      </c>
      <c r="V24" s="55">
        <f t="shared" si="6"/>
        <v>80.73657641</v>
      </c>
    </row>
    <row r="25" ht="18.0" customHeight="1">
      <c r="A25" s="41">
        <v>15.0</v>
      </c>
      <c r="B25" s="58" t="s">
        <v>52</v>
      </c>
      <c r="C25" s="59" t="s">
        <v>53</v>
      </c>
      <c r="D25" s="44">
        <v>19.0</v>
      </c>
      <c r="E25" s="45">
        <v>60.0</v>
      </c>
      <c r="F25" s="60">
        <v>30.0</v>
      </c>
      <c r="G25" s="47">
        <v>82.0</v>
      </c>
      <c r="H25" s="48">
        <v>32.0</v>
      </c>
      <c r="I25" s="49">
        <f t="shared" si="1"/>
        <v>62.74509804</v>
      </c>
      <c r="J25" s="99">
        <v>39.0</v>
      </c>
      <c r="K25" s="100">
        <v>79.59</v>
      </c>
      <c r="L25" s="52">
        <v>10.0</v>
      </c>
      <c r="M25" s="51">
        <f t="shared" si="2"/>
        <v>83</v>
      </c>
      <c r="N25" s="52">
        <v>16.0</v>
      </c>
      <c r="O25" s="101">
        <f t="shared" si="3"/>
        <v>76.19047619</v>
      </c>
      <c r="P25" s="102">
        <v>3.0</v>
      </c>
      <c r="Q25" s="55">
        <f t="shared" si="4"/>
        <v>60</v>
      </c>
      <c r="R25" s="56">
        <v>6.0</v>
      </c>
      <c r="S25" s="57">
        <f t="shared" si="5"/>
        <v>66.66666667</v>
      </c>
      <c r="T25" s="56">
        <v>10.0</v>
      </c>
      <c r="U25" s="57">
        <v>100.0</v>
      </c>
      <c r="V25" s="55">
        <f t="shared" si="6"/>
        <v>74.46580454</v>
      </c>
    </row>
    <row r="26" ht="18.0" customHeight="1">
      <c r="A26" s="41">
        <v>16.0</v>
      </c>
      <c r="B26" s="58" t="s">
        <v>54</v>
      </c>
      <c r="C26" s="59" t="s">
        <v>55</v>
      </c>
      <c r="D26" s="44">
        <v>24.0</v>
      </c>
      <c r="E26" s="45">
        <v>72.0</v>
      </c>
      <c r="F26" s="60">
        <v>26.0</v>
      </c>
      <c r="G26" s="47">
        <v>71.0</v>
      </c>
      <c r="H26" s="48">
        <v>41.0</v>
      </c>
      <c r="I26" s="49">
        <f t="shared" si="1"/>
        <v>80.39215686</v>
      </c>
      <c r="J26" s="99">
        <v>37.0</v>
      </c>
      <c r="K26" s="100">
        <v>75.51</v>
      </c>
      <c r="L26" s="52">
        <v>9.0</v>
      </c>
      <c r="M26" s="51">
        <f t="shared" si="2"/>
        <v>75</v>
      </c>
      <c r="N26" s="52">
        <v>15.0</v>
      </c>
      <c r="O26" s="101">
        <f t="shared" si="3"/>
        <v>71.42857143</v>
      </c>
      <c r="P26" s="102">
        <v>4.0</v>
      </c>
      <c r="Q26" s="55">
        <f t="shared" si="4"/>
        <v>80</v>
      </c>
      <c r="R26" s="56">
        <v>8.0</v>
      </c>
      <c r="S26" s="57">
        <f t="shared" si="5"/>
        <v>88.88888889</v>
      </c>
      <c r="T26" s="56">
        <v>8.0</v>
      </c>
      <c r="U26" s="57">
        <v>80.0</v>
      </c>
      <c r="V26" s="55">
        <f t="shared" si="6"/>
        <v>77.13551302</v>
      </c>
    </row>
    <row r="27" ht="18.0" customHeight="1">
      <c r="A27" s="41">
        <v>17.0</v>
      </c>
      <c r="B27" s="58" t="s">
        <v>56</v>
      </c>
      <c r="C27" s="59" t="s">
        <v>57</v>
      </c>
      <c r="D27" s="44">
        <v>19.0</v>
      </c>
      <c r="E27" s="45">
        <v>57.58</v>
      </c>
      <c r="F27" s="60">
        <v>27.0</v>
      </c>
      <c r="G27" s="47">
        <v>73.0</v>
      </c>
      <c r="H27" s="48">
        <v>28.0</v>
      </c>
      <c r="I27" s="49">
        <f t="shared" si="1"/>
        <v>54.90196078</v>
      </c>
      <c r="J27" s="99">
        <v>42.0</v>
      </c>
      <c r="K27" s="100">
        <v>85.71</v>
      </c>
      <c r="L27" s="52">
        <v>9.0</v>
      </c>
      <c r="M27" s="51">
        <f t="shared" si="2"/>
        <v>75</v>
      </c>
      <c r="N27" s="52">
        <v>15.0</v>
      </c>
      <c r="O27" s="101">
        <f t="shared" si="3"/>
        <v>71.42857143</v>
      </c>
      <c r="P27" s="102">
        <v>3.0</v>
      </c>
      <c r="Q27" s="55">
        <f t="shared" si="4"/>
        <v>60</v>
      </c>
      <c r="R27" s="56">
        <v>7.0</v>
      </c>
      <c r="S27" s="57">
        <f t="shared" si="5"/>
        <v>77.77777778</v>
      </c>
      <c r="T27" s="56">
        <v>2.0</v>
      </c>
      <c r="U27" s="57">
        <v>20.0</v>
      </c>
      <c r="V27" s="55">
        <f t="shared" si="6"/>
        <v>63.93314555</v>
      </c>
    </row>
    <row r="28" ht="18.0" customHeight="1">
      <c r="A28" s="41">
        <v>18.0</v>
      </c>
      <c r="B28" s="58" t="s">
        <v>58</v>
      </c>
      <c r="C28" s="59" t="s">
        <v>59</v>
      </c>
      <c r="D28" s="44">
        <v>12.0</v>
      </c>
      <c r="E28" s="45">
        <v>36.0</v>
      </c>
      <c r="F28" s="60">
        <v>19.0</v>
      </c>
      <c r="G28" s="47">
        <v>52.0</v>
      </c>
      <c r="H28" s="48">
        <v>28.0</v>
      </c>
      <c r="I28" s="49">
        <f t="shared" si="1"/>
        <v>54.90196078</v>
      </c>
      <c r="J28" s="99">
        <v>24.0</v>
      </c>
      <c r="K28" s="100">
        <v>48.98</v>
      </c>
      <c r="L28" s="52">
        <v>6.0</v>
      </c>
      <c r="M28" s="51">
        <f t="shared" si="2"/>
        <v>50</v>
      </c>
      <c r="N28" s="52">
        <v>11.0</v>
      </c>
      <c r="O28" s="101">
        <f t="shared" si="3"/>
        <v>52.38095238</v>
      </c>
      <c r="P28" s="102">
        <v>3.0</v>
      </c>
      <c r="Q28" s="55">
        <f t="shared" si="4"/>
        <v>60</v>
      </c>
      <c r="R28" s="56">
        <v>8.0</v>
      </c>
      <c r="S28" s="57">
        <f t="shared" si="5"/>
        <v>88.88888889</v>
      </c>
      <c r="T28" s="56">
        <v>5.0</v>
      </c>
      <c r="U28" s="57">
        <v>50.0</v>
      </c>
      <c r="V28" s="55">
        <f t="shared" si="6"/>
        <v>54.79464467</v>
      </c>
    </row>
    <row r="29" ht="18.0" customHeight="1">
      <c r="A29" s="41">
        <v>19.0</v>
      </c>
      <c r="B29" s="58" t="s">
        <v>60</v>
      </c>
      <c r="C29" s="59" t="s">
        <v>61</v>
      </c>
      <c r="D29" s="44">
        <v>20.0</v>
      </c>
      <c r="E29" s="45">
        <v>60.61</v>
      </c>
      <c r="F29" s="60">
        <v>31.0</v>
      </c>
      <c r="G29" s="47">
        <v>84.0</v>
      </c>
      <c r="H29" s="48">
        <v>25.0</v>
      </c>
      <c r="I29" s="49">
        <f t="shared" si="1"/>
        <v>49.01960784</v>
      </c>
      <c r="J29" s="99">
        <v>34.0</v>
      </c>
      <c r="K29" s="100">
        <v>69.39</v>
      </c>
      <c r="L29" s="52">
        <v>8.0</v>
      </c>
      <c r="M29" s="51">
        <f t="shared" si="2"/>
        <v>67</v>
      </c>
      <c r="N29" s="52">
        <v>13.0</v>
      </c>
      <c r="O29" s="101">
        <f t="shared" si="3"/>
        <v>61.9047619</v>
      </c>
      <c r="P29" s="102">
        <v>3.0</v>
      </c>
      <c r="Q29" s="55">
        <f t="shared" si="4"/>
        <v>60</v>
      </c>
      <c r="R29" s="56">
        <v>3.0</v>
      </c>
      <c r="S29" s="57">
        <f t="shared" si="5"/>
        <v>33.33333333</v>
      </c>
      <c r="T29" s="56">
        <v>9.0</v>
      </c>
      <c r="U29" s="57">
        <v>90.0</v>
      </c>
      <c r="V29" s="55">
        <f t="shared" si="6"/>
        <v>63.91752256</v>
      </c>
    </row>
    <row r="30" ht="18.0" customHeight="1">
      <c r="A30" s="41">
        <v>20.0</v>
      </c>
      <c r="B30" s="58" t="s">
        <v>62</v>
      </c>
      <c r="C30" s="59" t="s">
        <v>63</v>
      </c>
      <c r="D30" s="44">
        <v>26.0</v>
      </c>
      <c r="E30" s="45">
        <v>78.79</v>
      </c>
      <c r="F30" s="60">
        <v>34.0</v>
      </c>
      <c r="G30" s="47">
        <v>92.0</v>
      </c>
      <c r="H30" s="48">
        <v>44.0</v>
      </c>
      <c r="I30" s="49">
        <f t="shared" si="1"/>
        <v>86.2745098</v>
      </c>
      <c r="J30" s="99">
        <v>44.0</v>
      </c>
      <c r="K30" s="100">
        <v>89.8</v>
      </c>
      <c r="L30" s="52">
        <v>11.0</v>
      </c>
      <c r="M30" s="51">
        <f t="shared" si="2"/>
        <v>92</v>
      </c>
      <c r="N30" s="52">
        <v>19.0</v>
      </c>
      <c r="O30" s="101">
        <f t="shared" si="3"/>
        <v>90.47619048</v>
      </c>
      <c r="P30" s="102">
        <v>5.0</v>
      </c>
      <c r="Q30" s="55">
        <f t="shared" si="4"/>
        <v>100</v>
      </c>
      <c r="R30" s="56">
        <v>9.0</v>
      </c>
      <c r="S30" s="57">
        <f t="shared" si="5"/>
        <v>100</v>
      </c>
      <c r="T30" s="56">
        <v>9.0</v>
      </c>
      <c r="U30" s="57">
        <v>90.0</v>
      </c>
      <c r="V30" s="55">
        <f t="shared" si="6"/>
        <v>91.03785559</v>
      </c>
    </row>
    <row r="31" ht="18.0" customHeight="1">
      <c r="A31" s="41">
        <v>21.0</v>
      </c>
      <c r="B31" s="58" t="s">
        <v>64</v>
      </c>
      <c r="C31" s="59" t="s">
        <v>65</v>
      </c>
      <c r="D31" s="44">
        <v>6.0</v>
      </c>
      <c r="E31" s="45">
        <v>18.18</v>
      </c>
      <c r="F31" s="60">
        <v>20.0</v>
      </c>
      <c r="G31" s="47">
        <v>54.0</v>
      </c>
      <c r="H31" s="48">
        <v>6.0</v>
      </c>
      <c r="I31" s="49">
        <f t="shared" si="1"/>
        <v>11.76470588</v>
      </c>
      <c r="J31" s="99">
        <v>6.0</v>
      </c>
      <c r="K31" s="100">
        <v>12.24</v>
      </c>
      <c r="L31" s="52">
        <v>3.0</v>
      </c>
      <c r="M31" s="51">
        <f t="shared" si="2"/>
        <v>25</v>
      </c>
      <c r="N31" s="52">
        <v>4.0</v>
      </c>
      <c r="O31" s="101">
        <f t="shared" si="3"/>
        <v>19.04761905</v>
      </c>
      <c r="P31" s="103">
        <v>0.0</v>
      </c>
      <c r="Q31" s="55">
        <f t="shared" si="4"/>
        <v>0</v>
      </c>
      <c r="R31" s="56">
        <v>1.0</v>
      </c>
      <c r="S31" s="57">
        <f t="shared" si="5"/>
        <v>11.11111111</v>
      </c>
      <c r="T31" s="56">
        <v>9.0</v>
      </c>
      <c r="U31" s="57">
        <v>90.0</v>
      </c>
      <c r="V31" s="55">
        <f t="shared" si="6"/>
        <v>26.81593734</v>
      </c>
    </row>
    <row r="32" ht="18.0" customHeight="1">
      <c r="A32" s="41">
        <v>22.0</v>
      </c>
      <c r="B32" s="58" t="s">
        <v>66</v>
      </c>
      <c r="C32" s="59" t="s">
        <v>67</v>
      </c>
      <c r="D32" s="44">
        <v>26.0</v>
      </c>
      <c r="E32" s="45">
        <v>78.79</v>
      </c>
      <c r="F32" s="60">
        <v>33.0</v>
      </c>
      <c r="G32" s="47">
        <v>90.0</v>
      </c>
      <c r="H32" s="48">
        <v>34.0</v>
      </c>
      <c r="I32" s="49">
        <f t="shared" si="1"/>
        <v>66.66666667</v>
      </c>
      <c r="J32" s="99">
        <v>44.0</v>
      </c>
      <c r="K32" s="100">
        <v>89.8</v>
      </c>
      <c r="L32" s="52">
        <v>10.0</v>
      </c>
      <c r="M32" s="51">
        <f t="shared" si="2"/>
        <v>83</v>
      </c>
      <c r="N32" s="52">
        <v>15.0</v>
      </c>
      <c r="O32" s="101">
        <f t="shared" si="3"/>
        <v>71.42857143</v>
      </c>
      <c r="P32" s="102">
        <v>5.0</v>
      </c>
      <c r="Q32" s="55">
        <f t="shared" si="4"/>
        <v>100</v>
      </c>
      <c r="R32" s="56">
        <v>7.0</v>
      </c>
      <c r="S32" s="57">
        <f t="shared" si="5"/>
        <v>77.77777778</v>
      </c>
      <c r="T32" s="56">
        <v>8.0</v>
      </c>
      <c r="U32" s="57">
        <v>80.0</v>
      </c>
      <c r="V32" s="55">
        <f t="shared" si="6"/>
        <v>81.9403351</v>
      </c>
    </row>
    <row r="33" ht="18.0" customHeight="1">
      <c r="A33" s="41">
        <v>23.0</v>
      </c>
      <c r="B33" s="58" t="s">
        <v>68</v>
      </c>
      <c r="C33" s="59" t="s">
        <v>69</v>
      </c>
      <c r="D33" s="44">
        <v>27.0</v>
      </c>
      <c r="E33" s="45">
        <v>81.82</v>
      </c>
      <c r="F33" s="60">
        <v>31.0</v>
      </c>
      <c r="G33" s="47">
        <v>84.0</v>
      </c>
      <c r="H33" s="48">
        <v>42.0</v>
      </c>
      <c r="I33" s="49">
        <f t="shared" si="1"/>
        <v>82.35294118</v>
      </c>
      <c r="J33" s="99">
        <v>41.0</v>
      </c>
      <c r="K33" s="100">
        <v>83.67</v>
      </c>
      <c r="L33" s="52">
        <v>11.0</v>
      </c>
      <c r="M33" s="51">
        <f t="shared" si="2"/>
        <v>92</v>
      </c>
      <c r="N33" s="52">
        <v>18.0</v>
      </c>
      <c r="O33" s="101">
        <f t="shared" si="3"/>
        <v>85.71428571</v>
      </c>
      <c r="P33" s="102">
        <v>5.0</v>
      </c>
      <c r="Q33" s="55">
        <f t="shared" si="4"/>
        <v>100</v>
      </c>
      <c r="R33" s="63">
        <v>11.0</v>
      </c>
      <c r="S33" s="57">
        <f t="shared" ref="S33:S53" si="7">(R33/12)*100</f>
        <v>91.66666667</v>
      </c>
      <c r="T33" s="104">
        <v>10.0</v>
      </c>
      <c r="U33" s="55">
        <f t="shared" ref="U33:U53" si="8">(T33/11)*100</f>
        <v>90.90909091</v>
      </c>
      <c r="V33" s="55">
        <f t="shared" si="6"/>
        <v>88.01477605</v>
      </c>
    </row>
    <row r="34" ht="18.0" customHeight="1">
      <c r="A34" s="41">
        <v>24.0</v>
      </c>
      <c r="B34" s="58" t="s">
        <v>70</v>
      </c>
      <c r="C34" s="59" t="s">
        <v>71</v>
      </c>
      <c r="D34" s="44">
        <v>31.0</v>
      </c>
      <c r="E34" s="45">
        <v>93.94</v>
      </c>
      <c r="F34" s="60">
        <v>29.0</v>
      </c>
      <c r="G34" s="47">
        <v>79.0</v>
      </c>
      <c r="H34" s="48">
        <v>47.0</v>
      </c>
      <c r="I34" s="49">
        <f t="shared" si="1"/>
        <v>92.15686275</v>
      </c>
      <c r="J34" s="99">
        <v>45.0</v>
      </c>
      <c r="K34" s="100">
        <v>91.84</v>
      </c>
      <c r="L34" s="52">
        <v>9.0</v>
      </c>
      <c r="M34" s="51">
        <f t="shared" si="2"/>
        <v>75</v>
      </c>
      <c r="N34" s="52">
        <v>18.0</v>
      </c>
      <c r="O34" s="101">
        <f t="shared" si="3"/>
        <v>85.71428571</v>
      </c>
      <c r="P34" s="103">
        <v>4.0</v>
      </c>
      <c r="Q34" s="55">
        <f t="shared" si="4"/>
        <v>80</v>
      </c>
      <c r="R34" s="64">
        <v>10.0</v>
      </c>
      <c r="S34" s="57">
        <f t="shared" si="7"/>
        <v>83.33333333</v>
      </c>
      <c r="T34" s="104">
        <v>9.0</v>
      </c>
      <c r="U34" s="55">
        <f t="shared" si="8"/>
        <v>81.81818182</v>
      </c>
      <c r="V34" s="55">
        <f t="shared" si="6"/>
        <v>84.75585151</v>
      </c>
    </row>
    <row r="35" ht="18.0" customHeight="1">
      <c r="A35" s="41">
        <v>25.0</v>
      </c>
      <c r="B35" s="58" t="s">
        <v>72</v>
      </c>
      <c r="C35" s="59" t="s">
        <v>73</v>
      </c>
      <c r="D35" s="44">
        <v>24.0</v>
      </c>
      <c r="E35" s="45">
        <v>72.73</v>
      </c>
      <c r="F35" s="60">
        <v>29.0</v>
      </c>
      <c r="G35" s="47">
        <v>79.0</v>
      </c>
      <c r="H35" s="48">
        <v>38.0</v>
      </c>
      <c r="I35" s="49">
        <f t="shared" si="1"/>
        <v>74.50980392</v>
      </c>
      <c r="J35" s="99">
        <v>40.0</v>
      </c>
      <c r="K35" s="100">
        <v>81.63</v>
      </c>
      <c r="L35" s="52">
        <v>11.0</v>
      </c>
      <c r="M35" s="51">
        <f t="shared" si="2"/>
        <v>92</v>
      </c>
      <c r="N35" s="52">
        <v>16.0</v>
      </c>
      <c r="O35" s="101">
        <f t="shared" si="3"/>
        <v>76.19047619</v>
      </c>
      <c r="P35" s="102">
        <v>5.0</v>
      </c>
      <c r="Q35" s="55">
        <f t="shared" si="4"/>
        <v>100</v>
      </c>
      <c r="R35" s="64">
        <v>10.0</v>
      </c>
      <c r="S35" s="57">
        <f t="shared" si="7"/>
        <v>83.33333333</v>
      </c>
      <c r="T35" s="104">
        <v>7.0</v>
      </c>
      <c r="U35" s="55">
        <f t="shared" si="8"/>
        <v>63.63636364</v>
      </c>
      <c r="V35" s="55">
        <f t="shared" si="6"/>
        <v>80.33666412</v>
      </c>
    </row>
    <row r="36" ht="18.0" customHeight="1">
      <c r="A36" s="41">
        <v>26.0</v>
      </c>
      <c r="B36" s="58" t="s">
        <v>74</v>
      </c>
      <c r="C36" s="59" t="s">
        <v>75</v>
      </c>
      <c r="D36" s="44">
        <v>26.0</v>
      </c>
      <c r="E36" s="45">
        <v>78.79</v>
      </c>
      <c r="F36" s="60">
        <v>27.0</v>
      </c>
      <c r="G36" s="47">
        <v>73.0</v>
      </c>
      <c r="H36" s="48">
        <v>38.0</v>
      </c>
      <c r="I36" s="49">
        <f t="shared" si="1"/>
        <v>74.50980392</v>
      </c>
      <c r="J36" s="99">
        <v>38.0</v>
      </c>
      <c r="K36" s="100">
        <v>78.0</v>
      </c>
      <c r="L36" s="52">
        <v>9.0</v>
      </c>
      <c r="M36" s="51">
        <f t="shared" si="2"/>
        <v>75</v>
      </c>
      <c r="N36" s="52">
        <v>18.0</v>
      </c>
      <c r="O36" s="101">
        <f t="shared" si="3"/>
        <v>85.71428571</v>
      </c>
      <c r="P36" s="102">
        <v>3.0</v>
      </c>
      <c r="Q36" s="55">
        <f t="shared" si="4"/>
        <v>60</v>
      </c>
      <c r="R36" s="64">
        <v>8.0</v>
      </c>
      <c r="S36" s="57">
        <f t="shared" si="7"/>
        <v>66.66666667</v>
      </c>
      <c r="T36" s="104">
        <v>8.0</v>
      </c>
      <c r="U36" s="55">
        <f t="shared" si="8"/>
        <v>72.72727273</v>
      </c>
      <c r="V36" s="55">
        <f t="shared" si="6"/>
        <v>73.82311434</v>
      </c>
    </row>
    <row r="37" ht="14.25" customHeight="1">
      <c r="A37" s="41">
        <v>27.0</v>
      </c>
      <c r="B37" s="58" t="s">
        <v>76</v>
      </c>
      <c r="C37" s="59" t="s">
        <v>77</v>
      </c>
      <c r="D37" s="44">
        <v>27.0</v>
      </c>
      <c r="E37" s="45">
        <v>81.82</v>
      </c>
      <c r="F37" s="60">
        <v>32.0</v>
      </c>
      <c r="G37" s="47">
        <v>87.0</v>
      </c>
      <c r="H37" s="48">
        <v>39.0</v>
      </c>
      <c r="I37" s="49">
        <f t="shared" si="1"/>
        <v>76.47058824</v>
      </c>
      <c r="J37" s="99">
        <v>38.0</v>
      </c>
      <c r="K37" s="100">
        <v>77.55</v>
      </c>
      <c r="L37" s="52">
        <v>11.0</v>
      </c>
      <c r="M37" s="51">
        <f t="shared" si="2"/>
        <v>92</v>
      </c>
      <c r="N37" s="52">
        <v>18.0</v>
      </c>
      <c r="O37" s="101">
        <f t="shared" si="3"/>
        <v>85.71428571</v>
      </c>
      <c r="P37" s="102">
        <v>5.0</v>
      </c>
      <c r="Q37" s="55">
        <f t="shared" si="4"/>
        <v>100</v>
      </c>
      <c r="R37" s="63">
        <v>9.0</v>
      </c>
      <c r="S37" s="57">
        <f t="shared" si="7"/>
        <v>75</v>
      </c>
      <c r="T37" s="104">
        <v>10.0</v>
      </c>
      <c r="U37" s="55">
        <f t="shared" si="8"/>
        <v>90.90909091</v>
      </c>
      <c r="V37" s="55">
        <f t="shared" si="6"/>
        <v>85.16266276</v>
      </c>
    </row>
    <row r="38" ht="18.0" customHeight="1">
      <c r="A38" s="41">
        <v>28.0</v>
      </c>
      <c r="B38" s="58" t="s">
        <v>78</v>
      </c>
      <c r="C38" s="59" t="s">
        <v>79</v>
      </c>
      <c r="D38" s="44">
        <v>21.0</v>
      </c>
      <c r="E38" s="45">
        <v>63.0</v>
      </c>
      <c r="F38" s="60">
        <v>33.0</v>
      </c>
      <c r="G38" s="47">
        <v>90.0</v>
      </c>
      <c r="H38" s="48">
        <v>33.0</v>
      </c>
      <c r="I38" s="49">
        <f t="shared" si="1"/>
        <v>64.70588235</v>
      </c>
      <c r="J38" s="99">
        <v>42.0</v>
      </c>
      <c r="K38" s="100">
        <v>85.71</v>
      </c>
      <c r="L38" s="52">
        <v>9.0</v>
      </c>
      <c r="M38" s="51">
        <f t="shared" si="2"/>
        <v>75</v>
      </c>
      <c r="N38" s="52">
        <v>14.0</v>
      </c>
      <c r="O38" s="101">
        <f t="shared" si="3"/>
        <v>66.66666667</v>
      </c>
      <c r="P38" s="103">
        <v>4.0</v>
      </c>
      <c r="Q38" s="55">
        <f t="shared" si="4"/>
        <v>80</v>
      </c>
      <c r="R38" s="63">
        <v>9.0</v>
      </c>
      <c r="S38" s="57">
        <f t="shared" si="7"/>
        <v>75</v>
      </c>
      <c r="T38" s="104">
        <v>10.0</v>
      </c>
      <c r="U38" s="55">
        <f t="shared" si="8"/>
        <v>90.90909091</v>
      </c>
      <c r="V38" s="55">
        <f t="shared" si="6"/>
        <v>76.77684888</v>
      </c>
    </row>
    <row r="39" ht="18.0" customHeight="1">
      <c r="A39" s="41">
        <v>29.0</v>
      </c>
      <c r="B39" s="58" t="s">
        <v>80</v>
      </c>
      <c r="C39" s="59" t="s">
        <v>81</v>
      </c>
      <c r="D39" s="44">
        <v>20.0</v>
      </c>
      <c r="E39" s="45">
        <v>60.0</v>
      </c>
      <c r="F39" s="60">
        <v>28.0</v>
      </c>
      <c r="G39" s="47">
        <v>76.0</v>
      </c>
      <c r="H39" s="48">
        <v>31.0</v>
      </c>
      <c r="I39" s="49">
        <f t="shared" si="1"/>
        <v>60.78431373</v>
      </c>
      <c r="J39" s="99">
        <v>32.0</v>
      </c>
      <c r="K39" s="100">
        <v>65.0</v>
      </c>
      <c r="L39" s="52">
        <v>8.0</v>
      </c>
      <c r="M39" s="51">
        <f t="shared" si="2"/>
        <v>67</v>
      </c>
      <c r="N39" s="52">
        <v>13.0</v>
      </c>
      <c r="O39" s="101">
        <f t="shared" si="3"/>
        <v>61.9047619</v>
      </c>
      <c r="P39" s="103">
        <v>4.0</v>
      </c>
      <c r="Q39" s="55">
        <f t="shared" si="4"/>
        <v>80</v>
      </c>
      <c r="R39" s="63">
        <v>8.0</v>
      </c>
      <c r="S39" s="57">
        <f t="shared" si="7"/>
        <v>66.66666667</v>
      </c>
      <c r="T39" s="104">
        <v>7.0</v>
      </c>
      <c r="U39" s="55">
        <f t="shared" si="8"/>
        <v>63.63636364</v>
      </c>
      <c r="V39" s="55">
        <f t="shared" si="6"/>
        <v>66.77690066</v>
      </c>
    </row>
    <row r="40" ht="18.0" customHeight="1">
      <c r="A40" s="41">
        <v>30.0</v>
      </c>
      <c r="B40" s="58" t="s">
        <v>82</v>
      </c>
      <c r="C40" s="59" t="s">
        <v>83</v>
      </c>
      <c r="D40" s="44">
        <v>14.0</v>
      </c>
      <c r="E40" s="45">
        <v>42.0</v>
      </c>
      <c r="F40" s="60">
        <v>29.0</v>
      </c>
      <c r="G40" s="61">
        <v>79.0</v>
      </c>
      <c r="H40" s="48">
        <v>28.0</v>
      </c>
      <c r="I40" s="49">
        <f t="shared" si="1"/>
        <v>54.90196078</v>
      </c>
      <c r="J40" s="99">
        <v>39.0</v>
      </c>
      <c r="K40" s="100">
        <v>79.59</v>
      </c>
      <c r="L40" s="52">
        <v>10.0</v>
      </c>
      <c r="M40" s="51">
        <f t="shared" si="2"/>
        <v>83</v>
      </c>
      <c r="N40" s="52">
        <v>13.0</v>
      </c>
      <c r="O40" s="101">
        <f t="shared" si="3"/>
        <v>61.9047619</v>
      </c>
      <c r="P40" s="103">
        <v>4.0</v>
      </c>
      <c r="Q40" s="55">
        <f t="shared" si="4"/>
        <v>80</v>
      </c>
      <c r="R40" s="63">
        <v>8.0</v>
      </c>
      <c r="S40" s="57">
        <f t="shared" si="7"/>
        <v>66.66666667</v>
      </c>
      <c r="T40" s="104">
        <v>9.0</v>
      </c>
      <c r="U40" s="55">
        <f t="shared" si="8"/>
        <v>81.81818182</v>
      </c>
      <c r="V40" s="55">
        <f t="shared" si="6"/>
        <v>69.87573013</v>
      </c>
    </row>
    <row r="41" ht="18.0" customHeight="1">
      <c r="A41" s="41">
        <v>31.0</v>
      </c>
      <c r="B41" s="65" t="s">
        <v>84</v>
      </c>
      <c r="C41" s="66" t="s">
        <v>85</v>
      </c>
      <c r="D41" s="44">
        <v>21.0</v>
      </c>
      <c r="E41" s="45">
        <v>63.0</v>
      </c>
      <c r="F41" s="60">
        <v>26.0</v>
      </c>
      <c r="G41" s="47">
        <v>79.0</v>
      </c>
      <c r="H41" s="48">
        <v>40.0</v>
      </c>
      <c r="I41" s="49">
        <f t="shared" si="1"/>
        <v>78.43137255</v>
      </c>
      <c r="J41" s="99">
        <v>35.0</v>
      </c>
      <c r="K41" s="100">
        <v>71.43</v>
      </c>
      <c r="L41" s="52">
        <v>6.0</v>
      </c>
      <c r="M41" s="51">
        <f t="shared" si="2"/>
        <v>50</v>
      </c>
      <c r="N41" s="52">
        <v>19.0</v>
      </c>
      <c r="O41" s="101">
        <f t="shared" si="3"/>
        <v>90.47619048</v>
      </c>
      <c r="P41" s="103">
        <v>4.0</v>
      </c>
      <c r="Q41" s="55">
        <f t="shared" si="4"/>
        <v>80</v>
      </c>
      <c r="R41" s="63">
        <v>8.0</v>
      </c>
      <c r="S41" s="57">
        <f t="shared" si="7"/>
        <v>66.66666667</v>
      </c>
      <c r="T41" s="104">
        <v>7.0</v>
      </c>
      <c r="U41" s="55">
        <f t="shared" si="8"/>
        <v>63.63636364</v>
      </c>
      <c r="V41" s="55">
        <f t="shared" si="6"/>
        <v>71.40451037</v>
      </c>
    </row>
    <row r="42" ht="18.0" customHeight="1">
      <c r="A42" s="41">
        <v>32.0</v>
      </c>
      <c r="B42" s="65" t="s">
        <v>86</v>
      </c>
      <c r="C42" s="66" t="s">
        <v>87</v>
      </c>
      <c r="D42" s="44">
        <v>14.0</v>
      </c>
      <c r="E42" s="45">
        <v>42.42</v>
      </c>
      <c r="F42" s="60">
        <v>20.0</v>
      </c>
      <c r="G42" s="47">
        <v>54.0</v>
      </c>
      <c r="H42" s="48">
        <v>18.0</v>
      </c>
      <c r="I42" s="49">
        <f t="shared" si="1"/>
        <v>35.29411765</v>
      </c>
      <c r="J42" s="99">
        <v>30.0</v>
      </c>
      <c r="K42" s="100">
        <v>61.22</v>
      </c>
      <c r="L42" s="52">
        <v>3.0</v>
      </c>
      <c r="M42" s="51">
        <f t="shared" si="2"/>
        <v>25</v>
      </c>
      <c r="N42" s="52">
        <v>7.0</v>
      </c>
      <c r="O42" s="101">
        <f t="shared" si="3"/>
        <v>33.33333333</v>
      </c>
      <c r="P42" s="103">
        <v>0.0</v>
      </c>
      <c r="Q42" s="55">
        <f t="shared" si="4"/>
        <v>0</v>
      </c>
      <c r="R42" s="63">
        <v>6.0</v>
      </c>
      <c r="S42" s="57">
        <f t="shared" si="7"/>
        <v>50</v>
      </c>
      <c r="T42" s="104">
        <v>6.0</v>
      </c>
      <c r="U42" s="55">
        <f t="shared" si="8"/>
        <v>54.54545455</v>
      </c>
      <c r="V42" s="55">
        <f t="shared" si="6"/>
        <v>39.53476728</v>
      </c>
    </row>
    <row r="43" ht="18.0" customHeight="1">
      <c r="A43" s="41">
        <v>33.0</v>
      </c>
      <c r="B43" s="65" t="s">
        <v>88</v>
      </c>
      <c r="C43" s="66" t="s">
        <v>89</v>
      </c>
      <c r="D43" s="44">
        <v>26.0</v>
      </c>
      <c r="E43" s="45">
        <v>78.79</v>
      </c>
      <c r="F43" s="60">
        <v>34.0</v>
      </c>
      <c r="G43" s="47">
        <v>92.0</v>
      </c>
      <c r="H43" s="48">
        <v>49.0</v>
      </c>
      <c r="I43" s="49">
        <f t="shared" si="1"/>
        <v>96.07843137</v>
      </c>
      <c r="J43" s="99">
        <v>42.0</v>
      </c>
      <c r="K43" s="100">
        <v>85.71</v>
      </c>
      <c r="L43" s="52">
        <v>10.0</v>
      </c>
      <c r="M43" s="51">
        <f t="shared" si="2"/>
        <v>83</v>
      </c>
      <c r="N43" s="52">
        <v>16.0</v>
      </c>
      <c r="O43" s="101">
        <f t="shared" si="3"/>
        <v>76.19047619</v>
      </c>
      <c r="P43" s="103">
        <v>4.0</v>
      </c>
      <c r="Q43" s="55">
        <f t="shared" si="4"/>
        <v>80</v>
      </c>
      <c r="R43" s="63">
        <v>10.0</v>
      </c>
      <c r="S43" s="57">
        <f t="shared" si="7"/>
        <v>83.33333333</v>
      </c>
      <c r="T43" s="104">
        <v>9.0</v>
      </c>
      <c r="U43" s="55">
        <f t="shared" si="8"/>
        <v>81.81818182</v>
      </c>
      <c r="V43" s="55">
        <f t="shared" si="6"/>
        <v>84.10226919</v>
      </c>
    </row>
    <row r="44" ht="18.0" customHeight="1">
      <c r="A44" s="41">
        <v>34.0</v>
      </c>
      <c r="B44" s="65" t="s">
        <v>90</v>
      </c>
      <c r="C44" s="66" t="s">
        <v>91</v>
      </c>
      <c r="D44" s="44">
        <v>27.0</v>
      </c>
      <c r="E44" s="45">
        <v>81.82</v>
      </c>
      <c r="F44" s="60">
        <v>27.0</v>
      </c>
      <c r="G44" s="47">
        <v>80.0</v>
      </c>
      <c r="H44" s="48">
        <v>41.0</v>
      </c>
      <c r="I44" s="49">
        <f t="shared" si="1"/>
        <v>80.39215686</v>
      </c>
      <c r="J44" s="99">
        <v>36.0</v>
      </c>
      <c r="K44" s="100">
        <v>73.47</v>
      </c>
      <c r="L44" s="52">
        <v>11.0</v>
      </c>
      <c r="M44" s="51">
        <f t="shared" si="2"/>
        <v>92</v>
      </c>
      <c r="N44" s="52">
        <v>15.0</v>
      </c>
      <c r="O44" s="101">
        <f t="shared" si="3"/>
        <v>71.42857143</v>
      </c>
      <c r="P44" s="102">
        <v>5.0</v>
      </c>
      <c r="Q44" s="55">
        <f t="shared" si="4"/>
        <v>100</v>
      </c>
      <c r="R44" s="63">
        <v>11.0</v>
      </c>
      <c r="S44" s="57">
        <f t="shared" si="7"/>
        <v>91.66666667</v>
      </c>
      <c r="T44" s="104">
        <v>8.0</v>
      </c>
      <c r="U44" s="55">
        <f t="shared" si="8"/>
        <v>72.72727273</v>
      </c>
      <c r="V44" s="55">
        <f t="shared" si="6"/>
        <v>82.61162974</v>
      </c>
    </row>
    <row r="45" ht="18.0" customHeight="1">
      <c r="A45" s="41">
        <v>35.0</v>
      </c>
      <c r="B45" s="65" t="s">
        <v>92</v>
      </c>
      <c r="C45" s="66" t="s">
        <v>93</v>
      </c>
      <c r="D45" s="44">
        <v>27.0</v>
      </c>
      <c r="E45" s="45">
        <v>81.82</v>
      </c>
      <c r="F45" s="60">
        <v>31.0</v>
      </c>
      <c r="G45" s="47">
        <v>84.0</v>
      </c>
      <c r="H45" s="48">
        <v>39.0</v>
      </c>
      <c r="I45" s="49">
        <f t="shared" si="1"/>
        <v>76.47058824</v>
      </c>
      <c r="J45" s="99">
        <v>41.0</v>
      </c>
      <c r="K45" s="100">
        <v>83.0</v>
      </c>
      <c r="L45" s="52">
        <v>10.0</v>
      </c>
      <c r="M45" s="51">
        <f t="shared" si="2"/>
        <v>83</v>
      </c>
      <c r="N45" s="52">
        <v>16.0</v>
      </c>
      <c r="O45" s="101">
        <f t="shared" si="3"/>
        <v>76.19047619</v>
      </c>
      <c r="P45" s="102">
        <v>5.0</v>
      </c>
      <c r="Q45" s="55">
        <f t="shared" si="4"/>
        <v>100</v>
      </c>
      <c r="R45" s="63">
        <v>10.0</v>
      </c>
      <c r="S45" s="57">
        <f t="shared" si="7"/>
        <v>83.33333333</v>
      </c>
      <c r="T45" s="104">
        <v>8.0</v>
      </c>
      <c r="U45" s="55">
        <f t="shared" si="8"/>
        <v>72.72727273</v>
      </c>
      <c r="V45" s="55">
        <f t="shared" si="6"/>
        <v>82.28240783</v>
      </c>
    </row>
    <row r="46" ht="18.0" customHeight="1">
      <c r="A46" s="41">
        <v>36.0</v>
      </c>
      <c r="B46" s="65" t="s">
        <v>94</v>
      </c>
      <c r="C46" s="66" t="s">
        <v>95</v>
      </c>
      <c r="D46" s="44">
        <v>26.0</v>
      </c>
      <c r="E46" s="45">
        <v>78.79</v>
      </c>
      <c r="F46" s="60">
        <v>26.0</v>
      </c>
      <c r="G46" s="47">
        <v>79.0</v>
      </c>
      <c r="H46" s="48">
        <v>38.0</v>
      </c>
      <c r="I46" s="49">
        <f t="shared" si="1"/>
        <v>74.50980392</v>
      </c>
      <c r="J46" s="99">
        <v>44.0</v>
      </c>
      <c r="K46" s="100">
        <v>89.8</v>
      </c>
      <c r="L46" s="52">
        <v>9.0</v>
      </c>
      <c r="M46" s="51">
        <f t="shared" si="2"/>
        <v>75</v>
      </c>
      <c r="N46" s="52">
        <v>13.0</v>
      </c>
      <c r="O46" s="101">
        <f t="shared" si="3"/>
        <v>61.9047619</v>
      </c>
      <c r="P46" s="102">
        <v>5.0</v>
      </c>
      <c r="Q46" s="55">
        <f t="shared" si="4"/>
        <v>100</v>
      </c>
      <c r="R46" s="63">
        <v>10.0</v>
      </c>
      <c r="S46" s="57">
        <f t="shared" si="7"/>
        <v>83.33333333</v>
      </c>
      <c r="T46" s="104">
        <v>5.0</v>
      </c>
      <c r="U46" s="55">
        <f t="shared" si="8"/>
        <v>45.45454545</v>
      </c>
      <c r="V46" s="55">
        <f t="shared" si="6"/>
        <v>76.42138273</v>
      </c>
    </row>
    <row r="47" ht="18.0" customHeight="1">
      <c r="A47" s="41">
        <v>37.0</v>
      </c>
      <c r="B47" s="65" t="s">
        <v>96</v>
      </c>
      <c r="C47" s="66" t="s">
        <v>97</v>
      </c>
      <c r="D47" s="44">
        <v>16.0</v>
      </c>
      <c r="E47" s="45">
        <v>48.48</v>
      </c>
      <c r="F47" s="60">
        <v>22.0</v>
      </c>
      <c r="G47" s="47">
        <v>60.0</v>
      </c>
      <c r="H47" s="48">
        <v>26.0</v>
      </c>
      <c r="I47" s="49">
        <f t="shared" si="1"/>
        <v>50.98039216</v>
      </c>
      <c r="J47" s="99">
        <v>29.0</v>
      </c>
      <c r="K47" s="100">
        <v>59.18</v>
      </c>
      <c r="L47" s="52">
        <v>7.0</v>
      </c>
      <c r="M47" s="51">
        <f t="shared" si="2"/>
        <v>58</v>
      </c>
      <c r="N47" s="52">
        <v>14.0</v>
      </c>
      <c r="O47" s="101">
        <f t="shared" si="3"/>
        <v>66.66666667</v>
      </c>
      <c r="P47" s="102">
        <v>5.0</v>
      </c>
      <c r="Q47" s="55">
        <f t="shared" si="4"/>
        <v>100</v>
      </c>
      <c r="R47" s="63">
        <v>9.0</v>
      </c>
      <c r="S47" s="57">
        <f t="shared" si="7"/>
        <v>75</v>
      </c>
      <c r="T47" s="104">
        <v>7.0</v>
      </c>
      <c r="U47" s="55">
        <f t="shared" si="8"/>
        <v>63.63636364</v>
      </c>
      <c r="V47" s="55">
        <f t="shared" si="6"/>
        <v>64.66038027</v>
      </c>
    </row>
    <row r="48" ht="18.0" customHeight="1">
      <c r="A48" s="41">
        <v>38.0</v>
      </c>
      <c r="B48" s="65" t="s">
        <v>98</v>
      </c>
      <c r="C48" s="66" t="s">
        <v>99</v>
      </c>
      <c r="D48" s="44">
        <v>14.0</v>
      </c>
      <c r="E48" s="45">
        <v>42.42</v>
      </c>
      <c r="F48" s="60">
        <v>22.0</v>
      </c>
      <c r="G48" s="47">
        <v>60.0</v>
      </c>
      <c r="H48" s="48">
        <v>27.0</v>
      </c>
      <c r="I48" s="49">
        <f t="shared" si="1"/>
        <v>52.94117647</v>
      </c>
      <c r="J48" s="99">
        <v>31.0</v>
      </c>
      <c r="K48" s="100">
        <v>63.27</v>
      </c>
      <c r="L48" s="52">
        <v>4.0</v>
      </c>
      <c r="M48" s="51">
        <f t="shared" si="2"/>
        <v>33</v>
      </c>
      <c r="N48" s="52">
        <v>8.0</v>
      </c>
      <c r="O48" s="101">
        <f t="shared" si="3"/>
        <v>38.0952381</v>
      </c>
      <c r="P48" s="102">
        <v>3.0</v>
      </c>
      <c r="Q48" s="55">
        <f t="shared" si="4"/>
        <v>60</v>
      </c>
      <c r="R48" s="63">
        <v>5.0</v>
      </c>
      <c r="S48" s="57">
        <f t="shared" si="7"/>
        <v>41.66666667</v>
      </c>
      <c r="T48" s="104">
        <v>9.0</v>
      </c>
      <c r="U48" s="55">
        <f t="shared" si="8"/>
        <v>81.81818182</v>
      </c>
      <c r="V48" s="55">
        <f t="shared" si="6"/>
        <v>52.57902923</v>
      </c>
    </row>
    <row r="49" ht="18.0" customHeight="1">
      <c r="A49" s="41">
        <v>39.0</v>
      </c>
      <c r="B49" s="65" t="s">
        <v>100</v>
      </c>
      <c r="C49" s="66" t="s">
        <v>101</v>
      </c>
      <c r="D49" s="44">
        <v>17.0</v>
      </c>
      <c r="E49" s="45">
        <v>51.52</v>
      </c>
      <c r="F49" s="60">
        <v>22.0</v>
      </c>
      <c r="G49" s="47">
        <v>60.0</v>
      </c>
      <c r="H49" s="48">
        <v>28.0</v>
      </c>
      <c r="I49" s="49">
        <f t="shared" si="1"/>
        <v>54.90196078</v>
      </c>
      <c r="J49" s="99">
        <v>31.0</v>
      </c>
      <c r="K49" s="100">
        <v>63.0</v>
      </c>
      <c r="L49" s="52">
        <v>7.0</v>
      </c>
      <c r="M49" s="51">
        <f t="shared" si="2"/>
        <v>58</v>
      </c>
      <c r="N49" s="52">
        <v>13.0</v>
      </c>
      <c r="O49" s="101">
        <f t="shared" si="3"/>
        <v>61.9047619</v>
      </c>
      <c r="P49" s="102">
        <v>5.0</v>
      </c>
      <c r="Q49" s="55">
        <f t="shared" si="4"/>
        <v>100</v>
      </c>
      <c r="R49" s="63">
        <v>9.0</v>
      </c>
      <c r="S49" s="57">
        <f t="shared" si="7"/>
        <v>75</v>
      </c>
      <c r="T49" s="104">
        <v>7.0</v>
      </c>
      <c r="U49" s="55">
        <f t="shared" si="8"/>
        <v>63.63636364</v>
      </c>
      <c r="V49" s="55">
        <f t="shared" si="6"/>
        <v>65.32923181</v>
      </c>
    </row>
    <row r="50" ht="18.0" customHeight="1">
      <c r="A50" s="41">
        <v>40.0</v>
      </c>
      <c r="B50" s="65" t="s">
        <v>102</v>
      </c>
      <c r="C50" s="66" t="s">
        <v>103</v>
      </c>
      <c r="D50" s="44">
        <v>24.0</v>
      </c>
      <c r="E50" s="45">
        <v>72.73</v>
      </c>
      <c r="F50" s="60">
        <v>27.0</v>
      </c>
      <c r="G50" s="47">
        <v>80.0</v>
      </c>
      <c r="H50" s="48">
        <v>37.0</v>
      </c>
      <c r="I50" s="49">
        <f t="shared" si="1"/>
        <v>72.54901961</v>
      </c>
      <c r="J50" s="99">
        <v>43.0</v>
      </c>
      <c r="K50" s="100">
        <v>87.76</v>
      </c>
      <c r="L50" s="52">
        <v>8.0</v>
      </c>
      <c r="M50" s="51">
        <f t="shared" si="2"/>
        <v>67</v>
      </c>
      <c r="N50" s="52">
        <v>17.0</v>
      </c>
      <c r="O50" s="101">
        <f t="shared" si="3"/>
        <v>80.95238095</v>
      </c>
      <c r="P50" s="102">
        <v>5.0</v>
      </c>
      <c r="Q50" s="55">
        <f t="shared" si="4"/>
        <v>100</v>
      </c>
      <c r="R50" s="63">
        <v>8.0</v>
      </c>
      <c r="S50" s="57">
        <f t="shared" si="7"/>
        <v>66.66666667</v>
      </c>
      <c r="T50" s="104">
        <v>8.0</v>
      </c>
      <c r="U50" s="55">
        <f t="shared" si="8"/>
        <v>72.72727273</v>
      </c>
      <c r="V50" s="55">
        <f t="shared" si="6"/>
        <v>77.82059333</v>
      </c>
    </row>
    <row r="51" ht="18.0" customHeight="1">
      <c r="A51" s="41">
        <v>41.0</v>
      </c>
      <c r="B51" s="67" t="s">
        <v>104</v>
      </c>
      <c r="C51" s="66" t="s">
        <v>105</v>
      </c>
      <c r="D51" s="44">
        <v>14.0</v>
      </c>
      <c r="E51" s="45">
        <v>42.42</v>
      </c>
      <c r="F51" s="60">
        <v>21.0</v>
      </c>
      <c r="G51" s="47">
        <v>57.0</v>
      </c>
      <c r="H51" s="48">
        <v>23.0</v>
      </c>
      <c r="I51" s="49">
        <f t="shared" si="1"/>
        <v>45.09803922</v>
      </c>
      <c r="J51" s="99">
        <v>31.0</v>
      </c>
      <c r="K51" s="100">
        <v>63.27</v>
      </c>
      <c r="L51" s="52">
        <v>6.0</v>
      </c>
      <c r="M51" s="51">
        <f t="shared" si="2"/>
        <v>50</v>
      </c>
      <c r="N51" s="52">
        <v>12.0</v>
      </c>
      <c r="O51" s="101">
        <f t="shared" si="3"/>
        <v>57.14285714</v>
      </c>
      <c r="P51" s="102">
        <v>3.0</v>
      </c>
      <c r="Q51" s="55">
        <f t="shared" si="4"/>
        <v>60</v>
      </c>
      <c r="R51" s="63">
        <v>5.0</v>
      </c>
      <c r="S51" s="57">
        <f t="shared" si="7"/>
        <v>41.66666667</v>
      </c>
      <c r="T51" s="104">
        <v>7.0</v>
      </c>
      <c r="U51" s="55">
        <f t="shared" si="8"/>
        <v>63.63636364</v>
      </c>
      <c r="V51" s="55">
        <f t="shared" si="6"/>
        <v>53.35932518</v>
      </c>
    </row>
    <row r="52" ht="18.0" customHeight="1">
      <c r="A52" s="41">
        <v>42.0</v>
      </c>
      <c r="B52" s="67" t="s">
        <v>106</v>
      </c>
      <c r="C52" s="68" t="s">
        <v>107</v>
      </c>
      <c r="D52" s="44">
        <v>23.0</v>
      </c>
      <c r="E52" s="45">
        <v>69.7</v>
      </c>
      <c r="F52" s="60">
        <v>33.0</v>
      </c>
      <c r="G52" s="47">
        <v>90.0</v>
      </c>
      <c r="H52" s="48">
        <v>32.0</v>
      </c>
      <c r="I52" s="49">
        <f t="shared" si="1"/>
        <v>62.74509804</v>
      </c>
      <c r="J52" s="99">
        <v>39.0</v>
      </c>
      <c r="K52" s="100">
        <v>79.0</v>
      </c>
      <c r="L52" s="52">
        <v>11.0</v>
      </c>
      <c r="M52" s="51">
        <f t="shared" si="2"/>
        <v>92</v>
      </c>
      <c r="N52" s="52">
        <v>15.0</v>
      </c>
      <c r="O52" s="101">
        <f t="shared" si="3"/>
        <v>71.42857143</v>
      </c>
      <c r="P52" s="102">
        <v>5.0</v>
      </c>
      <c r="Q52" s="55">
        <f t="shared" si="4"/>
        <v>100</v>
      </c>
      <c r="R52" s="63">
        <v>11.0</v>
      </c>
      <c r="S52" s="57">
        <f t="shared" si="7"/>
        <v>91.66666667</v>
      </c>
      <c r="T52" s="104">
        <v>7.0</v>
      </c>
      <c r="U52" s="55">
        <f t="shared" si="8"/>
        <v>63.63636364</v>
      </c>
      <c r="V52" s="55">
        <f t="shared" si="6"/>
        <v>80.01963331</v>
      </c>
    </row>
    <row r="53" ht="18.0" customHeight="1">
      <c r="A53" s="41">
        <v>43.0</v>
      </c>
      <c r="B53" s="67" t="s">
        <v>108</v>
      </c>
      <c r="C53" s="69" t="s">
        <v>109</v>
      </c>
      <c r="D53" s="44">
        <v>19.0</v>
      </c>
      <c r="E53" s="45">
        <v>57.58</v>
      </c>
      <c r="F53" s="60">
        <v>20.0</v>
      </c>
      <c r="G53" s="47">
        <v>54.0</v>
      </c>
      <c r="H53" s="48">
        <v>27.0</v>
      </c>
      <c r="I53" s="49">
        <f t="shared" si="1"/>
        <v>52.94117647</v>
      </c>
      <c r="J53" s="99">
        <v>36.0</v>
      </c>
      <c r="K53" s="100">
        <v>73.47</v>
      </c>
      <c r="L53" s="52">
        <v>7.0</v>
      </c>
      <c r="M53" s="51">
        <f t="shared" si="2"/>
        <v>58</v>
      </c>
      <c r="N53" s="52">
        <v>7.0</v>
      </c>
      <c r="O53" s="101">
        <f t="shared" si="3"/>
        <v>33.33333333</v>
      </c>
      <c r="P53" s="102">
        <v>3.0</v>
      </c>
      <c r="Q53" s="55">
        <f t="shared" si="4"/>
        <v>60</v>
      </c>
      <c r="R53" s="63">
        <v>5.0</v>
      </c>
      <c r="S53" s="57">
        <f t="shared" si="7"/>
        <v>41.66666667</v>
      </c>
      <c r="T53" s="104">
        <v>8.0</v>
      </c>
      <c r="U53" s="55">
        <f t="shared" si="8"/>
        <v>72.72727273</v>
      </c>
      <c r="V53" s="55">
        <f t="shared" si="6"/>
        <v>55.96871658</v>
      </c>
    </row>
    <row r="54" ht="29.25" customHeight="1">
      <c r="A54" s="70" t="s">
        <v>110</v>
      </c>
      <c r="B54" s="5"/>
      <c r="C54" s="6"/>
      <c r="D54" s="71" t="s">
        <v>111</v>
      </c>
      <c r="E54" s="6"/>
      <c r="F54" s="71" t="s">
        <v>112</v>
      </c>
      <c r="G54" s="6"/>
      <c r="H54" s="71" t="s">
        <v>113</v>
      </c>
      <c r="I54" s="6"/>
      <c r="J54" s="28" t="s">
        <v>114</v>
      </c>
      <c r="K54" s="6"/>
      <c r="L54" s="28" t="s">
        <v>115</v>
      </c>
      <c r="M54" s="5"/>
      <c r="N54" s="71" t="s">
        <v>116</v>
      </c>
      <c r="O54" s="6"/>
      <c r="P54" s="28" t="s">
        <v>128</v>
      </c>
      <c r="Q54" s="6"/>
      <c r="R54" s="72" t="s">
        <v>115</v>
      </c>
      <c r="S54" s="105"/>
      <c r="T54" s="72" t="s">
        <v>129</v>
      </c>
      <c r="U54" s="55"/>
      <c r="V54" s="55"/>
    </row>
    <row r="55" ht="27.0" customHeight="1">
      <c r="A55" s="74"/>
      <c r="B55" s="75"/>
      <c r="C55" s="76"/>
      <c r="D55" s="77"/>
      <c r="E55" s="77"/>
      <c r="F55" s="74"/>
      <c r="G55" s="78"/>
      <c r="H55" s="79"/>
      <c r="I55" s="79"/>
      <c r="J55" s="74"/>
      <c r="K55" s="13"/>
      <c r="L55" s="74"/>
      <c r="M55" s="13"/>
      <c r="N55" s="74"/>
      <c r="O55" s="80"/>
      <c r="P55" s="74"/>
      <c r="Q55" s="74"/>
      <c r="R55" s="81"/>
      <c r="S55" s="81"/>
      <c r="T55" s="106"/>
      <c r="U55" s="81"/>
      <c r="V55" s="81"/>
    </row>
    <row r="56" ht="29.25" customHeight="1">
      <c r="A56" s="83"/>
      <c r="B56" s="84" t="s">
        <v>118</v>
      </c>
      <c r="D56" s="13"/>
      <c r="E56" s="13"/>
      <c r="F56" s="85"/>
      <c r="G56" s="86" t="s">
        <v>119</v>
      </c>
      <c r="H56" s="13"/>
      <c r="I56" s="87" t="s">
        <v>120</v>
      </c>
      <c r="J56" s="74"/>
      <c r="K56" s="88" t="s">
        <v>121</v>
      </c>
      <c r="L56" s="89"/>
      <c r="M56" s="86"/>
      <c r="N56" s="90"/>
      <c r="O56" s="80"/>
      <c r="P56" s="91"/>
      <c r="Q56" s="92" t="s">
        <v>122</v>
      </c>
      <c r="R56" s="86"/>
      <c r="S56" s="86"/>
      <c r="T56" s="86"/>
      <c r="U56" s="86"/>
      <c r="V56" s="86"/>
    </row>
    <row r="57" ht="11.25" customHeight="1">
      <c r="A57" s="83"/>
      <c r="B57" s="84"/>
      <c r="C57" s="13"/>
      <c r="D57" s="1"/>
      <c r="E57" s="1"/>
      <c r="F57" s="1"/>
      <c r="G57" s="1"/>
      <c r="H57" s="1"/>
      <c r="I57" s="1"/>
      <c r="J57" s="1"/>
      <c r="K57" s="1"/>
      <c r="L57" s="13"/>
      <c r="M57" s="13"/>
      <c r="N57" s="13"/>
      <c r="O57" s="13"/>
      <c r="P57" s="1"/>
      <c r="Q57" s="1"/>
      <c r="R57" s="86"/>
      <c r="S57" s="13"/>
      <c r="T57" s="13"/>
      <c r="U57" s="13"/>
      <c r="V57" s="13"/>
    </row>
    <row r="58" ht="11.25" customHeight="1">
      <c r="A58" s="13"/>
      <c r="B58" s="9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1.25" customHeight="1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1.25" customHeight="1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1.25" customHeight="1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1.25" customHeight="1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1.25" customHeight="1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1.25" customHeight="1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1.25" customHeight="1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1.25" customHeight="1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1.25" customHeight="1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1.25" customHeight="1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1.2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1.2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1.2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1.2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1.2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1.2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1.2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1.2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1.2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1.2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1.2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1.2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1.2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1.2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1.2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1.2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1.2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1.2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1.2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1.2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1.2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1.2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1.2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1.2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1.2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1.2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1.2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1.2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1.2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1.2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1.2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1.2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1.2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1.2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1.2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1.2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1.2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1.2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1.2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1.2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1.2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1.2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1.2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1.2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1.2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1.2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1.2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1.2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1.2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1.2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1.2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1.2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1.2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1.2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1.2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1.2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1.2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1.2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1.2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1.2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1.2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1.2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1.2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1.2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1.2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1.2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1.2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1.2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1.2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1.2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1.2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1.2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1.2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1.2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1.2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1.2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1.2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1.2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1.2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1.2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1.2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1.2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1.2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1.2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1.2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1.2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1.2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1.2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1.2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1.2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1.2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1.2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1.2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1.2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1.2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1.2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1.2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1.2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1.2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1.2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1.2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1.2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1.2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1.2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1.2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1.2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1.2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1.2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1.2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1.2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1.2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1.2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1.2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1.2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1.2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1.2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1.2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1.2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1.2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1.2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1.2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1.2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1.2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1.2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1.2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1.2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1.2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1.2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1.2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1.2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1.2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1.2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1.2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1.2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1.2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1.2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1.2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1.2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1.2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1.2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1.2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1.2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1.2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1.2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1.2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1.2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1.2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1.2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1.2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1.2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1.2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1.2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1.2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1.2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1.2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1.2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1.2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1.2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1.2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1.2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1.2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1.2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1.2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1.2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1.2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1.2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1.2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1.2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1.2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1.2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1.2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1.2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1.2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1.2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1.2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1.2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1.2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1.2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1.2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1.2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1.2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1.2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1.2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1.2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1.2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1.2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1.2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1.2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75" customHeight="1">
      <c r="B257" s="94"/>
    </row>
    <row r="258" ht="15.75" customHeight="1">
      <c r="B258" s="94"/>
    </row>
    <row r="259" ht="15.75" customHeight="1">
      <c r="B259" s="94"/>
    </row>
    <row r="260" ht="15.75" customHeight="1">
      <c r="B260" s="94"/>
    </row>
    <row r="261" ht="15.75" customHeight="1">
      <c r="B261" s="94"/>
    </row>
    <row r="262" ht="15.75" customHeight="1">
      <c r="B262" s="94"/>
    </row>
    <row r="263" ht="15.75" customHeight="1">
      <c r="B263" s="94"/>
    </row>
    <row r="264" ht="15.75" customHeight="1">
      <c r="B264" s="94"/>
    </row>
    <row r="265" ht="15.75" customHeight="1">
      <c r="B265" s="94"/>
    </row>
    <row r="266" ht="15.75" customHeight="1">
      <c r="B266" s="94"/>
    </row>
    <row r="267" ht="15.75" customHeight="1">
      <c r="B267" s="94"/>
    </row>
    <row r="268" ht="15.75" customHeight="1">
      <c r="B268" s="94"/>
    </row>
    <row r="269" ht="15.75" customHeight="1">
      <c r="B269" s="94"/>
    </row>
    <row r="270" ht="15.75" customHeight="1">
      <c r="B270" s="94"/>
    </row>
    <row r="271" ht="15.75" customHeight="1">
      <c r="B271" s="94"/>
    </row>
    <row r="272" ht="15.75" customHeight="1">
      <c r="B272" s="94"/>
    </row>
    <row r="273" ht="15.75" customHeight="1">
      <c r="B273" s="94"/>
    </row>
    <row r="274" ht="15.75" customHeight="1">
      <c r="B274" s="94"/>
    </row>
    <row r="275" ht="15.75" customHeight="1">
      <c r="B275" s="94"/>
    </row>
    <row r="276" ht="15.75" customHeight="1">
      <c r="B276" s="94"/>
    </row>
    <row r="277" ht="15.75" customHeight="1">
      <c r="B277" s="94"/>
    </row>
    <row r="278" ht="15.75" customHeight="1">
      <c r="B278" s="94"/>
    </row>
    <row r="279" ht="15.75" customHeight="1">
      <c r="B279" s="94"/>
    </row>
    <row r="280" ht="15.75" customHeight="1">
      <c r="B280" s="94"/>
    </row>
    <row r="281" ht="15.75" customHeight="1">
      <c r="B281" s="94"/>
    </row>
    <row r="282" ht="15.75" customHeight="1">
      <c r="B282" s="94"/>
    </row>
    <row r="283" ht="15.75" customHeight="1">
      <c r="B283" s="94"/>
    </row>
    <row r="284" ht="15.75" customHeight="1">
      <c r="B284" s="94"/>
    </row>
    <row r="285" ht="15.75" customHeight="1">
      <c r="B285" s="94"/>
    </row>
    <row r="286" ht="15.75" customHeight="1">
      <c r="B286" s="94"/>
    </row>
    <row r="287" ht="15.75" customHeight="1">
      <c r="B287" s="94"/>
    </row>
    <row r="288" ht="15.75" customHeight="1">
      <c r="B288" s="94"/>
    </row>
    <row r="289" ht="15.75" customHeight="1">
      <c r="B289" s="94"/>
    </row>
    <row r="290" ht="15.75" customHeight="1">
      <c r="B290" s="94"/>
    </row>
    <row r="291" ht="15.75" customHeight="1">
      <c r="B291" s="94"/>
    </row>
    <row r="292" ht="15.75" customHeight="1">
      <c r="B292" s="94"/>
    </row>
    <row r="293" ht="15.75" customHeight="1">
      <c r="B293" s="94"/>
    </row>
    <row r="294" ht="15.75" customHeight="1">
      <c r="B294" s="94"/>
    </row>
    <row r="295" ht="15.75" customHeight="1">
      <c r="B295" s="94"/>
    </row>
    <row r="296" ht="15.75" customHeight="1">
      <c r="B296" s="94"/>
    </row>
    <row r="297" ht="15.75" customHeight="1">
      <c r="B297" s="94"/>
    </row>
    <row r="298" ht="15.75" customHeight="1">
      <c r="B298" s="94"/>
    </row>
    <row r="299" ht="15.75" customHeight="1">
      <c r="B299" s="94"/>
    </row>
    <row r="300" ht="15.75" customHeight="1">
      <c r="B300" s="94"/>
    </row>
    <row r="301" ht="15.75" customHeight="1">
      <c r="B301" s="94"/>
    </row>
    <row r="302" ht="15.75" customHeight="1">
      <c r="B302" s="94"/>
    </row>
    <row r="303" ht="15.75" customHeight="1">
      <c r="B303" s="94"/>
    </row>
    <row r="304" ht="15.75" customHeight="1">
      <c r="B304" s="94"/>
    </row>
    <row r="305" ht="15.75" customHeight="1">
      <c r="B305" s="94"/>
    </row>
    <row r="306" ht="15.75" customHeight="1">
      <c r="B306" s="94"/>
    </row>
    <row r="307" ht="15.75" customHeight="1">
      <c r="B307" s="94"/>
    </row>
    <row r="308" ht="15.75" customHeight="1">
      <c r="B308" s="94"/>
    </row>
    <row r="309" ht="15.75" customHeight="1">
      <c r="B309" s="94"/>
    </row>
    <row r="310" ht="15.75" customHeight="1">
      <c r="B310" s="94"/>
    </row>
    <row r="311" ht="15.75" customHeight="1">
      <c r="B311" s="94"/>
    </row>
    <row r="312" ht="15.75" customHeight="1">
      <c r="B312" s="94"/>
    </row>
    <row r="313" ht="15.75" customHeight="1">
      <c r="B313" s="94"/>
    </row>
    <row r="314" ht="15.75" customHeight="1">
      <c r="B314" s="94"/>
    </row>
    <row r="315" ht="15.75" customHeight="1">
      <c r="B315" s="94"/>
    </row>
    <row r="316" ht="15.75" customHeight="1">
      <c r="B316" s="94"/>
    </row>
    <row r="317" ht="15.75" customHeight="1">
      <c r="B317" s="94"/>
    </row>
    <row r="318" ht="15.75" customHeight="1">
      <c r="B318" s="94"/>
    </row>
    <row r="319" ht="15.75" customHeight="1">
      <c r="B319" s="94"/>
    </row>
    <row r="320" ht="15.75" customHeight="1">
      <c r="B320" s="94"/>
    </row>
    <row r="321" ht="15.75" customHeight="1">
      <c r="B321" s="94"/>
    </row>
    <row r="322" ht="15.75" customHeight="1">
      <c r="B322" s="94"/>
    </row>
    <row r="323" ht="15.75" customHeight="1">
      <c r="B323" s="94"/>
    </row>
    <row r="324" ht="15.75" customHeight="1">
      <c r="B324" s="94"/>
    </row>
    <row r="325" ht="15.75" customHeight="1">
      <c r="B325" s="94"/>
    </row>
    <row r="326" ht="15.75" customHeight="1">
      <c r="B326" s="94"/>
    </row>
    <row r="327" ht="15.75" customHeight="1">
      <c r="B327" s="94"/>
    </row>
    <row r="328" ht="15.75" customHeight="1">
      <c r="B328" s="94"/>
    </row>
    <row r="329" ht="15.75" customHeight="1">
      <c r="B329" s="94"/>
    </row>
    <row r="330" ht="15.75" customHeight="1">
      <c r="B330" s="94"/>
    </row>
    <row r="331" ht="15.75" customHeight="1">
      <c r="B331" s="94"/>
    </row>
    <row r="332" ht="15.75" customHeight="1">
      <c r="B332" s="94"/>
    </row>
    <row r="333" ht="15.75" customHeight="1">
      <c r="B333" s="94"/>
    </row>
    <row r="334" ht="15.75" customHeight="1">
      <c r="B334" s="94"/>
    </row>
    <row r="335" ht="15.75" customHeight="1">
      <c r="B335" s="94"/>
    </row>
    <row r="336" ht="15.75" customHeight="1">
      <c r="B336" s="94"/>
    </row>
    <row r="337" ht="15.75" customHeight="1">
      <c r="B337" s="94"/>
    </row>
    <row r="338" ht="15.75" customHeight="1">
      <c r="B338" s="94"/>
    </row>
    <row r="339" ht="15.75" customHeight="1">
      <c r="B339" s="94"/>
    </row>
    <row r="340" ht="15.75" customHeight="1">
      <c r="B340" s="94"/>
    </row>
    <row r="341" ht="15.75" customHeight="1">
      <c r="B341" s="94"/>
    </row>
    <row r="342" ht="15.75" customHeight="1">
      <c r="B342" s="94"/>
    </row>
    <row r="343" ht="15.75" customHeight="1">
      <c r="B343" s="94"/>
    </row>
    <row r="344" ht="15.75" customHeight="1">
      <c r="B344" s="94"/>
    </row>
    <row r="345" ht="15.75" customHeight="1">
      <c r="B345" s="94"/>
    </row>
    <row r="346" ht="15.75" customHeight="1">
      <c r="B346" s="94"/>
    </row>
    <row r="347" ht="15.75" customHeight="1">
      <c r="B347" s="94"/>
    </row>
    <row r="348" ht="15.75" customHeight="1">
      <c r="B348" s="94"/>
    </row>
    <row r="349" ht="15.75" customHeight="1">
      <c r="B349" s="94"/>
    </row>
    <row r="350" ht="15.75" customHeight="1">
      <c r="B350" s="94"/>
    </row>
    <row r="351" ht="15.75" customHeight="1">
      <c r="B351" s="94"/>
    </row>
    <row r="352" ht="15.75" customHeight="1">
      <c r="B352" s="94"/>
    </row>
    <row r="353" ht="15.75" customHeight="1">
      <c r="B353" s="94"/>
    </row>
    <row r="354" ht="15.75" customHeight="1">
      <c r="B354" s="94"/>
    </row>
    <row r="355" ht="15.75" customHeight="1">
      <c r="B355" s="94"/>
    </row>
    <row r="356" ht="15.75" customHeight="1">
      <c r="B356" s="94"/>
    </row>
    <row r="357" ht="15.75" customHeight="1">
      <c r="B357" s="94"/>
    </row>
    <row r="358" ht="15.75" customHeight="1">
      <c r="B358" s="94"/>
    </row>
    <row r="359" ht="15.75" customHeight="1">
      <c r="B359" s="94"/>
    </row>
    <row r="360" ht="15.75" customHeight="1">
      <c r="B360" s="94"/>
    </row>
    <row r="361" ht="15.75" customHeight="1">
      <c r="B361" s="94"/>
    </row>
    <row r="362" ht="15.75" customHeight="1">
      <c r="B362" s="94"/>
    </row>
    <row r="363" ht="15.75" customHeight="1">
      <c r="B363" s="94"/>
    </row>
    <row r="364" ht="15.75" customHeight="1">
      <c r="B364" s="94"/>
    </row>
    <row r="365" ht="15.75" customHeight="1">
      <c r="B365" s="94"/>
    </row>
    <row r="366" ht="15.75" customHeight="1">
      <c r="B366" s="94"/>
    </row>
    <row r="367" ht="15.75" customHeight="1">
      <c r="B367" s="94"/>
    </row>
    <row r="368" ht="15.75" customHeight="1">
      <c r="B368" s="94"/>
    </row>
    <row r="369" ht="15.75" customHeight="1">
      <c r="B369" s="94"/>
    </row>
    <row r="370" ht="15.75" customHeight="1">
      <c r="B370" s="94"/>
    </row>
    <row r="371" ht="15.75" customHeight="1">
      <c r="B371" s="94"/>
    </row>
    <row r="372" ht="15.75" customHeight="1">
      <c r="B372" s="94"/>
    </row>
    <row r="373" ht="15.75" customHeight="1">
      <c r="B373" s="94"/>
    </row>
    <row r="374" ht="15.75" customHeight="1">
      <c r="B374" s="94"/>
    </row>
    <row r="375" ht="15.75" customHeight="1">
      <c r="B375" s="94"/>
    </row>
    <row r="376" ht="15.75" customHeight="1">
      <c r="B376" s="94"/>
    </row>
    <row r="377" ht="15.75" customHeight="1">
      <c r="B377" s="94"/>
    </row>
    <row r="378" ht="15.75" customHeight="1">
      <c r="B378" s="94"/>
    </row>
    <row r="379" ht="15.75" customHeight="1">
      <c r="B379" s="94"/>
    </row>
    <row r="380" ht="15.75" customHeight="1">
      <c r="B380" s="94"/>
    </row>
    <row r="381" ht="15.75" customHeight="1">
      <c r="B381" s="94"/>
    </row>
    <row r="382" ht="15.75" customHeight="1">
      <c r="B382" s="94"/>
    </row>
    <row r="383" ht="15.75" customHeight="1">
      <c r="B383" s="94"/>
    </row>
    <row r="384" ht="15.75" customHeight="1">
      <c r="B384" s="94"/>
    </row>
    <row r="385" ht="15.75" customHeight="1">
      <c r="B385" s="94"/>
    </row>
    <row r="386" ht="15.75" customHeight="1">
      <c r="B386" s="94"/>
    </row>
    <row r="387" ht="15.75" customHeight="1">
      <c r="B387" s="94"/>
    </row>
    <row r="388" ht="15.75" customHeight="1">
      <c r="B388" s="94"/>
    </row>
    <row r="389" ht="15.75" customHeight="1">
      <c r="B389" s="94"/>
    </row>
    <row r="390" ht="15.75" customHeight="1">
      <c r="B390" s="94"/>
    </row>
    <row r="391" ht="15.75" customHeight="1">
      <c r="B391" s="94"/>
    </row>
    <row r="392" ht="15.75" customHeight="1">
      <c r="B392" s="94"/>
    </row>
    <row r="393" ht="15.75" customHeight="1">
      <c r="B393" s="94"/>
    </row>
    <row r="394" ht="15.75" customHeight="1">
      <c r="B394" s="94"/>
    </row>
    <row r="395" ht="15.75" customHeight="1">
      <c r="B395" s="94"/>
    </row>
    <row r="396" ht="15.75" customHeight="1">
      <c r="B396" s="94"/>
    </row>
    <row r="397" ht="15.75" customHeight="1">
      <c r="B397" s="94"/>
    </row>
    <row r="398" ht="15.75" customHeight="1">
      <c r="B398" s="94"/>
    </row>
    <row r="399" ht="15.75" customHeight="1">
      <c r="B399" s="94"/>
    </row>
    <row r="400" ht="15.75" customHeight="1">
      <c r="B400" s="94"/>
    </row>
    <row r="401" ht="15.75" customHeight="1">
      <c r="B401" s="94"/>
    </row>
    <row r="402" ht="15.75" customHeight="1">
      <c r="B402" s="94"/>
    </row>
    <row r="403" ht="15.75" customHeight="1">
      <c r="B403" s="94"/>
    </row>
    <row r="404" ht="15.75" customHeight="1">
      <c r="B404" s="94"/>
    </row>
    <row r="405" ht="15.75" customHeight="1">
      <c r="B405" s="94"/>
    </row>
    <row r="406" ht="15.75" customHeight="1">
      <c r="B406" s="94"/>
    </row>
    <row r="407" ht="15.75" customHeight="1">
      <c r="B407" s="94"/>
    </row>
    <row r="408" ht="15.75" customHeight="1">
      <c r="B408" s="94"/>
    </row>
    <row r="409" ht="15.75" customHeight="1">
      <c r="B409" s="94"/>
    </row>
    <row r="410" ht="15.75" customHeight="1">
      <c r="B410" s="94"/>
    </row>
    <row r="411" ht="15.75" customHeight="1">
      <c r="B411" s="94"/>
    </row>
    <row r="412" ht="15.75" customHeight="1">
      <c r="B412" s="94"/>
    </row>
    <row r="413" ht="15.75" customHeight="1">
      <c r="B413" s="94"/>
    </row>
    <row r="414" ht="15.75" customHeight="1">
      <c r="B414" s="94"/>
    </row>
    <row r="415" ht="15.75" customHeight="1">
      <c r="B415" s="94"/>
    </row>
    <row r="416" ht="15.75" customHeight="1">
      <c r="B416" s="94"/>
    </row>
    <row r="417" ht="15.75" customHeight="1">
      <c r="B417" s="94"/>
    </row>
    <row r="418" ht="15.75" customHeight="1">
      <c r="B418" s="94"/>
    </row>
    <row r="419" ht="15.75" customHeight="1">
      <c r="B419" s="94"/>
    </row>
    <row r="420" ht="15.75" customHeight="1">
      <c r="B420" s="94"/>
    </row>
    <row r="421" ht="15.75" customHeight="1">
      <c r="B421" s="94"/>
    </row>
    <row r="422" ht="15.75" customHeight="1">
      <c r="B422" s="94"/>
    </row>
    <row r="423" ht="15.75" customHeight="1">
      <c r="B423" s="94"/>
    </row>
    <row r="424" ht="15.75" customHeight="1">
      <c r="B424" s="94"/>
    </row>
    <row r="425" ht="15.75" customHeight="1">
      <c r="B425" s="94"/>
    </row>
    <row r="426" ht="15.75" customHeight="1">
      <c r="B426" s="94"/>
    </row>
    <row r="427" ht="15.75" customHeight="1">
      <c r="B427" s="94"/>
    </row>
    <row r="428" ht="15.75" customHeight="1">
      <c r="B428" s="94"/>
    </row>
    <row r="429" ht="15.75" customHeight="1">
      <c r="B429" s="94"/>
    </row>
    <row r="430" ht="15.75" customHeight="1">
      <c r="B430" s="94"/>
    </row>
    <row r="431" ht="15.75" customHeight="1">
      <c r="B431" s="94"/>
    </row>
    <row r="432" ht="15.75" customHeight="1">
      <c r="B432" s="94"/>
    </row>
    <row r="433" ht="15.75" customHeight="1">
      <c r="B433" s="94"/>
    </row>
    <row r="434" ht="15.75" customHeight="1">
      <c r="B434" s="94"/>
    </row>
    <row r="435" ht="15.75" customHeight="1">
      <c r="B435" s="94"/>
    </row>
    <row r="436" ht="15.75" customHeight="1">
      <c r="B436" s="94"/>
    </row>
    <row r="437" ht="15.75" customHeight="1">
      <c r="B437" s="94"/>
    </row>
    <row r="438" ht="15.75" customHeight="1">
      <c r="B438" s="94"/>
    </row>
    <row r="439" ht="15.75" customHeight="1">
      <c r="B439" s="94"/>
    </row>
    <row r="440" ht="15.75" customHeight="1">
      <c r="B440" s="94"/>
    </row>
    <row r="441" ht="15.75" customHeight="1">
      <c r="B441" s="94"/>
    </row>
    <row r="442" ht="15.75" customHeight="1">
      <c r="B442" s="94"/>
    </row>
    <row r="443" ht="15.75" customHeight="1">
      <c r="B443" s="94"/>
    </row>
    <row r="444" ht="15.75" customHeight="1">
      <c r="B444" s="94"/>
    </row>
    <row r="445" ht="15.75" customHeight="1">
      <c r="B445" s="94"/>
    </row>
    <row r="446" ht="15.75" customHeight="1">
      <c r="B446" s="94"/>
    </row>
    <row r="447" ht="15.75" customHeight="1">
      <c r="B447" s="94"/>
    </row>
    <row r="448" ht="15.75" customHeight="1">
      <c r="B448" s="94"/>
    </row>
    <row r="449" ht="15.75" customHeight="1">
      <c r="B449" s="94"/>
    </row>
    <row r="450" ht="15.75" customHeight="1">
      <c r="B450" s="94"/>
    </row>
    <row r="451" ht="15.75" customHeight="1">
      <c r="B451" s="94"/>
    </row>
    <row r="452" ht="15.75" customHeight="1">
      <c r="B452" s="94"/>
    </row>
    <row r="453" ht="15.75" customHeight="1">
      <c r="B453" s="94"/>
    </row>
    <row r="454" ht="15.75" customHeight="1">
      <c r="B454" s="94"/>
    </row>
    <row r="455" ht="15.75" customHeight="1">
      <c r="B455" s="94"/>
    </row>
    <row r="456" ht="15.75" customHeight="1">
      <c r="B456" s="94"/>
    </row>
    <row r="457" ht="15.75" customHeight="1">
      <c r="B457" s="94"/>
    </row>
    <row r="458" ht="15.75" customHeight="1">
      <c r="B458" s="94"/>
    </row>
    <row r="459" ht="15.75" customHeight="1">
      <c r="B459" s="94"/>
    </row>
    <row r="460" ht="15.75" customHeight="1">
      <c r="B460" s="94"/>
    </row>
    <row r="461" ht="15.75" customHeight="1">
      <c r="B461" s="94"/>
    </row>
    <row r="462" ht="15.75" customHeight="1">
      <c r="B462" s="94"/>
    </row>
    <row r="463" ht="15.75" customHeight="1">
      <c r="B463" s="94"/>
    </row>
    <row r="464" ht="15.75" customHeight="1">
      <c r="B464" s="94"/>
    </row>
    <row r="465" ht="15.75" customHeight="1">
      <c r="B465" s="94"/>
    </row>
    <row r="466" ht="15.75" customHeight="1">
      <c r="B466" s="94"/>
    </row>
    <row r="467" ht="15.75" customHeight="1">
      <c r="B467" s="94"/>
    </row>
    <row r="468" ht="15.75" customHeight="1">
      <c r="B468" s="94"/>
    </row>
    <row r="469" ht="15.75" customHeight="1">
      <c r="B469" s="94"/>
    </row>
    <row r="470" ht="15.75" customHeight="1">
      <c r="B470" s="94"/>
    </row>
    <row r="471" ht="15.75" customHeight="1">
      <c r="B471" s="94"/>
    </row>
    <row r="472" ht="15.75" customHeight="1">
      <c r="B472" s="94"/>
    </row>
    <row r="473" ht="15.75" customHeight="1">
      <c r="B473" s="94"/>
    </row>
    <row r="474" ht="15.75" customHeight="1">
      <c r="B474" s="94"/>
    </row>
    <row r="475" ht="15.75" customHeight="1">
      <c r="B475" s="94"/>
    </row>
    <row r="476" ht="15.75" customHeight="1">
      <c r="B476" s="94"/>
    </row>
    <row r="477" ht="15.75" customHeight="1">
      <c r="B477" s="94"/>
    </row>
    <row r="478" ht="15.75" customHeight="1">
      <c r="B478" s="94"/>
    </row>
    <row r="479" ht="15.75" customHeight="1">
      <c r="B479" s="94"/>
    </row>
    <row r="480" ht="15.75" customHeight="1">
      <c r="B480" s="94"/>
    </row>
    <row r="481" ht="15.75" customHeight="1">
      <c r="B481" s="94"/>
    </row>
    <row r="482" ht="15.75" customHeight="1">
      <c r="B482" s="94"/>
    </row>
    <row r="483" ht="15.75" customHeight="1">
      <c r="B483" s="94"/>
    </row>
    <row r="484" ht="15.75" customHeight="1">
      <c r="B484" s="94"/>
    </row>
    <row r="485" ht="15.75" customHeight="1">
      <c r="B485" s="94"/>
    </row>
    <row r="486" ht="15.75" customHeight="1">
      <c r="B486" s="94"/>
    </row>
    <row r="487" ht="15.75" customHeight="1">
      <c r="B487" s="94"/>
    </row>
    <row r="488" ht="15.75" customHeight="1">
      <c r="B488" s="94"/>
    </row>
    <row r="489" ht="15.75" customHeight="1">
      <c r="B489" s="94"/>
    </row>
    <row r="490" ht="15.75" customHeight="1">
      <c r="B490" s="94"/>
    </row>
    <row r="491" ht="15.75" customHeight="1">
      <c r="B491" s="94"/>
    </row>
    <row r="492" ht="15.75" customHeight="1">
      <c r="B492" s="94"/>
    </row>
    <row r="493" ht="15.75" customHeight="1">
      <c r="B493" s="94"/>
    </row>
    <row r="494" ht="15.75" customHeight="1">
      <c r="B494" s="94"/>
    </row>
    <row r="495" ht="15.75" customHeight="1">
      <c r="B495" s="94"/>
    </row>
    <row r="496" ht="15.75" customHeight="1">
      <c r="B496" s="94"/>
    </row>
    <row r="497" ht="15.75" customHeight="1">
      <c r="B497" s="94"/>
    </row>
    <row r="498" ht="15.75" customHeight="1">
      <c r="B498" s="94"/>
    </row>
    <row r="499" ht="15.75" customHeight="1">
      <c r="B499" s="94"/>
    </row>
    <row r="500" ht="15.75" customHeight="1">
      <c r="B500" s="94"/>
    </row>
    <row r="501" ht="15.75" customHeight="1">
      <c r="B501" s="94"/>
    </row>
    <row r="502" ht="15.75" customHeight="1">
      <c r="B502" s="94"/>
    </row>
    <row r="503" ht="15.75" customHeight="1">
      <c r="B503" s="94"/>
    </row>
    <row r="504" ht="15.75" customHeight="1">
      <c r="B504" s="94"/>
    </row>
    <row r="505" ht="15.75" customHeight="1">
      <c r="B505" s="94"/>
    </row>
    <row r="506" ht="15.75" customHeight="1">
      <c r="B506" s="94"/>
    </row>
    <row r="507" ht="15.75" customHeight="1">
      <c r="B507" s="94"/>
    </row>
    <row r="508" ht="15.75" customHeight="1">
      <c r="B508" s="94"/>
    </row>
    <row r="509" ht="15.75" customHeight="1">
      <c r="B509" s="94"/>
    </row>
    <row r="510" ht="15.75" customHeight="1">
      <c r="B510" s="94"/>
    </row>
    <row r="511" ht="15.75" customHeight="1">
      <c r="B511" s="94"/>
    </row>
    <row r="512" ht="15.75" customHeight="1">
      <c r="B512" s="94"/>
    </row>
    <row r="513" ht="15.75" customHeight="1">
      <c r="B513" s="94"/>
    </row>
    <row r="514" ht="15.75" customHeight="1">
      <c r="B514" s="94"/>
    </row>
    <row r="515" ht="15.75" customHeight="1">
      <c r="B515" s="94"/>
    </row>
    <row r="516" ht="15.75" customHeight="1">
      <c r="B516" s="94"/>
    </row>
    <row r="517" ht="15.75" customHeight="1">
      <c r="B517" s="94"/>
    </row>
    <row r="518" ht="15.75" customHeight="1">
      <c r="B518" s="94"/>
    </row>
    <row r="519" ht="15.75" customHeight="1">
      <c r="B519" s="94"/>
    </row>
    <row r="520" ht="15.75" customHeight="1">
      <c r="B520" s="94"/>
    </row>
    <row r="521" ht="15.75" customHeight="1">
      <c r="B521" s="94"/>
    </row>
    <row r="522" ht="15.75" customHeight="1">
      <c r="B522" s="94"/>
    </row>
    <row r="523" ht="15.75" customHeight="1">
      <c r="B523" s="94"/>
    </row>
    <row r="524" ht="15.75" customHeight="1">
      <c r="B524" s="94"/>
    </row>
    <row r="525" ht="15.75" customHeight="1">
      <c r="B525" s="94"/>
    </row>
    <row r="526" ht="15.75" customHeight="1">
      <c r="B526" s="94"/>
    </row>
    <row r="527" ht="15.75" customHeight="1">
      <c r="B527" s="94"/>
    </row>
    <row r="528" ht="15.75" customHeight="1">
      <c r="B528" s="94"/>
    </row>
    <row r="529" ht="15.75" customHeight="1">
      <c r="B529" s="94"/>
    </row>
    <row r="530" ht="15.75" customHeight="1">
      <c r="B530" s="94"/>
    </row>
    <row r="531" ht="15.75" customHeight="1">
      <c r="B531" s="94"/>
    </row>
    <row r="532" ht="15.75" customHeight="1">
      <c r="B532" s="94"/>
    </row>
    <row r="533" ht="15.75" customHeight="1">
      <c r="B533" s="94"/>
    </row>
    <row r="534" ht="15.75" customHeight="1">
      <c r="B534" s="94"/>
    </row>
    <row r="535" ht="15.75" customHeight="1">
      <c r="B535" s="94"/>
    </row>
    <row r="536" ht="15.75" customHeight="1">
      <c r="B536" s="94"/>
    </row>
    <row r="537" ht="15.75" customHeight="1">
      <c r="B537" s="94"/>
    </row>
    <row r="538" ht="15.75" customHeight="1">
      <c r="B538" s="94"/>
    </row>
    <row r="539" ht="15.75" customHeight="1">
      <c r="B539" s="94"/>
    </row>
    <row r="540" ht="15.75" customHeight="1">
      <c r="B540" s="94"/>
    </row>
    <row r="541" ht="15.75" customHeight="1">
      <c r="B541" s="94"/>
    </row>
    <row r="542" ht="15.75" customHeight="1">
      <c r="B542" s="94"/>
    </row>
    <row r="543" ht="15.75" customHeight="1">
      <c r="B543" s="94"/>
    </row>
    <row r="544" ht="15.75" customHeight="1">
      <c r="B544" s="94"/>
    </row>
    <row r="545" ht="15.75" customHeight="1">
      <c r="B545" s="94"/>
    </row>
    <row r="546" ht="15.75" customHeight="1">
      <c r="B546" s="94"/>
    </row>
    <row r="547" ht="15.75" customHeight="1">
      <c r="B547" s="94"/>
    </row>
    <row r="548" ht="15.75" customHeight="1">
      <c r="B548" s="94"/>
    </row>
    <row r="549" ht="15.75" customHeight="1">
      <c r="B549" s="94"/>
    </row>
    <row r="550" ht="15.75" customHeight="1">
      <c r="B550" s="94"/>
    </row>
    <row r="551" ht="15.75" customHeight="1">
      <c r="B551" s="94"/>
    </row>
    <row r="552" ht="15.75" customHeight="1">
      <c r="B552" s="94"/>
    </row>
    <row r="553" ht="15.75" customHeight="1">
      <c r="B553" s="94"/>
    </row>
    <row r="554" ht="15.75" customHeight="1">
      <c r="B554" s="94"/>
    </row>
    <row r="555" ht="15.75" customHeight="1">
      <c r="B555" s="94"/>
    </row>
    <row r="556" ht="15.75" customHeight="1">
      <c r="B556" s="94"/>
    </row>
    <row r="557" ht="15.75" customHeight="1">
      <c r="B557" s="94"/>
    </row>
    <row r="558" ht="15.75" customHeight="1">
      <c r="B558" s="94"/>
    </row>
    <row r="559" ht="15.75" customHeight="1">
      <c r="B559" s="94"/>
    </row>
    <row r="560" ht="15.75" customHeight="1">
      <c r="B560" s="94"/>
    </row>
    <row r="561" ht="15.75" customHeight="1">
      <c r="B561" s="94"/>
    </row>
    <row r="562" ht="15.75" customHeight="1">
      <c r="B562" s="94"/>
    </row>
    <row r="563" ht="15.75" customHeight="1">
      <c r="B563" s="94"/>
    </row>
    <row r="564" ht="15.75" customHeight="1">
      <c r="B564" s="94"/>
    </row>
    <row r="565" ht="15.75" customHeight="1">
      <c r="B565" s="94"/>
    </row>
    <row r="566" ht="15.75" customHeight="1">
      <c r="B566" s="94"/>
    </row>
    <row r="567" ht="15.75" customHeight="1">
      <c r="B567" s="94"/>
    </row>
    <row r="568" ht="15.75" customHeight="1">
      <c r="B568" s="94"/>
    </row>
    <row r="569" ht="15.75" customHeight="1">
      <c r="B569" s="94"/>
    </row>
    <row r="570" ht="15.75" customHeight="1">
      <c r="B570" s="94"/>
    </row>
    <row r="571" ht="15.75" customHeight="1">
      <c r="B571" s="94"/>
    </row>
    <row r="572" ht="15.75" customHeight="1">
      <c r="B572" s="94"/>
    </row>
    <row r="573" ht="15.75" customHeight="1">
      <c r="B573" s="94"/>
    </row>
    <row r="574" ht="15.75" customHeight="1">
      <c r="B574" s="94"/>
    </row>
    <row r="575" ht="15.75" customHeight="1">
      <c r="B575" s="94"/>
    </row>
    <row r="576" ht="15.75" customHeight="1">
      <c r="B576" s="94"/>
    </row>
    <row r="577" ht="15.75" customHeight="1">
      <c r="B577" s="94"/>
    </row>
    <row r="578" ht="15.75" customHeight="1">
      <c r="B578" s="94"/>
    </row>
    <row r="579" ht="15.75" customHeight="1">
      <c r="B579" s="94"/>
    </row>
    <row r="580" ht="15.75" customHeight="1">
      <c r="B580" s="94"/>
    </row>
    <row r="581" ht="15.75" customHeight="1">
      <c r="B581" s="94"/>
    </row>
    <row r="582" ht="15.75" customHeight="1">
      <c r="B582" s="94"/>
    </row>
    <row r="583" ht="15.75" customHeight="1">
      <c r="B583" s="94"/>
    </row>
    <row r="584" ht="15.75" customHeight="1">
      <c r="B584" s="94"/>
    </row>
    <row r="585" ht="15.75" customHeight="1">
      <c r="B585" s="94"/>
    </row>
    <row r="586" ht="15.75" customHeight="1">
      <c r="B586" s="94"/>
    </row>
    <row r="587" ht="15.75" customHeight="1">
      <c r="B587" s="94"/>
    </row>
    <row r="588" ht="15.75" customHeight="1">
      <c r="B588" s="94"/>
    </row>
    <row r="589" ht="15.75" customHeight="1">
      <c r="B589" s="94"/>
    </row>
    <row r="590" ht="15.75" customHeight="1">
      <c r="B590" s="94"/>
    </row>
    <row r="591" ht="15.75" customHeight="1">
      <c r="B591" s="94"/>
    </row>
    <row r="592" ht="15.75" customHeight="1">
      <c r="B592" s="94"/>
    </row>
    <row r="593" ht="15.75" customHeight="1">
      <c r="B593" s="94"/>
    </row>
    <row r="594" ht="15.75" customHeight="1">
      <c r="B594" s="94"/>
    </row>
    <row r="595" ht="15.75" customHeight="1">
      <c r="B595" s="94"/>
    </row>
    <row r="596" ht="15.75" customHeight="1">
      <c r="B596" s="94"/>
    </row>
    <row r="597" ht="15.75" customHeight="1">
      <c r="B597" s="94"/>
    </row>
    <row r="598" ht="15.75" customHeight="1">
      <c r="B598" s="94"/>
    </row>
    <row r="599" ht="15.75" customHeight="1">
      <c r="B599" s="94"/>
    </row>
    <row r="600" ht="15.75" customHeight="1">
      <c r="B600" s="94"/>
    </row>
    <row r="601" ht="15.75" customHeight="1">
      <c r="B601" s="94"/>
    </row>
    <row r="602" ht="15.75" customHeight="1">
      <c r="B602" s="94"/>
    </row>
    <row r="603" ht="15.75" customHeight="1">
      <c r="B603" s="94"/>
    </row>
    <row r="604" ht="15.75" customHeight="1">
      <c r="B604" s="94"/>
    </row>
    <row r="605" ht="15.75" customHeight="1">
      <c r="B605" s="94"/>
    </row>
    <row r="606" ht="15.75" customHeight="1">
      <c r="B606" s="94"/>
    </row>
    <row r="607" ht="15.75" customHeight="1">
      <c r="B607" s="94"/>
    </row>
    <row r="608" ht="15.75" customHeight="1">
      <c r="B608" s="94"/>
    </row>
    <row r="609" ht="15.75" customHeight="1">
      <c r="B609" s="94"/>
    </row>
    <row r="610" ht="15.75" customHeight="1">
      <c r="B610" s="94"/>
    </row>
    <row r="611" ht="15.75" customHeight="1">
      <c r="B611" s="94"/>
    </row>
    <row r="612" ht="15.75" customHeight="1">
      <c r="B612" s="94"/>
    </row>
    <row r="613" ht="15.75" customHeight="1">
      <c r="B613" s="94"/>
    </row>
    <row r="614" ht="15.75" customHeight="1">
      <c r="B614" s="94"/>
    </row>
    <row r="615" ht="15.75" customHeight="1">
      <c r="B615" s="94"/>
    </row>
    <row r="616" ht="15.75" customHeight="1">
      <c r="B616" s="94"/>
    </row>
    <row r="617" ht="15.75" customHeight="1">
      <c r="B617" s="94"/>
    </row>
    <row r="618" ht="15.75" customHeight="1">
      <c r="B618" s="94"/>
    </row>
    <row r="619" ht="15.75" customHeight="1">
      <c r="B619" s="94"/>
    </row>
    <row r="620" ht="15.75" customHeight="1">
      <c r="B620" s="94"/>
    </row>
    <row r="621" ht="15.75" customHeight="1">
      <c r="B621" s="94"/>
    </row>
    <row r="622" ht="15.75" customHeight="1">
      <c r="B622" s="94"/>
    </row>
    <row r="623" ht="15.75" customHeight="1">
      <c r="B623" s="94"/>
    </row>
    <row r="624" ht="15.75" customHeight="1">
      <c r="B624" s="94"/>
    </row>
    <row r="625" ht="15.75" customHeight="1">
      <c r="B625" s="94"/>
    </row>
    <row r="626" ht="15.75" customHeight="1">
      <c r="B626" s="94"/>
    </row>
    <row r="627" ht="15.75" customHeight="1">
      <c r="B627" s="94"/>
    </row>
    <row r="628" ht="15.75" customHeight="1">
      <c r="B628" s="94"/>
    </row>
    <row r="629" ht="15.75" customHeight="1">
      <c r="B629" s="94"/>
    </row>
    <row r="630" ht="15.75" customHeight="1">
      <c r="B630" s="94"/>
    </row>
    <row r="631" ht="15.75" customHeight="1">
      <c r="B631" s="94"/>
    </row>
    <row r="632" ht="15.75" customHeight="1">
      <c r="B632" s="94"/>
    </row>
    <row r="633" ht="15.75" customHeight="1">
      <c r="B633" s="94"/>
    </row>
    <row r="634" ht="15.75" customHeight="1">
      <c r="B634" s="94"/>
    </row>
    <row r="635" ht="15.75" customHeight="1">
      <c r="B635" s="94"/>
    </row>
    <row r="636" ht="15.75" customHeight="1">
      <c r="B636" s="94"/>
    </row>
    <row r="637" ht="15.75" customHeight="1">
      <c r="B637" s="94"/>
    </row>
    <row r="638" ht="15.75" customHeight="1">
      <c r="B638" s="94"/>
    </row>
    <row r="639" ht="15.75" customHeight="1">
      <c r="B639" s="94"/>
    </row>
    <row r="640" ht="15.75" customHeight="1">
      <c r="B640" s="94"/>
    </row>
    <row r="641" ht="15.75" customHeight="1">
      <c r="B641" s="94"/>
    </row>
    <row r="642" ht="15.75" customHeight="1">
      <c r="B642" s="94"/>
    </row>
    <row r="643" ht="15.75" customHeight="1">
      <c r="B643" s="94"/>
    </row>
    <row r="644" ht="15.75" customHeight="1">
      <c r="B644" s="94"/>
    </row>
    <row r="645" ht="15.75" customHeight="1">
      <c r="B645" s="94"/>
    </row>
    <row r="646" ht="15.75" customHeight="1">
      <c r="B646" s="94"/>
    </row>
    <row r="647" ht="15.75" customHeight="1">
      <c r="B647" s="94"/>
    </row>
    <row r="648" ht="15.75" customHeight="1">
      <c r="B648" s="94"/>
    </row>
    <row r="649" ht="15.75" customHeight="1">
      <c r="B649" s="94"/>
    </row>
    <row r="650" ht="15.75" customHeight="1">
      <c r="B650" s="94"/>
    </row>
    <row r="651" ht="15.75" customHeight="1">
      <c r="B651" s="94"/>
    </row>
    <row r="652" ht="15.75" customHeight="1">
      <c r="B652" s="94"/>
    </row>
    <row r="653" ht="15.75" customHeight="1">
      <c r="B653" s="94"/>
    </row>
    <row r="654" ht="15.75" customHeight="1">
      <c r="B654" s="94"/>
    </row>
    <row r="655" ht="15.75" customHeight="1">
      <c r="B655" s="94"/>
    </row>
    <row r="656" ht="15.75" customHeight="1">
      <c r="B656" s="94"/>
    </row>
    <row r="657" ht="15.75" customHeight="1">
      <c r="B657" s="94"/>
    </row>
    <row r="658" ht="15.75" customHeight="1">
      <c r="B658" s="94"/>
    </row>
    <row r="659" ht="15.75" customHeight="1">
      <c r="B659" s="94"/>
    </row>
    <row r="660" ht="15.75" customHeight="1">
      <c r="B660" s="94"/>
    </row>
    <row r="661" ht="15.75" customHeight="1">
      <c r="B661" s="94"/>
    </row>
    <row r="662" ht="15.75" customHeight="1">
      <c r="B662" s="94"/>
    </row>
    <row r="663" ht="15.75" customHeight="1">
      <c r="B663" s="94"/>
    </row>
    <row r="664" ht="15.75" customHeight="1">
      <c r="B664" s="94"/>
    </row>
    <row r="665" ht="15.75" customHeight="1">
      <c r="B665" s="94"/>
    </row>
    <row r="666" ht="15.75" customHeight="1">
      <c r="B666" s="94"/>
    </row>
    <row r="667" ht="15.75" customHeight="1">
      <c r="B667" s="94"/>
    </row>
    <row r="668" ht="15.75" customHeight="1">
      <c r="B668" s="94"/>
    </row>
    <row r="669" ht="15.75" customHeight="1">
      <c r="B669" s="94"/>
    </row>
    <row r="670" ht="15.75" customHeight="1">
      <c r="B670" s="94"/>
    </row>
    <row r="671" ht="15.75" customHeight="1">
      <c r="B671" s="94"/>
    </row>
    <row r="672" ht="15.75" customHeight="1">
      <c r="B672" s="94"/>
    </row>
    <row r="673" ht="15.75" customHeight="1">
      <c r="B673" s="94"/>
    </row>
    <row r="674" ht="15.75" customHeight="1">
      <c r="B674" s="94"/>
    </row>
    <row r="675" ht="15.75" customHeight="1">
      <c r="B675" s="94"/>
    </row>
    <row r="676" ht="15.75" customHeight="1">
      <c r="B676" s="94"/>
    </row>
    <row r="677" ht="15.75" customHeight="1">
      <c r="B677" s="94"/>
    </row>
    <row r="678" ht="15.75" customHeight="1">
      <c r="B678" s="94"/>
    </row>
    <row r="679" ht="15.75" customHeight="1">
      <c r="B679" s="94"/>
    </row>
    <row r="680" ht="15.75" customHeight="1">
      <c r="B680" s="94"/>
    </row>
    <row r="681" ht="15.75" customHeight="1">
      <c r="B681" s="94"/>
    </row>
    <row r="682" ht="15.75" customHeight="1">
      <c r="B682" s="94"/>
    </row>
    <row r="683" ht="15.75" customHeight="1">
      <c r="B683" s="94"/>
    </row>
    <row r="684" ht="15.75" customHeight="1">
      <c r="B684" s="94"/>
    </row>
    <row r="685" ht="15.75" customHeight="1">
      <c r="B685" s="94"/>
    </row>
    <row r="686" ht="15.75" customHeight="1">
      <c r="B686" s="94"/>
    </row>
    <row r="687" ht="15.75" customHeight="1">
      <c r="B687" s="94"/>
    </row>
    <row r="688" ht="15.75" customHeight="1">
      <c r="B688" s="94"/>
    </row>
    <row r="689" ht="15.75" customHeight="1">
      <c r="B689" s="94"/>
    </row>
    <row r="690" ht="15.75" customHeight="1">
      <c r="B690" s="94"/>
    </row>
    <row r="691" ht="15.75" customHeight="1">
      <c r="B691" s="94"/>
    </row>
    <row r="692" ht="15.75" customHeight="1">
      <c r="B692" s="94"/>
    </row>
    <row r="693" ht="15.75" customHeight="1">
      <c r="B693" s="94"/>
    </row>
    <row r="694" ht="15.75" customHeight="1">
      <c r="B694" s="94"/>
    </row>
    <row r="695" ht="15.75" customHeight="1">
      <c r="B695" s="94"/>
    </row>
    <row r="696" ht="15.75" customHeight="1">
      <c r="B696" s="94"/>
    </row>
    <row r="697" ht="15.75" customHeight="1">
      <c r="B697" s="94"/>
    </row>
    <row r="698" ht="15.75" customHeight="1">
      <c r="B698" s="94"/>
    </row>
    <row r="699" ht="15.75" customHeight="1">
      <c r="B699" s="94"/>
    </row>
    <row r="700" ht="15.75" customHeight="1">
      <c r="B700" s="94"/>
    </row>
    <row r="701" ht="15.75" customHeight="1">
      <c r="B701" s="94"/>
    </row>
    <row r="702" ht="15.75" customHeight="1">
      <c r="B702" s="94"/>
    </row>
    <row r="703" ht="15.75" customHeight="1">
      <c r="B703" s="94"/>
    </row>
    <row r="704" ht="15.75" customHeight="1">
      <c r="B704" s="94"/>
    </row>
    <row r="705" ht="15.75" customHeight="1">
      <c r="B705" s="94"/>
    </row>
    <row r="706" ht="15.75" customHeight="1">
      <c r="B706" s="94"/>
    </row>
    <row r="707" ht="15.75" customHeight="1">
      <c r="B707" s="94"/>
    </row>
    <row r="708" ht="15.75" customHeight="1">
      <c r="B708" s="94"/>
    </row>
    <row r="709" ht="15.75" customHeight="1">
      <c r="B709" s="94"/>
    </row>
    <row r="710" ht="15.75" customHeight="1">
      <c r="B710" s="94"/>
    </row>
    <row r="711" ht="15.75" customHeight="1">
      <c r="B711" s="94"/>
    </row>
    <row r="712" ht="15.75" customHeight="1">
      <c r="B712" s="94"/>
    </row>
    <row r="713" ht="15.75" customHeight="1">
      <c r="B713" s="94"/>
    </row>
    <row r="714" ht="15.75" customHeight="1">
      <c r="B714" s="94"/>
    </row>
    <row r="715" ht="15.75" customHeight="1">
      <c r="B715" s="94"/>
    </row>
    <row r="716" ht="15.75" customHeight="1">
      <c r="B716" s="94"/>
    </row>
    <row r="717" ht="15.75" customHeight="1">
      <c r="B717" s="94"/>
    </row>
    <row r="718" ht="15.75" customHeight="1">
      <c r="B718" s="94"/>
    </row>
    <row r="719" ht="15.75" customHeight="1">
      <c r="B719" s="94"/>
    </row>
    <row r="720" ht="15.75" customHeight="1">
      <c r="B720" s="94"/>
    </row>
    <row r="721" ht="15.75" customHeight="1">
      <c r="B721" s="94"/>
    </row>
    <row r="722" ht="15.75" customHeight="1">
      <c r="B722" s="94"/>
    </row>
    <row r="723" ht="15.75" customHeight="1">
      <c r="B723" s="94"/>
    </row>
    <row r="724" ht="15.75" customHeight="1">
      <c r="B724" s="94"/>
    </row>
    <row r="725" ht="15.75" customHeight="1">
      <c r="B725" s="94"/>
    </row>
    <row r="726" ht="15.75" customHeight="1">
      <c r="B726" s="94"/>
    </row>
    <row r="727" ht="15.75" customHeight="1">
      <c r="B727" s="94"/>
    </row>
    <row r="728" ht="15.75" customHeight="1">
      <c r="B728" s="94"/>
    </row>
    <row r="729" ht="15.75" customHeight="1">
      <c r="B729" s="94"/>
    </row>
    <row r="730" ht="15.75" customHeight="1">
      <c r="B730" s="94"/>
    </row>
    <row r="731" ht="15.75" customHeight="1">
      <c r="B731" s="94"/>
    </row>
    <row r="732" ht="15.75" customHeight="1">
      <c r="B732" s="94"/>
    </row>
    <row r="733" ht="15.75" customHeight="1">
      <c r="B733" s="94"/>
    </row>
    <row r="734" ht="15.75" customHeight="1">
      <c r="B734" s="94"/>
    </row>
    <row r="735" ht="15.75" customHeight="1">
      <c r="B735" s="94"/>
    </row>
    <row r="736" ht="15.75" customHeight="1">
      <c r="B736" s="94"/>
    </row>
    <row r="737" ht="15.75" customHeight="1">
      <c r="B737" s="94"/>
    </row>
    <row r="738" ht="15.75" customHeight="1">
      <c r="B738" s="94"/>
    </row>
    <row r="739" ht="15.75" customHeight="1">
      <c r="B739" s="94"/>
    </row>
    <row r="740" ht="15.75" customHeight="1">
      <c r="B740" s="94"/>
    </row>
    <row r="741" ht="15.75" customHeight="1">
      <c r="B741" s="94"/>
    </row>
    <row r="742" ht="15.75" customHeight="1">
      <c r="B742" s="94"/>
    </row>
    <row r="743" ht="15.75" customHeight="1">
      <c r="B743" s="94"/>
    </row>
    <row r="744" ht="15.75" customHeight="1">
      <c r="B744" s="94"/>
    </row>
    <row r="745" ht="15.75" customHeight="1">
      <c r="B745" s="94"/>
    </row>
    <row r="746" ht="15.75" customHeight="1">
      <c r="B746" s="94"/>
    </row>
    <row r="747" ht="15.75" customHeight="1">
      <c r="B747" s="94"/>
    </row>
    <row r="748" ht="15.75" customHeight="1">
      <c r="B748" s="94"/>
    </row>
    <row r="749" ht="15.75" customHeight="1">
      <c r="B749" s="94"/>
    </row>
    <row r="750" ht="15.75" customHeight="1">
      <c r="B750" s="94"/>
    </row>
    <row r="751" ht="15.75" customHeight="1">
      <c r="B751" s="94"/>
    </row>
    <row r="752" ht="15.75" customHeight="1">
      <c r="B752" s="94"/>
    </row>
    <row r="753" ht="15.75" customHeight="1">
      <c r="B753" s="94"/>
    </row>
    <row r="754" ht="15.75" customHeight="1">
      <c r="B754" s="94"/>
    </row>
    <row r="755" ht="15.75" customHeight="1">
      <c r="B755" s="94"/>
    </row>
    <row r="756" ht="15.75" customHeight="1">
      <c r="B756" s="94"/>
    </row>
    <row r="757" ht="15.75" customHeight="1">
      <c r="B757" s="94"/>
    </row>
    <row r="758" ht="15.75" customHeight="1">
      <c r="B758" s="94"/>
    </row>
    <row r="759" ht="15.75" customHeight="1">
      <c r="B759" s="94"/>
    </row>
    <row r="760" ht="15.75" customHeight="1">
      <c r="B760" s="94"/>
    </row>
    <row r="761" ht="15.75" customHeight="1">
      <c r="B761" s="94"/>
    </row>
    <row r="762" ht="15.75" customHeight="1">
      <c r="B762" s="94"/>
    </row>
    <row r="763" ht="15.75" customHeight="1">
      <c r="B763" s="94"/>
    </row>
    <row r="764" ht="15.75" customHeight="1">
      <c r="B764" s="94"/>
    </row>
    <row r="765" ht="15.75" customHeight="1">
      <c r="B765" s="94"/>
    </row>
    <row r="766" ht="15.75" customHeight="1">
      <c r="B766" s="94"/>
    </row>
    <row r="767" ht="15.75" customHeight="1">
      <c r="B767" s="94"/>
    </row>
    <row r="768" ht="15.75" customHeight="1">
      <c r="B768" s="94"/>
    </row>
    <row r="769" ht="15.75" customHeight="1">
      <c r="B769" s="94"/>
    </row>
    <row r="770" ht="15.75" customHeight="1">
      <c r="B770" s="94"/>
    </row>
    <row r="771" ht="15.75" customHeight="1">
      <c r="B771" s="94"/>
    </row>
    <row r="772" ht="15.75" customHeight="1">
      <c r="B772" s="94"/>
    </row>
    <row r="773" ht="15.75" customHeight="1">
      <c r="B773" s="94"/>
    </row>
    <row r="774" ht="15.75" customHeight="1">
      <c r="B774" s="94"/>
    </row>
    <row r="775" ht="15.75" customHeight="1">
      <c r="B775" s="94"/>
    </row>
    <row r="776" ht="15.75" customHeight="1">
      <c r="B776" s="94"/>
    </row>
    <row r="777" ht="15.75" customHeight="1">
      <c r="B777" s="94"/>
    </row>
    <row r="778" ht="15.75" customHeight="1">
      <c r="B778" s="94"/>
    </row>
    <row r="779" ht="15.75" customHeight="1">
      <c r="B779" s="94"/>
    </row>
    <row r="780" ht="15.75" customHeight="1">
      <c r="B780" s="94"/>
    </row>
    <row r="781" ht="15.75" customHeight="1">
      <c r="B781" s="94"/>
    </row>
    <row r="782" ht="15.75" customHeight="1">
      <c r="B782" s="94"/>
    </row>
    <row r="783" ht="15.75" customHeight="1">
      <c r="B783" s="94"/>
    </row>
    <row r="784" ht="15.75" customHeight="1">
      <c r="B784" s="94"/>
    </row>
    <row r="785" ht="15.75" customHeight="1">
      <c r="B785" s="94"/>
    </row>
    <row r="786" ht="15.75" customHeight="1">
      <c r="B786" s="94"/>
    </row>
    <row r="787" ht="15.75" customHeight="1">
      <c r="B787" s="94"/>
    </row>
    <row r="788" ht="15.75" customHeight="1">
      <c r="B788" s="94"/>
    </row>
    <row r="789" ht="15.75" customHeight="1">
      <c r="B789" s="94"/>
    </row>
    <row r="790" ht="15.75" customHeight="1">
      <c r="B790" s="94"/>
    </row>
    <row r="791" ht="15.75" customHeight="1">
      <c r="B791" s="94"/>
    </row>
    <row r="792" ht="15.75" customHeight="1">
      <c r="B792" s="94"/>
    </row>
    <row r="793" ht="15.75" customHeight="1">
      <c r="B793" s="94"/>
    </row>
    <row r="794" ht="15.75" customHeight="1">
      <c r="B794" s="94"/>
    </row>
    <row r="795" ht="15.75" customHeight="1">
      <c r="B795" s="94"/>
    </row>
    <row r="796" ht="15.75" customHeight="1">
      <c r="B796" s="94"/>
    </row>
    <row r="797" ht="15.75" customHeight="1">
      <c r="B797" s="94"/>
    </row>
    <row r="798" ht="15.75" customHeight="1">
      <c r="B798" s="94"/>
    </row>
    <row r="799" ht="15.75" customHeight="1">
      <c r="B799" s="94"/>
    </row>
    <row r="800" ht="15.75" customHeight="1">
      <c r="B800" s="94"/>
    </row>
    <row r="801" ht="15.75" customHeight="1">
      <c r="B801" s="94"/>
    </row>
    <row r="802" ht="15.75" customHeight="1">
      <c r="B802" s="94"/>
    </row>
    <row r="803" ht="15.75" customHeight="1">
      <c r="B803" s="94"/>
    </row>
    <row r="804" ht="15.75" customHeight="1">
      <c r="B804" s="94"/>
    </row>
    <row r="805" ht="15.75" customHeight="1">
      <c r="B805" s="94"/>
    </row>
    <row r="806" ht="15.75" customHeight="1">
      <c r="B806" s="94"/>
    </row>
    <row r="807" ht="15.75" customHeight="1">
      <c r="B807" s="94"/>
    </row>
    <row r="808" ht="15.75" customHeight="1">
      <c r="B808" s="94"/>
    </row>
    <row r="809" ht="15.75" customHeight="1">
      <c r="B809" s="94"/>
    </row>
    <row r="810" ht="15.75" customHeight="1">
      <c r="B810" s="94"/>
    </row>
    <row r="811" ht="15.75" customHeight="1">
      <c r="B811" s="94"/>
    </row>
    <row r="812" ht="15.75" customHeight="1">
      <c r="B812" s="94"/>
    </row>
    <row r="813" ht="15.75" customHeight="1">
      <c r="B813" s="94"/>
    </row>
    <row r="814" ht="15.75" customHeight="1">
      <c r="B814" s="94"/>
    </row>
    <row r="815" ht="15.75" customHeight="1">
      <c r="B815" s="94"/>
    </row>
    <row r="816" ht="15.75" customHeight="1">
      <c r="B816" s="94"/>
    </row>
    <row r="817" ht="15.75" customHeight="1">
      <c r="B817" s="94"/>
    </row>
    <row r="818" ht="15.75" customHeight="1">
      <c r="B818" s="94"/>
    </row>
    <row r="819" ht="15.75" customHeight="1">
      <c r="B819" s="94"/>
    </row>
    <row r="820" ht="15.75" customHeight="1">
      <c r="B820" s="94"/>
    </row>
    <row r="821" ht="15.75" customHeight="1">
      <c r="B821" s="94"/>
    </row>
    <row r="822" ht="15.75" customHeight="1">
      <c r="B822" s="94"/>
    </row>
    <row r="823" ht="15.75" customHeight="1">
      <c r="B823" s="94"/>
    </row>
    <row r="824" ht="15.75" customHeight="1">
      <c r="B824" s="94"/>
    </row>
    <row r="825" ht="15.75" customHeight="1">
      <c r="B825" s="94"/>
    </row>
    <row r="826" ht="15.75" customHeight="1">
      <c r="B826" s="94"/>
    </row>
    <row r="827" ht="15.75" customHeight="1">
      <c r="B827" s="94"/>
    </row>
    <row r="828" ht="15.75" customHeight="1">
      <c r="B828" s="94"/>
    </row>
    <row r="829" ht="15.75" customHeight="1">
      <c r="B829" s="94"/>
    </row>
    <row r="830" ht="15.75" customHeight="1">
      <c r="B830" s="94"/>
    </row>
    <row r="831" ht="15.75" customHeight="1">
      <c r="B831" s="94"/>
    </row>
    <row r="832" ht="15.75" customHeight="1">
      <c r="B832" s="94"/>
    </row>
    <row r="833" ht="15.75" customHeight="1">
      <c r="B833" s="94"/>
    </row>
    <row r="834" ht="15.75" customHeight="1">
      <c r="B834" s="94"/>
    </row>
    <row r="835" ht="15.75" customHeight="1">
      <c r="B835" s="94"/>
    </row>
    <row r="836" ht="15.75" customHeight="1">
      <c r="B836" s="94"/>
    </row>
    <row r="837" ht="15.75" customHeight="1">
      <c r="B837" s="94"/>
    </row>
    <row r="838" ht="15.75" customHeight="1">
      <c r="B838" s="94"/>
    </row>
    <row r="839" ht="15.75" customHeight="1">
      <c r="B839" s="94"/>
    </row>
    <row r="840" ht="15.75" customHeight="1">
      <c r="B840" s="94"/>
    </row>
    <row r="841" ht="15.75" customHeight="1">
      <c r="B841" s="94"/>
    </row>
    <row r="842" ht="15.75" customHeight="1">
      <c r="B842" s="94"/>
    </row>
    <row r="843" ht="15.75" customHeight="1">
      <c r="B843" s="94"/>
    </row>
    <row r="844" ht="15.75" customHeight="1">
      <c r="B844" s="94"/>
    </row>
    <row r="845" ht="15.75" customHeight="1">
      <c r="B845" s="94"/>
    </row>
    <row r="846" ht="15.75" customHeight="1">
      <c r="B846" s="94"/>
    </row>
    <row r="847" ht="15.75" customHeight="1">
      <c r="B847" s="94"/>
    </row>
    <row r="848" ht="15.75" customHeight="1">
      <c r="B848" s="94"/>
    </row>
    <row r="849" ht="15.75" customHeight="1">
      <c r="B849" s="94"/>
    </row>
    <row r="850" ht="15.75" customHeight="1">
      <c r="B850" s="94"/>
    </row>
    <row r="851" ht="15.75" customHeight="1">
      <c r="B851" s="94"/>
    </row>
    <row r="852" ht="15.75" customHeight="1">
      <c r="B852" s="94"/>
    </row>
    <row r="853" ht="15.75" customHeight="1">
      <c r="B853" s="94"/>
    </row>
    <row r="854" ht="15.75" customHeight="1">
      <c r="B854" s="94"/>
    </row>
    <row r="855" ht="15.75" customHeight="1">
      <c r="B855" s="94"/>
    </row>
    <row r="856" ht="15.75" customHeight="1">
      <c r="B856" s="94"/>
    </row>
    <row r="857" ht="15.75" customHeight="1">
      <c r="B857" s="94"/>
    </row>
    <row r="858" ht="15.75" customHeight="1">
      <c r="B858" s="94"/>
    </row>
    <row r="859" ht="15.75" customHeight="1">
      <c r="B859" s="94"/>
    </row>
    <row r="860" ht="15.75" customHeight="1">
      <c r="B860" s="94"/>
    </row>
    <row r="861" ht="15.75" customHeight="1">
      <c r="B861" s="94"/>
    </row>
    <row r="862" ht="15.75" customHeight="1">
      <c r="B862" s="94"/>
    </row>
    <row r="863" ht="15.75" customHeight="1">
      <c r="B863" s="94"/>
    </row>
    <row r="864" ht="15.75" customHeight="1">
      <c r="B864" s="94"/>
    </row>
    <row r="865" ht="15.75" customHeight="1">
      <c r="B865" s="94"/>
    </row>
    <row r="866" ht="15.75" customHeight="1">
      <c r="B866" s="94"/>
    </row>
    <row r="867" ht="15.75" customHeight="1">
      <c r="B867" s="94"/>
    </row>
    <row r="868" ht="15.75" customHeight="1">
      <c r="B868" s="94"/>
    </row>
    <row r="869" ht="15.75" customHeight="1">
      <c r="B869" s="94"/>
    </row>
    <row r="870" ht="15.75" customHeight="1">
      <c r="B870" s="94"/>
    </row>
    <row r="871" ht="15.75" customHeight="1">
      <c r="B871" s="94"/>
    </row>
    <row r="872" ht="15.75" customHeight="1">
      <c r="B872" s="94"/>
    </row>
    <row r="873" ht="15.75" customHeight="1">
      <c r="B873" s="94"/>
    </row>
    <row r="874" ht="15.75" customHeight="1">
      <c r="B874" s="94"/>
    </row>
    <row r="875" ht="15.75" customHeight="1">
      <c r="B875" s="94"/>
    </row>
    <row r="876" ht="15.75" customHeight="1">
      <c r="B876" s="94"/>
    </row>
    <row r="877" ht="15.75" customHeight="1">
      <c r="B877" s="94"/>
    </row>
    <row r="878" ht="15.75" customHeight="1">
      <c r="B878" s="94"/>
    </row>
    <row r="879" ht="15.75" customHeight="1">
      <c r="B879" s="94"/>
    </row>
    <row r="880" ht="15.75" customHeight="1">
      <c r="B880" s="94"/>
    </row>
    <row r="881" ht="15.75" customHeight="1">
      <c r="B881" s="94"/>
    </row>
    <row r="882" ht="15.75" customHeight="1">
      <c r="B882" s="94"/>
    </row>
    <row r="883" ht="15.75" customHeight="1">
      <c r="B883" s="94"/>
    </row>
    <row r="884" ht="15.75" customHeight="1">
      <c r="B884" s="94"/>
    </row>
    <row r="885" ht="15.75" customHeight="1">
      <c r="B885" s="94"/>
    </row>
    <row r="886" ht="15.75" customHeight="1">
      <c r="B886" s="94"/>
    </row>
    <row r="887" ht="15.75" customHeight="1">
      <c r="B887" s="94"/>
    </row>
    <row r="888" ht="15.75" customHeight="1">
      <c r="B888" s="94"/>
    </row>
    <row r="889" ht="15.75" customHeight="1">
      <c r="B889" s="94"/>
    </row>
    <row r="890" ht="15.75" customHeight="1">
      <c r="B890" s="94"/>
    </row>
    <row r="891" ht="15.75" customHeight="1">
      <c r="B891" s="94"/>
    </row>
    <row r="892" ht="15.75" customHeight="1">
      <c r="B892" s="94"/>
    </row>
    <row r="893" ht="15.75" customHeight="1">
      <c r="B893" s="94"/>
    </row>
    <row r="894" ht="15.75" customHeight="1">
      <c r="B894" s="94"/>
    </row>
    <row r="895" ht="15.75" customHeight="1">
      <c r="B895" s="94"/>
    </row>
    <row r="896" ht="15.75" customHeight="1">
      <c r="B896" s="94"/>
    </row>
    <row r="897" ht="15.75" customHeight="1">
      <c r="B897" s="94"/>
    </row>
    <row r="898" ht="15.75" customHeight="1">
      <c r="B898" s="94"/>
    </row>
    <row r="899" ht="15.75" customHeight="1">
      <c r="B899" s="94"/>
    </row>
    <row r="900" ht="15.75" customHeight="1">
      <c r="B900" s="94"/>
    </row>
    <row r="901" ht="15.75" customHeight="1">
      <c r="B901" s="94"/>
    </row>
    <row r="902" ht="15.75" customHeight="1">
      <c r="B902" s="94"/>
    </row>
    <row r="903" ht="15.75" customHeight="1">
      <c r="B903" s="94"/>
    </row>
    <row r="904" ht="15.75" customHeight="1">
      <c r="B904" s="94"/>
    </row>
    <row r="905" ht="15.75" customHeight="1">
      <c r="B905" s="94"/>
    </row>
    <row r="906" ht="15.75" customHeight="1">
      <c r="B906" s="94"/>
    </row>
    <row r="907" ht="15.75" customHeight="1">
      <c r="B907" s="94"/>
    </row>
    <row r="908" ht="15.75" customHeight="1">
      <c r="B908" s="94"/>
    </row>
    <row r="909" ht="15.75" customHeight="1">
      <c r="B909" s="94"/>
    </row>
    <row r="910" ht="15.75" customHeight="1">
      <c r="B910" s="94"/>
    </row>
    <row r="911" ht="15.75" customHeight="1">
      <c r="B911" s="94"/>
    </row>
    <row r="912" ht="15.75" customHeight="1">
      <c r="B912" s="94"/>
    </row>
    <row r="913" ht="15.75" customHeight="1">
      <c r="B913" s="94"/>
    </row>
    <row r="914" ht="15.75" customHeight="1">
      <c r="B914" s="94"/>
    </row>
    <row r="915" ht="15.75" customHeight="1">
      <c r="B915" s="94"/>
    </row>
    <row r="916" ht="15.75" customHeight="1">
      <c r="B916" s="94"/>
    </row>
    <row r="917" ht="15.75" customHeight="1">
      <c r="B917" s="94"/>
    </row>
    <row r="918" ht="15.75" customHeight="1">
      <c r="B918" s="94"/>
    </row>
    <row r="919" ht="15.75" customHeight="1">
      <c r="B919" s="94"/>
    </row>
    <row r="920" ht="15.75" customHeight="1">
      <c r="B920" s="94"/>
    </row>
    <row r="921" ht="15.75" customHeight="1">
      <c r="B921" s="94"/>
    </row>
    <row r="922" ht="15.75" customHeight="1">
      <c r="B922" s="94"/>
    </row>
    <row r="923" ht="15.75" customHeight="1">
      <c r="B923" s="94"/>
    </row>
    <row r="924" ht="15.75" customHeight="1">
      <c r="B924" s="94"/>
    </row>
    <row r="925" ht="15.75" customHeight="1">
      <c r="B925" s="94"/>
    </row>
    <row r="926" ht="15.75" customHeight="1">
      <c r="B926" s="94"/>
    </row>
    <row r="927" ht="15.75" customHeight="1">
      <c r="B927" s="94"/>
    </row>
    <row r="928" ht="15.75" customHeight="1">
      <c r="B928" s="94"/>
    </row>
    <row r="929" ht="15.75" customHeight="1">
      <c r="B929" s="94"/>
    </row>
    <row r="930" ht="15.75" customHeight="1">
      <c r="B930" s="94"/>
    </row>
    <row r="931" ht="15.75" customHeight="1">
      <c r="B931" s="94"/>
    </row>
    <row r="932" ht="15.75" customHeight="1">
      <c r="B932" s="94"/>
    </row>
    <row r="933" ht="15.75" customHeight="1">
      <c r="B933" s="94"/>
    </row>
    <row r="934" ht="15.75" customHeight="1">
      <c r="B934" s="94"/>
    </row>
    <row r="935" ht="15.75" customHeight="1">
      <c r="B935" s="94"/>
    </row>
    <row r="936" ht="15.75" customHeight="1">
      <c r="B936" s="94"/>
    </row>
    <row r="937" ht="15.75" customHeight="1">
      <c r="B937" s="94"/>
    </row>
    <row r="938" ht="15.75" customHeight="1">
      <c r="B938" s="94"/>
    </row>
    <row r="939" ht="15.75" customHeight="1">
      <c r="B939" s="94"/>
    </row>
    <row r="940" ht="15.75" customHeight="1">
      <c r="B940" s="94"/>
    </row>
    <row r="941" ht="15.75" customHeight="1">
      <c r="B941" s="94"/>
    </row>
    <row r="942" ht="15.75" customHeight="1">
      <c r="B942" s="94"/>
    </row>
    <row r="943" ht="15.75" customHeight="1">
      <c r="B943" s="94"/>
    </row>
    <row r="944" ht="15.75" customHeight="1">
      <c r="B944" s="94"/>
    </row>
    <row r="945" ht="15.75" customHeight="1">
      <c r="B945" s="94"/>
    </row>
    <row r="946" ht="15.75" customHeight="1">
      <c r="B946" s="94"/>
    </row>
    <row r="947" ht="15.75" customHeight="1">
      <c r="B947" s="94"/>
    </row>
    <row r="948" ht="15.75" customHeight="1">
      <c r="B948" s="94"/>
    </row>
    <row r="949" ht="15.75" customHeight="1">
      <c r="B949" s="94"/>
    </row>
    <row r="950" ht="15.75" customHeight="1">
      <c r="B950" s="94"/>
    </row>
    <row r="951" ht="15.75" customHeight="1">
      <c r="B951" s="94"/>
    </row>
    <row r="952" ht="15.75" customHeight="1">
      <c r="B952" s="94"/>
    </row>
    <row r="953" ht="15.75" customHeight="1">
      <c r="B953" s="94"/>
    </row>
    <row r="954" ht="15.75" customHeight="1">
      <c r="B954" s="94"/>
    </row>
    <row r="955" ht="15.75" customHeight="1">
      <c r="B955" s="94"/>
    </row>
    <row r="956" ht="15.75" customHeight="1">
      <c r="B956" s="94"/>
    </row>
    <row r="957" ht="15.75" customHeight="1">
      <c r="B957" s="94"/>
    </row>
    <row r="958" ht="15.75" customHeight="1">
      <c r="B958" s="94"/>
    </row>
    <row r="959" ht="15.75" customHeight="1">
      <c r="B959" s="94"/>
    </row>
    <row r="960" ht="15.75" customHeight="1">
      <c r="B960" s="94"/>
    </row>
    <row r="961" ht="15.75" customHeight="1">
      <c r="B961" s="94"/>
    </row>
    <row r="962" ht="15.75" customHeight="1">
      <c r="B962" s="94"/>
    </row>
    <row r="963" ht="15.75" customHeight="1">
      <c r="B963" s="94"/>
    </row>
    <row r="964" ht="15.75" customHeight="1">
      <c r="B964" s="94"/>
    </row>
    <row r="965" ht="15.75" customHeight="1">
      <c r="B965" s="94"/>
    </row>
    <row r="966" ht="15.75" customHeight="1">
      <c r="B966" s="94"/>
    </row>
    <row r="967" ht="15.75" customHeight="1">
      <c r="B967" s="94"/>
    </row>
    <row r="968" ht="15.75" customHeight="1">
      <c r="B968" s="94"/>
    </row>
    <row r="969" ht="15.75" customHeight="1">
      <c r="B969" s="94"/>
    </row>
    <row r="970" ht="15.75" customHeight="1">
      <c r="B970" s="94"/>
    </row>
    <row r="971" ht="15.75" customHeight="1">
      <c r="B971" s="94"/>
    </row>
    <row r="972" ht="15.75" customHeight="1">
      <c r="B972" s="94"/>
    </row>
    <row r="973" ht="15.75" customHeight="1">
      <c r="B973" s="94"/>
    </row>
    <row r="974" ht="15.75" customHeight="1">
      <c r="B974" s="94"/>
    </row>
    <row r="975" ht="15.75" customHeight="1">
      <c r="B975" s="94"/>
    </row>
    <row r="976" ht="15.75" customHeight="1">
      <c r="B976" s="94"/>
    </row>
    <row r="977" ht="15.75" customHeight="1">
      <c r="B977" s="94"/>
    </row>
    <row r="978" ht="15.75" customHeight="1">
      <c r="B978" s="94"/>
    </row>
    <row r="979" ht="15.75" customHeight="1">
      <c r="B979" s="94"/>
    </row>
    <row r="980" ht="15.75" customHeight="1">
      <c r="B980" s="94"/>
    </row>
    <row r="981" ht="15.75" customHeight="1">
      <c r="B981" s="94"/>
    </row>
    <row r="982" ht="15.75" customHeight="1">
      <c r="B982" s="94"/>
    </row>
    <row r="983" ht="15.75" customHeight="1">
      <c r="B983" s="94"/>
    </row>
    <row r="984" ht="15.75" customHeight="1">
      <c r="B984" s="94"/>
    </row>
    <row r="985" ht="15.75" customHeight="1">
      <c r="B985" s="94"/>
    </row>
  </sheetData>
  <mergeCells count="51">
    <mergeCell ref="Q9:Q10"/>
    <mergeCell ref="R9:R10"/>
    <mergeCell ref="S9:S10"/>
    <mergeCell ref="T9:T10"/>
    <mergeCell ref="P7:Q7"/>
    <mergeCell ref="R7:S7"/>
    <mergeCell ref="V7:V10"/>
    <mergeCell ref="P8:Q8"/>
    <mergeCell ref="R8:S8"/>
    <mergeCell ref="T8:U8"/>
    <mergeCell ref="P9:P10"/>
    <mergeCell ref="U9:U10"/>
    <mergeCell ref="L7:M7"/>
    <mergeCell ref="N7:O7"/>
    <mergeCell ref="L8:M8"/>
    <mergeCell ref="N8:O8"/>
    <mergeCell ref="M1:T1"/>
    <mergeCell ref="A2:T2"/>
    <mergeCell ref="A3:T3"/>
    <mergeCell ref="A4:T4"/>
    <mergeCell ref="O6:Q6"/>
    <mergeCell ref="D7:E7"/>
    <mergeCell ref="F7:G7"/>
    <mergeCell ref="D9:D10"/>
    <mergeCell ref="E9:E10"/>
    <mergeCell ref="A54:C54"/>
    <mergeCell ref="D54:E54"/>
    <mergeCell ref="F9:F10"/>
    <mergeCell ref="G9:G10"/>
    <mergeCell ref="F54:G54"/>
    <mergeCell ref="H9:H10"/>
    <mergeCell ref="I9:I10"/>
    <mergeCell ref="H54:I54"/>
    <mergeCell ref="J54:K54"/>
    <mergeCell ref="L54:M54"/>
    <mergeCell ref="N54:O54"/>
    <mergeCell ref="P54:Q54"/>
    <mergeCell ref="R54:S54"/>
    <mergeCell ref="J9:J10"/>
    <mergeCell ref="K9:K10"/>
    <mergeCell ref="L9:L10"/>
    <mergeCell ref="M9:M10"/>
    <mergeCell ref="N9:N10"/>
    <mergeCell ref="O9:O10"/>
    <mergeCell ref="H7:I7"/>
    <mergeCell ref="J7:K7"/>
    <mergeCell ref="D8:E8"/>
    <mergeCell ref="F8:G8"/>
    <mergeCell ref="H8:I8"/>
    <mergeCell ref="J8:K8"/>
    <mergeCell ref="C9:C10"/>
  </mergeCells>
  <printOptions horizontalCentered="1"/>
  <pageMargins bottom="0.25" footer="0.0" header="0.0" left="0.0" right="0.25" top="0.5"/>
  <pageSetup paperSize="9" scale="8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13.25"/>
    <col customWidth="1" min="3" max="3" width="29.88"/>
    <col customWidth="1" min="4" max="4" width="4.13"/>
    <col customWidth="1" min="5" max="5" width="4.38"/>
    <col customWidth="1" min="6" max="6" width="3.88"/>
    <col customWidth="1" min="7" max="7" width="5.0"/>
    <col customWidth="1" min="8" max="8" width="3.88"/>
    <col customWidth="1" min="9" max="9" width="5.63"/>
    <col customWidth="1" min="10" max="10" width="4.13"/>
    <col customWidth="1" min="11" max="11" width="5.0"/>
    <col customWidth="1" min="12" max="12" width="4.75"/>
    <col customWidth="1" min="13" max="13" width="5.63"/>
    <col customWidth="1" min="14" max="14" width="4.63"/>
    <col customWidth="1" min="15" max="15" width="4.5"/>
    <col customWidth="1" min="16" max="16" width="3.88"/>
    <col customWidth="1" min="17" max="17" width="5.63"/>
    <col customWidth="1" min="18" max="19" width="4.88"/>
    <col customWidth="1" min="20" max="20" width="5.88"/>
    <col customWidth="1" min="21" max="21" width="5.25"/>
    <col customWidth="1" min="22" max="22" width="4.88"/>
  </cols>
  <sheetData>
    <row r="1" ht="12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4" t="s">
        <v>0</v>
      </c>
      <c r="N1" s="5"/>
      <c r="O1" s="5"/>
      <c r="P1" s="5"/>
      <c r="Q1" s="5"/>
      <c r="R1" s="5"/>
      <c r="S1" s="5"/>
      <c r="T1" s="6"/>
      <c r="U1" s="95"/>
      <c r="V1" s="95"/>
    </row>
    <row r="2" ht="23.25" customHeight="1">
      <c r="A2" s="7" t="s">
        <v>1</v>
      </c>
      <c r="U2" s="7"/>
      <c r="V2" s="7"/>
    </row>
    <row r="3" ht="21.75" customHeight="1">
      <c r="A3" s="8" t="s">
        <v>2</v>
      </c>
      <c r="U3" s="8"/>
      <c r="V3" s="8"/>
    </row>
    <row r="4" ht="11.25" customHeight="1">
      <c r="A4" s="96" t="s">
        <v>130</v>
      </c>
      <c r="U4" s="9"/>
      <c r="V4" s="9"/>
    </row>
    <row r="5" ht="18.0" customHeight="1">
      <c r="A5" s="10"/>
      <c r="B5" s="11"/>
      <c r="D5" s="10"/>
      <c r="E5" s="10"/>
      <c r="F5" s="10"/>
      <c r="G5" s="10"/>
      <c r="H5" s="10"/>
      <c r="I5" s="10"/>
      <c r="J5" s="10"/>
      <c r="K5" s="12"/>
      <c r="L5" s="10"/>
      <c r="M5" s="10"/>
      <c r="N5" s="13"/>
      <c r="O5" s="13"/>
      <c r="P5" s="13"/>
      <c r="Q5" s="13"/>
      <c r="R5" s="9"/>
      <c r="S5" s="9"/>
      <c r="T5" s="9"/>
      <c r="U5" s="9"/>
      <c r="V5" s="9"/>
    </row>
    <row r="6" ht="20.25" customHeight="1">
      <c r="A6" s="10"/>
      <c r="B6" s="11"/>
      <c r="C6" s="14" t="s">
        <v>4</v>
      </c>
      <c r="D6" s="13"/>
      <c r="E6" s="10"/>
      <c r="F6" s="10"/>
      <c r="G6" s="10"/>
      <c r="H6" s="15" t="s">
        <v>5</v>
      </c>
      <c r="I6" s="16" t="s">
        <v>6</v>
      </c>
      <c r="J6" s="10"/>
      <c r="K6" s="12"/>
      <c r="M6" s="10"/>
      <c r="N6" s="10"/>
      <c r="O6" s="17"/>
      <c r="R6" s="18"/>
      <c r="S6" s="18"/>
      <c r="T6" s="18"/>
      <c r="U6" s="18"/>
      <c r="V6" s="18"/>
    </row>
    <row r="7" ht="14.25" customHeight="1">
      <c r="A7" s="19" t="s">
        <v>8</v>
      </c>
      <c r="B7" s="20" t="s">
        <v>9</v>
      </c>
      <c r="C7" s="21" t="s">
        <v>10</v>
      </c>
      <c r="D7" s="23">
        <v>38.0</v>
      </c>
      <c r="E7" s="6"/>
      <c r="F7" s="97">
        <v>43.0</v>
      </c>
      <c r="G7" s="6"/>
      <c r="H7" s="23">
        <v>60.0</v>
      </c>
      <c r="I7" s="6"/>
      <c r="J7" s="23">
        <v>55.0</v>
      </c>
      <c r="K7" s="6"/>
      <c r="L7" s="23">
        <v>14.0</v>
      </c>
      <c r="M7" s="6"/>
      <c r="N7" s="23">
        <v>24.0</v>
      </c>
      <c r="O7" s="6"/>
      <c r="P7" s="23">
        <v>6.0</v>
      </c>
      <c r="Q7" s="6"/>
      <c r="R7" s="23" t="s">
        <v>131</v>
      </c>
      <c r="S7" s="6"/>
      <c r="T7" s="107">
        <v>11.0</v>
      </c>
      <c r="U7" s="108"/>
      <c r="V7" s="24" t="s">
        <v>11</v>
      </c>
    </row>
    <row r="8" ht="22.5" customHeight="1">
      <c r="A8" s="25"/>
      <c r="B8" s="26"/>
      <c r="C8" s="21" t="s">
        <v>12</v>
      </c>
      <c r="D8" s="27" t="s">
        <v>13</v>
      </c>
      <c r="E8" s="6"/>
      <c r="F8" s="23" t="s">
        <v>126</v>
      </c>
      <c r="G8" s="6"/>
      <c r="H8" s="28" t="s">
        <v>15</v>
      </c>
      <c r="I8" s="6"/>
      <c r="J8" s="28" t="s">
        <v>16</v>
      </c>
      <c r="K8" s="6"/>
      <c r="L8" s="28" t="s">
        <v>17</v>
      </c>
      <c r="M8" s="6"/>
      <c r="N8" s="28" t="s">
        <v>18</v>
      </c>
      <c r="O8" s="6"/>
      <c r="P8" s="28" t="s">
        <v>127</v>
      </c>
      <c r="Q8" s="6"/>
      <c r="R8" s="29" t="s">
        <v>19</v>
      </c>
      <c r="S8" s="6"/>
      <c r="T8" s="30" t="s">
        <v>20</v>
      </c>
      <c r="U8" s="6"/>
      <c r="V8" s="31"/>
    </row>
    <row r="9" ht="11.25" customHeight="1">
      <c r="A9" s="25"/>
      <c r="B9" s="26"/>
      <c r="C9" s="32" t="s">
        <v>21</v>
      </c>
      <c r="D9" s="34" t="s">
        <v>22</v>
      </c>
      <c r="E9" s="34" t="s">
        <v>23</v>
      </c>
      <c r="F9" s="34" t="s">
        <v>22</v>
      </c>
      <c r="G9" s="34" t="s">
        <v>23</v>
      </c>
      <c r="H9" s="34" t="s">
        <v>22</v>
      </c>
      <c r="I9" s="35" t="s">
        <v>23</v>
      </c>
      <c r="J9" s="34" t="s">
        <v>22</v>
      </c>
      <c r="K9" s="34" t="s">
        <v>23</v>
      </c>
      <c r="L9" s="34" t="s">
        <v>22</v>
      </c>
      <c r="M9" s="34" t="s">
        <v>23</v>
      </c>
      <c r="N9" s="34" t="s">
        <v>22</v>
      </c>
      <c r="O9" s="34" t="s">
        <v>23</v>
      </c>
      <c r="P9" s="34" t="s">
        <v>22</v>
      </c>
      <c r="Q9" s="34" t="s">
        <v>23</v>
      </c>
      <c r="R9" s="34" t="s">
        <v>22</v>
      </c>
      <c r="S9" s="36" t="s">
        <v>23</v>
      </c>
      <c r="T9" s="34" t="s">
        <v>22</v>
      </c>
      <c r="U9" s="34" t="s">
        <v>23</v>
      </c>
      <c r="V9" s="31"/>
    </row>
    <row r="10" ht="9.0" customHeight="1">
      <c r="A10" s="37"/>
      <c r="B10" s="38"/>
      <c r="C10" s="39"/>
      <c r="D10" s="39"/>
      <c r="E10" s="39"/>
      <c r="F10" s="31"/>
      <c r="G10" s="39"/>
      <c r="H10" s="39"/>
      <c r="I10" s="31"/>
      <c r="J10" s="31"/>
      <c r="K10" s="31"/>
      <c r="L10" s="31"/>
      <c r="M10" s="31"/>
      <c r="N10" s="31"/>
      <c r="O10" s="39"/>
      <c r="P10" s="31"/>
      <c r="Q10" s="39"/>
      <c r="R10" s="31"/>
      <c r="S10" s="39"/>
      <c r="T10" s="39"/>
      <c r="U10" s="39"/>
      <c r="V10" s="39"/>
    </row>
    <row r="11" ht="22.5" customHeight="1">
      <c r="A11" s="41">
        <v>1.0</v>
      </c>
      <c r="B11" s="42" t="s">
        <v>24</v>
      </c>
      <c r="C11" s="43" t="s">
        <v>25</v>
      </c>
      <c r="D11" s="109">
        <v>30.0</v>
      </c>
      <c r="E11" s="109">
        <v>78.94736842</v>
      </c>
      <c r="F11" s="46">
        <v>36.0</v>
      </c>
      <c r="G11" s="47">
        <v>84.0</v>
      </c>
      <c r="H11" s="48">
        <v>45.0</v>
      </c>
      <c r="I11" s="49">
        <f t="shared" ref="I11:I53" si="1">(H11/60)*100</f>
        <v>75</v>
      </c>
      <c r="J11" s="99">
        <v>48.0</v>
      </c>
      <c r="K11" s="100">
        <f t="shared" ref="K11:K53" si="2">J11/55*100</f>
        <v>87.27272727</v>
      </c>
      <c r="L11" s="52">
        <v>12.0</v>
      </c>
      <c r="M11" s="51">
        <f t="shared" ref="M11:M53" si="3">ROUND((L11/14)*100,0)</f>
        <v>86</v>
      </c>
      <c r="N11" s="52">
        <v>20.0</v>
      </c>
      <c r="O11" s="101">
        <f t="shared" ref="O11:O53" si="4">(N11/24)*100</f>
        <v>83.33333333</v>
      </c>
      <c r="P11" s="110">
        <v>6.0</v>
      </c>
      <c r="Q11" s="55">
        <f t="shared" ref="Q11:Q53" si="5">(P11/6)*100</f>
        <v>100</v>
      </c>
      <c r="R11" s="56">
        <v>8.0</v>
      </c>
      <c r="S11" s="57">
        <f t="shared" ref="S11:S32" si="6">ROUND((R11/11)*100,0)</f>
        <v>73</v>
      </c>
      <c r="T11" s="56">
        <v>10.0</v>
      </c>
      <c r="U11" s="111">
        <f>T11/T7*100</f>
        <v>90.90909091</v>
      </c>
      <c r="V11" s="55">
        <f t="shared" ref="V11:V53" si="7">average(E11,G11,I11,K11,M11,O11,Q11,S11,U11)</f>
        <v>84.27361333</v>
      </c>
    </row>
    <row r="12" ht="20.25" customHeight="1">
      <c r="A12" s="41">
        <v>2.0</v>
      </c>
      <c r="B12" s="58" t="s">
        <v>26</v>
      </c>
      <c r="C12" s="59" t="s">
        <v>27</v>
      </c>
      <c r="D12" s="112">
        <v>22.0</v>
      </c>
      <c r="E12" s="109">
        <v>57.89473684</v>
      </c>
      <c r="F12" s="60">
        <v>31.0</v>
      </c>
      <c r="G12" s="47">
        <v>72.0</v>
      </c>
      <c r="H12" s="48">
        <v>45.0</v>
      </c>
      <c r="I12" s="49">
        <f t="shared" si="1"/>
        <v>75</v>
      </c>
      <c r="J12" s="99">
        <v>39.0</v>
      </c>
      <c r="K12" s="100">
        <f t="shared" si="2"/>
        <v>70.90909091</v>
      </c>
      <c r="L12" s="52">
        <v>12.0</v>
      </c>
      <c r="M12" s="51">
        <f t="shared" si="3"/>
        <v>86</v>
      </c>
      <c r="N12" s="52">
        <v>18.0</v>
      </c>
      <c r="O12" s="101">
        <f t="shared" si="4"/>
        <v>75</v>
      </c>
      <c r="P12" s="110">
        <v>4.0</v>
      </c>
      <c r="Q12" s="55">
        <f t="shared" si="5"/>
        <v>66.66666667</v>
      </c>
      <c r="R12" s="56">
        <v>9.0</v>
      </c>
      <c r="S12" s="57">
        <f t="shared" si="6"/>
        <v>82</v>
      </c>
      <c r="T12" s="56">
        <v>5.0</v>
      </c>
      <c r="U12" s="111">
        <f>T12/T7*100</f>
        <v>45.45454545</v>
      </c>
      <c r="V12" s="55">
        <f t="shared" si="7"/>
        <v>70.10278221</v>
      </c>
    </row>
    <row r="13" ht="18.0" customHeight="1">
      <c r="A13" s="41">
        <v>3.0</v>
      </c>
      <c r="B13" s="58" t="s">
        <v>28</v>
      </c>
      <c r="C13" s="59" t="s">
        <v>29</v>
      </c>
      <c r="D13" s="112">
        <v>23.0</v>
      </c>
      <c r="E13" s="112">
        <v>60.52631579</v>
      </c>
      <c r="F13" s="60">
        <v>32.0</v>
      </c>
      <c r="G13" s="47">
        <v>75.0</v>
      </c>
      <c r="H13" s="48">
        <v>46.0</v>
      </c>
      <c r="I13" s="49">
        <f t="shared" si="1"/>
        <v>76.66666667</v>
      </c>
      <c r="J13" s="99">
        <v>48.0</v>
      </c>
      <c r="K13" s="100">
        <f t="shared" si="2"/>
        <v>87.27272727</v>
      </c>
      <c r="L13" s="52">
        <v>11.0</v>
      </c>
      <c r="M13" s="51">
        <f t="shared" si="3"/>
        <v>79</v>
      </c>
      <c r="N13" s="52">
        <v>21.0</v>
      </c>
      <c r="O13" s="101">
        <f t="shared" si="4"/>
        <v>87.5</v>
      </c>
      <c r="P13" s="110">
        <v>4.0</v>
      </c>
      <c r="Q13" s="55">
        <f t="shared" si="5"/>
        <v>66.66666667</v>
      </c>
      <c r="R13" s="56">
        <v>11.0</v>
      </c>
      <c r="S13" s="57">
        <f t="shared" si="6"/>
        <v>100</v>
      </c>
      <c r="T13" s="56">
        <v>10.0</v>
      </c>
      <c r="U13" s="111">
        <f>T13/T7*100</f>
        <v>90.90909091</v>
      </c>
      <c r="V13" s="55">
        <f t="shared" si="7"/>
        <v>80.39349637</v>
      </c>
    </row>
    <row r="14" ht="18.0" customHeight="1">
      <c r="A14" s="41">
        <v>4.0</v>
      </c>
      <c r="B14" s="58" t="s">
        <v>30</v>
      </c>
      <c r="C14" s="59" t="s">
        <v>31</v>
      </c>
      <c r="D14" s="112">
        <v>31.0</v>
      </c>
      <c r="E14" s="112">
        <v>81.57894737</v>
      </c>
      <c r="F14" s="60">
        <v>36.0</v>
      </c>
      <c r="G14" s="47">
        <v>84.0</v>
      </c>
      <c r="H14" s="48">
        <v>50.0</v>
      </c>
      <c r="I14" s="49">
        <f t="shared" si="1"/>
        <v>83.33333333</v>
      </c>
      <c r="J14" s="99">
        <v>49.0</v>
      </c>
      <c r="K14" s="100">
        <f t="shared" si="2"/>
        <v>89.09090909</v>
      </c>
      <c r="L14" s="52">
        <v>13.0</v>
      </c>
      <c r="M14" s="51">
        <f t="shared" si="3"/>
        <v>93</v>
      </c>
      <c r="N14" s="52">
        <v>21.0</v>
      </c>
      <c r="O14" s="101">
        <f t="shared" si="4"/>
        <v>87.5</v>
      </c>
      <c r="P14" s="110">
        <v>5.0</v>
      </c>
      <c r="Q14" s="55">
        <f t="shared" si="5"/>
        <v>83.33333333</v>
      </c>
      <c r="R14" s="56">
        <v>11.0</v>
      </c>
      <c r="S14" s="57">
        <f t="shared" si="6"/>
        <v>100</v>
      </c>
      <c r="T14" s="56">
        <v>9.0</v>
      </c>
      <c r="U14" s="111">
        <f>T14/T7*100</f>
        <v>81.81818182</v>
      </c>
      <c r="V14" s="55">
        <f t="shared" si="7"/>
        <v>87.07274499</v>
      </c>
    </row>
    <row r="15" ht="18.0" customHeight="1">
      <c r="A15" s="41">
        <v>5.0</v>
      </c>
      <c r="B15" s="58" t="s">
        <v>32</v>
      </c>
      <c r="C15" s="59" t="s">
        <v>33</v>
      </c>
      <c r="D15" s="112">
        <v>12.0</v>
      </c>
      <c r="E15" s="112">
        <v>31.57894737</v>
      </c>
      <c r="F15" s="60">
        <v>15.0</v>
      </c>
      <c r="G15" s="47">
        <v>35.0</v>
      </c>
      <c r="H15" s="48">
        <v>19.0</v>
      </c>
      <c r="I15" s="49">
        <f t="shared" si="1"/>
        <v>31.66666667</v>
      </c>
      <c r="J15" s="99">
        <v>17.0</v>
      </c>
      <c r="K15" s="100">
        <f t="shared" si="2"/>
        <v>30.90909091</v>
      </c>
      <c r="L15" s="52">
        <v>4.0</v>
      </c>
      <c r="M15" s="51">
        <f t="shared" si="3"/>
        <v>29</v>
      </c>
      <c r="N15" s="52">
        <v>8.0</v>
      </c>
      <c r="O15" s="101">
        <f t="shared" si="4"/>
        <v>33.33333333</v>
      </c>
      <c r="P15" s="110">
        <v>2.0</v>
      </c>
      <c r="Q15" s="55">
        <f t="shared" si="5"/>
        <v>33.33333333</v>
      </c>
      <c r="R15" s="56">
        <v>2.0</v>
      </c>
      <c r="S15" s="57">
        <f t="shared" si="6"/>
        <v>18</v>
      </c>
      <c r="T15" s="56">
        <v>3.0</v>
      </c>
      <c r="U15" s="111">
        <f>T15/T7*100</f>
        <v>27.27272727</v>
      </c>
      <c r="V15" s="55">
        <f t="shared" si="7"/>
        <v>30.01045543</v>
      </c>
    </row>
    <row r="16" ht="18.0" customHeight="1">
      <c r="A16" s="41">
        <v>6.0</v>
      </c>
      <c r="B16" s="58" t="s">
        <v>34</v>
      </c>
      <c r="C16" s="59" t="s">
        <v>35</v>
      </c>
      <c r="D16" s="112">
        <v>26.0</v>
      </c>
      <c r="E16" s="112">
        <v>68.42105263</v>
      </c>
      <c r="F16" s="60">
        <v>33.0</v>
      </c>
      <c r="G16" s="47">
        <v>77.0</v>
      </c>
      <c r="H16" s="48">
        <v>43.0</v>
      </c>
      <c r="I16" s="49">
        <f t="shared" si="1"/>
        <v>71.66666667</v>
      </c>
      <c r="J16" s="99">
        <v>48.0</v>
      </c>
      <c r="K16" s="100">
        <f t="shared" si="2"/>
        <v>87.27272727</v>
      </c>
      <c r="L16" s="52">
        <v>12.0</v>
      </c>
      <c r="M16" s="51">
        <f t="shared" si="3"/>
        <v>86</v>
      </c>
      <c r="N16" s="52">
        <v>19.0</v>
      </c>
      <c r="O16" s="101">
        <f t="shared" si="4"/>
        <v>79.16666667</v>
      </c>
      <c r="P16" s="110">
        <v>4.0</v>
      </c>
      <c r="Q16" s="55">
        <f t="shared" si="5"/>
        <v>66.66666667</v>
      </c>
      <c r="R16" s="56">
        <v>10.0</v>
      </c>
      <c r="S16" s="57">
        <f t="shared" si="6"/>
        <v>91</v>
      </c>
      <c r="T16" s="56">
        <v>7.0</v>
      </c>
      <c r="U16" s="111">
        <f>T16/T7*100</f>
        <v>63.63636364</v>
      </c>
      <c r="V16" s="55">
        <f t="shared" si="7"/>
        <v>76.75890484</v>
      </c>
    </row>
    <row r="17" ht="18.0" customHeight="1">
      <c r="A17" s="41">
        <v>7.0</v>
      </c>
      <c r="B17" s="58" t="s">
        <v>36</v>
      </c>
      <c r="C17" s="59" t="s">
        <v>37</v>
      </c>
      <c r="D17" s="112">
        <v>27.0</v>
      </c>
      <c r="E17" s="112">
        <v>71.05263158</v>
      </c>
      <c r="F17" s="60">
        <v>34.0</v>
      </c>
      <c r="G17" s="47">
        <v>79.0</v>
      </c>
      <c r="H17" s="48">
        <v>34.0</v>
      </c>
      <c r="I17" s="49">
        <f t="shared" si="1"/>
        <v>56.66666667</v>
      </c>
      <c r="J17" s="99">
        <v>38.0</v>
      </c>
      <c r="K17" s="100">
        <f t="shared" si="2"/>
        <v>69.09090909</v>
      </c>
      <c r="L17" s="52">
        <v>10.0</v>
      </c>
      <c r="M17" s="51">
        <f t="shared" si="3"/>
        <v>71</v>
      </c>
      <c r="N17" s="52">
        <v>17.0</v>
      </c>
      <c r="O17" s="101">
        <f t="shared" si="4"/>
        <v>70.83333333</v>
      </c>
      <c r="P17" s="110">
        <v>3.0</v>
      </c>
      <c r="Q17" s="55">
        <f t="shared" si="5"/>
        <v>50</v>
      </c>
      <c r="R17" s="56">
        <v>7.0</v>
      </c>
      <c r="S17" s="57">
        <f t="shared" si="6"/>
        <v>64</v>
      </c>
      <c r="T17" s="56">
        <v>9.0</v>
      </c>
      <c r="U17" s="111">
        <f>T17/T7*100</f>
        <v>81.81818182</v>
      </c>
      <c r="V17" s="55">
        <f t="shared" si="7"/>
        <v>68.16241361</v>
      </c>
    </row>
    <row r="18" ht="18.0" customHeight="1">
      <c r="A18" s="41">
        <v>8.0</v>
      </c>
      <c r="B18" s="58" t="s">
        <v>38</v>
      </c>
      <c r="C18" s="59" t="s">
        <v>39</v>
      </c>
      <c r="D18" s="112">
        <v>31.0</v>
      </c>
      <c r="E18" s="112">
        <v>81.57894737</v>
      </c>
      <c r="F18" s="60">
        <v>36.0</v>
      </c>
      <c r="G18" s="47">
        <v>84.0</v>
      </c>
      <c r="H18" s="48">
        <v>48.0</v>
      </c>
      <c r="I18" s="49">
        <f t="shared" si="1"/>
        <v>80</v>
      </c>
      <c r="J18" s="99">
        <v>48.0</v>
      </c>
      <c r="K18" s="100">
        <f t="shared" si="2"/>
        <v>87.27272727</v>
      </c>
      <c r="L18" s="52">
        <v>11.0</v>
      </c>
      <c r="M18" s="51">
        <f t="shared" si="3"/>
        <v>79</v>
      </c>
      <c r="N18" s="52">
        <v>21.0</v>
      </c>
      <c r="O18" s="101">
        <f t="shared" si="4"/>
        <v>87.5</v>
      </c>
      <c r="P18" s="110">
        <v>6.0</v>
      </c>
      <c r="Q18" s="55">
        <f t="shared" si="5"/>
        <v>100</v>
      </c>
      <c r="R18" s="56">
        <v>8.0</v>
      </c>
      <c r="S18" s="57">
        <f t="shared" si="6"/>
        <v>73</v>
      </c>
      <c r="T18" s="56">
        <v>10.0</v>
      </c>
      <c r="U18" s="111">
        <f>T18/T7*100</f>
        <v>90.90909091</v>
      </c>
      <c r="V18" s="55">
        <f t="shared" si="7"/>
        <v>84.80675173</v>
      </c>
    </row>
    <row r="19" ht="18.0" customHeight="1">
      <c r="A19" s="41">
        <v>9.0</v>
      </c>
      <c r="B19" s="58" t="s">
        <v>40</v>
      </c>
      <c r="C19" s="59" t="s">
        <v>41</v>
      </c>
      <c r="D19" s="112">
        <v>34.0</v>
      </c>
      <c r="E19" s="112">
        <v>89.47368421</v>
      </c>
      <c r="F19" s="60">
        <v>42.0</v>
      </c>
      <c r="G19" s="47">
        <v>98.0</v>
      </c>
      <c r="H19" s="48">
        <v>57.0</v>
      </c>
      <c r="I19" s="49">
        <f t="shared" si="1"/>
        <v>95</v>
      </c>
      <c r="J19" s="99">
        <v>53.0</v>
      </c>
      <c r="K19" s="100">
        <f t="shared" si="2"/>
        <v>96.36363636</v>
      </c>
      <c r="L19" s="52">
        <v>14.0</v>
      </c>
      <c r="M19" s="51">
        <f t="shared" si="3"/>
        <v>100</v>
      </c>
      <c r="N19" s="52">
        <v>23.0</v>
      </c>
      <c r="O19" s="101">
        <f t="shared" si="4"/>
        <v>95.83333333</v>
      </c>
      <c r="P19" s="110">
        <v>6.0</v>
      </c>
      <c r="Q19" s="55">
        <f t="shared" si="5"/>
        <v>100</v>
      </c>
      <c r="R19" s="56">
        <v>10.0</v>
      </c>
      <c r="S19" s="57">
        <f t="shared" si="6"/>
        <v>91</v>
      </c>
      <c r="T19" s="56">
        <v>8.0</v>
      </c>
      <c r="U19" s="111">
        <f>T19/T7*100</f>
        <v>72.72727273</v>
      </c>
      <c r="V19" s="55">
        <f t="shared" si="7"/>
        <v>93.15532518</v>
      </c>
    </row>
    <row r="20" ht="18.0" customHeight="1">
      <c r="A20" s="41">
        <v>10.0</v>
      </c>
      <c r="B20" s="58" t="s">
        <v>42</v>
      </c>
      <c r="C20" s="59" t="s">
        <v>43</v>
      </c>
      <c r="D20" s="112">
        <v>22.0</v>
      </c>
      <c r="E20" s="112">
        <v>57.89473684</v>
      </c>
      <c r="F20" s="60">
        <v>33.0</v>
      </c>
      <c r="G20" s="47">
        <v>77.0</v>
      </c>
      <c r="H20" s="48">
        <v>39.0</v>
      </c>
      <c r="I20" s="49">
        <f t="shared" si="1"/>
        <v>65</v>
      </c>
      <c r="J20" s="99">
        <v>44.0</v>
      </c>
      <c r="K20" s="100">
        <f t="shared" si="2"/>
        <v>80</v>
      </c>
      <c r="L20" s="52">
        <v>11.0</v>
      </c>
      <c r="M20" s="51">
        <f t="shared" si="3"/>
        <v>79</v>
      </c>
      <c r="N20" s="52">
        <v>20.0</v>
      </c>
      <c r="O20" s="101">
        <f t="shared" si="4"/>
        <v>83.33333333</v>
      </c>
      <c r="P20" s="110">
        <v>6.0</v>
      </c>
      <c r="Q20" s="55">
        <f t="shared" si="5"/>
        <v>100</v>
      </c>
      <c r="R20" s="56">
        <v>8.0</v>
      </c>
      <c r="S20" s="57">
        <f t="shared" si="6"/>
        <v>73</v>
      </c>
      <c r="T20" s="56">
        <v>9.0</v>
      </c>
      <c r="U20" s="111">
        <f>T20/T7*100</f>
        <v>81.81818182</v>
      </c>
      <c r="V20" s="55">
        <f t="shared" si="7"/>
        <v>77.44958355</v>
      </c>
    </row>
    <row r="21" ht="18.0" customHeight="1">
      <c r="A21" s="41">
        <v>11.0</v>
      </c>
      <c r="B21" s="58" t="s">
        <v>44</v>
      </c>
      <c r="C21" s="59" t="s">
        <v>45</v>
      </c>
      <c r="D21" s="112">
        <v>36.0</v>
      </c>
      <c r="E21" s="112">
        <v>94.73684211</v>
      </c>
      <c r="F21" s="60">
        <v>37.0</v>
      </c>
      <c r="G21" s="47">
        <v>86.0</v>
      </c>
      <c r="H21" s="48">
        <v>60.0</v>
      </c>
      <c r="I21" s="49">
        <f t="shared" si="1"/>
        <v>100</v>
      </c>
      <c r="J21" s="99">
        <v>53.0</v>
      </c>
      <c r="K21" s="100">
        <f t="shared" si="2"/>
        <v>96.36363636</v>
      </c>
      <c r="L21" s="52">
        <v>13.0</v>
      </c>
      <c r="M21" s="51">
        <f t="shared" si="3"/>
        <v>93</v>
      </c>
      <c r="N21" s="52">
        <v>24.0</v>
      </c>
      <c r="O21" s="101">
        <f t="shared" si="4"/>
        <v>100</v>
      </c>
      <c r="P21" s="110">
        <v>6.0</v>
      </c>
      <c r="Q21" s="55">
        <f t="shared" si="5"/>
        <v>100</v>
      </c>
      <c r="R21" s="56">
        <v>11.0</v>
      </c>
      <c r="S21" s="57">
        <f t="shared" si="6"/>
        <v>100</v>
      </c>
      <c r="T21" s="56">
        <v>7.0</v>
      </c>
      <c r="U21" s="111">
        <f>T21/T7*100</f>
        <v>63.63636364</v>
      </c>
      <c r="V21" s="55">
        <f t="shared" si="7"/>
        <v>92.6374269</v>
      </c>
    </row>
    <row r="22" ht="18.0" customHeight="1">
      <c r="A22" s="41">
        <v>12.0</v>
      </c>
      <c r="B22" s="58" t="s">
        <v>46</v>
      </c>
      <c r="C22" s="59" t="s">
        <v>47</v>
      </c>
      <c r="D22" s="112">
        <v>28.0</v>
      </c>
      <c r="E22" s="112">
        <v>73.68421053</v>
      </c>
      <c r="F22" s="60">
        <v>31.0</v>
      </c>
      <c r="G22" s="47">
        <v>72.0</v>
      </c>
      <c r="H22" s="48">
        <v>53.0</v>
      </c>
      <c r="I22" s="49">
        <f t="shared" si="1"/>
        <v>88.33333333</v>
      </c>
      <c r="J22" s="99">
        <v>49.0</v>
      </c>
      <c r="K22" s="100">
        <f t="shared" si="2"/>
        <v>89.09090909</v>
      </c>
      <c r="L22" s="52">
        <v>10.0</v>
      </c>
      <c r="M22" s="51">
        <f t="shared" si="3"/>
        <v>71</v>
      </c>
      <c r="N22" s="52">
        <v>23.0</v>
      </c>
      <c r="O22" s="101">
        <f t="shared" si="4"/>
        <v>95.83333333</v>
      </c>
      <c r="P22" s="110">
        <v>6.0</v>
      </c>
      <c r="Q22" s="55">
        <f t="shared" si="5"/>
        <v>100</v>
      </c>
      <c r="R22" s="56">
        <v>11.0</v>
      </c>
      <c r="S22" s="57">
        <f t="shared" si="6"/>
        <v>100</v>
      </c>
      <c r="T22" s="56">
        <v>8.0</v>
      </c>
      <c r="U22" s="111">
        <f>T22/T7*100</f>
        <v>72.72727273</v>
      </c>
      <c r="V22" s="55">
        <f t="shared" si="7"/>
        <v>84.74100656</v>
      </c>
    </row>
    <row r="23" ht="18.0" customHeight="1">
      <c r="A23" s="41">
        <v>13.0</v>
      </c>
      <c r="B23" s="58" t="s">
        <v>48</v>
      </c>
      <c r="C23" s="59" t="s">
        <v>49</v>
      </c>
      <c r="D23" s="112">
        <v>29.0</v>
      </c>
      <c r="E23" s="112">
        <v>76.31578947</v>
      </c>
      <c r="F23" s="60">
        <v>36.0</v>
      </c>
      <c r="G23" s="47">
        <v>84.0</v>
      </c>
      <c r="H23" s="48">
        <v>34.0</v>
      </c>
      <c r="I23" s="49">
        <f t="shared" si="1"/>
        <v>56.66666667</v>
      </c>
      <c r="J23" s="99">
        <v>47.0</v>
      </c>
      <c r="K23" s="100">
        <f t="shared" si="2"/>
        <v>85.45454545</v>
      </c>
      <c r="L23" s="52">
        <v>12.0</v>
      </c>
      <c r="M23" s="51">
        <f t="shared" si="3"/>
        <v>86</v>
      </c>
      <c r="N23" s="52">
        <v>17.0</v>
      </c>
      <c r="O23" s="101">
        <f t="shared" si="4"/>
        <v>70.83333333</v>
      </c>
      <c r="P23" s="110">
        <v>2.0</v>
      </c>
      <c r="Q23" s="55">
        <f t="shared" si="5"/>
        <v>33.33333333</v>
      </c>
      <c r="R23" s="56">
        <v>8.0</v>
      </c>
      <c r="S23" s="57">
        <f t="shared" si="6"/>
        <v>73</v>
      </c>
      <c r="T23" s="56">
        <v>3.0</v>
      </c>
      <c r="U23" s="111">
        <f>T23/T7*100</f>
        <v>27.27272727</v>
      </c>
      <c r="V23" s="55">
        <f t="shared" si="7"/>
        <v>65.87515506</v>
      </c>
    </row>
    <row r="24" ht="18.0" customHeight="1">
      <c r="A24" s="41">
        <v>14.0</v>
      </c>
      <c r="B24" s="58" t="s">
        <v>50</v>
      </c>
      <c r="C24" s="59" t="s">
        <v>51</v>
      </c>
      <c r="D24" s="112">
        <v>32.0</v>
      </c>
      <c r="E24" s="112">
        <v>84.21052632</v>
      </c>
      <c r="F24" s="60">
        <v>38.0</v>
      </c>
      <c r="G24" s="47">
        <v>89.0</v>
      </c>
      <c r="H24" s="48">
        <v>43.0</v>
      </c>
      <c r="I24" s="49">
        <f t="shared" si="1"/>
        <v>71.66666667</v>
      </c>
      <c r="J24" s="99">
        <v>51.0</v>
      </c>
      <c r="K24" s="100">
        <f t="shared" si="2"/>
        <v>92.72727273</v>
      </c>
      <c r="L24" s="52">
        <v>12.0</v>
      </c>
      <c r="M24" s="51">
        <f t="shared" si="3"/>
        <v>86</v>
      </c>
      <c r="N24" s="52">
        <v>20.0</v>
      </c>
      <c r="O24" s="101">
        <f t="shared" si="4"/>
        <v>83.33333333</v>
      </c>
      <c r="P24" s="110">
        <v>6.0</v>
      </c>
      <c r="Q24" s="55">
        <f t="shared" si="5"/>
        <v>100</v>
      </c>
      <c r="R24" s="56">
        <v>8.0</v>
      </c>
      <c r="S24" s="57">
        <f t="shared" si="6"/>
        <v>73</v>
      </c>
      <c r="T24" s="56">
        <v>7.0</v>
      </c>
      <c r="U24" s="111">
        <f>T24/T7*100</f>
        <v>63.63636364</v>
      </c>
      <c r="V24" s="55">
        <f t="shared" si="7"/>
        <v>82.61935141</v>
      </c>
    </row>
    <row r="25" ht="18.0" customHeight="1">
      <c r="A25" s="41">
        <v>15.0</v>
      </c>
      <c r="B25" s="58" t="s">
        <v>52</v>
      </c>
      <c r="C25" s="59" t="s">
        <v>53</v>
      </c>
      <c r="D25" s="112">
        <v>32.0</v>
      </c>
      <c r="E25" s="112">
        <v>84.21052632</v>
      </c>
      <c r="F25" s="60">
        <v>29.0</v>
      </c>
      <c r="G25" s="47">
        <v>68.0</v>
      </c>
      <c r="H25" s="48">
        <v>41.0</v>
      </c>
      <c r="I25" s="49">
        <f t="shared" si="1"/>
        <v>68.33333333</v>
      </c>
      <c r="J25" s="99">
        <v>44.0</v>
      </c>
      <c r="K25" s="100">
        <f t="shared" si="2"/>
        <v>80</v>
      </c>
      <c r="L25" s="52">
        <v>12.0</v>
      </c>
      <c r="M25" s="51">
        <f t="shared" si="3"/>
        <v>86</v>
      </c>
      <c r="N25" s="52">
        <v>19.0</v>
      </c>
      <c r="O25" s="101">
        <f t="shared" si="4"/>
        <v>79.16666667</v>
      </c>
      <c r="P25" s="110">
        <v>4.0</v>
      </c>
      <c r="Q25" s="55">
        <f t="shared" si="5"/>
        <v>66.66666667</v>
      </c>
      <c r="R25" s="56">
        <v>8.0</v>
      </c>
      <c r="S25" s="57">
        <f t="shared" si="6"/>
        <v>73</v>
      </c>
      <c r="T25" s="56">
        <v>11.0</v>
      </c>
      <c r="U25" s="111">
        <f>T25/T7*100</f>
        <v>100</v>
      </c>
      <c r="V25" s="55">
        <f t="shared" si="7"/>
        <v>78.37524367</v>
      </c>
    </row>
    <row r="26" ht="18.0" customHeight="1">
      <c r="A26" s="41">
        <v>16.0</v>
      </c>
      <c r="B26" s="58" t="s">
        <v>54</v>
      </c>
      <c r="C26" s="59" t="s">
        <v>55</v>
      </c>
      <c r="D26" s="112">
        <v>28.0</v>
      </c>
      <c r="E26" s="112">
        <v>73.68421053</v>
      </c>
      <c r="F26" s="60">
        <v>30.0</v>
      </c>
      <c r="G26" s="47">
        <v>70.0</v>
      </c>
      <c r="H26" s="48">
        <v>49.0</v>
      </c>
      <c r="I26" s="49">
        <f t="shared" si="1"/>
        <v>81.66666667</v>
      </c>
      <c r="J26" s="99">
        <v>42.0</v>
      </c>
      <c r="K26" s="100">
        <f t="shared" si="2"/>
        <v>76.36363636</v>
      </c>
      <c r="L26" s="52">
        <v>11.0</v>
      </c>
      <c r="M26" s="51">
        <f t="shared" si="3"/>
        <v>79</v>
      </c>
      <c r="N26" s="52">
        <v>18.0</v>
      </c>
      <c r="O26" s="101">
        <f t="shared" si="4"/>
        <v>75</v>
      </c>
      <c r="P26" s="110">
        <v>5.0</v>
      </c>
      <c r="Q26" s="55">
        <f t="shared" si="5"/>
        <v>83.33333333</v>
      </c>
      <c r="R26" s="56">
        <v>10.0</v>
      </c>
      <c r="S26" s="57">
        <f t="shared" si="6"/>
        <v>91</v>
      </c>
      <c r="T26" s="56">
        <v>9.0</v>
      </c>
      <c r="U26" s="111">
        <f>T26/T7*100</f>
        <v>81.81818182</v>
      </c>
      <c r="V26" s="55">
        <f t="shared" si="7"/>
        <v>79.09622541</v>
      </c>
    </row>
    <row r="27" ht="18.0" customHeight="1">
      <c r="A27" s="41">
        <v>17.0</v>
      </c>
      <c r="B27" s="58" t="s">
        <v>56</v>
      </c>
      <c r="C27" s="59" t="s">
        <v>57</v>
      </c>
      <c r="D27" s="112">
        <v>23.0</v>
      </c>
      <c r="E27" s="112">
        <v>60.52631579</v>
      </c>
      <c r="F27" s="60">
        <v>33.0</v>
      </c>
      <c r="G27" s="47">
        <v>77.0</v>
      </c>
      <c r="H27" s="48">
        <v>36.0</v>
      </c>
      <c r="I27" s="49">
        <f t="shared" si="1"/>
        <v>60</v>
      </c>
      <c r="J27" s="99">
        <v>47.0</v>
      </c>
      <c r="K27" s="100">
        <f t="shared" si="2"/>
        <v>85.45454545</v>
      </c>
      <c r="L27" s="52">
        <v>11.0</v>
      </c>
      <c r="M27" s="51">
        <f t="shared" si="3"/>
        <v>79</v>
      </c>
      <c r="N27" s="52">
        <v>17.0</v>
      </c>
      <c r="O27" s="101">
        <f t="shared" si="4"/>
        <v>70.83333333</v>
      </c>
      <c r="P27" s="110">
        <v>4.0</v>
      </c>
      <c r="Q27" s="55">
        <f t="shared" si="5"/>
        <v>66.66666667</v>
      </c>
      <c r="R27" s="56">
        <v>9.0</v>
      </c>
      <c r="S27" s="57">
        <f t="shared" si="6"/>
        <v>82</v>
      </c>
      <c r="T27" s="56">
        <v>3.0</v>
      </c>
      <c r="U27" s="111">
        <f>T27/T7*100</f>
        <v>27.27272727</v>
      </c>
      <c r="V27" s="55">
        <f t="shared" si="7"/>
        <v>67.63928761</v>
      </c>
    </row>
    <row r="28" ht="18.0" customHeight="1">
      <c r="A28" s="41">
        <v>18.0</v>
      </c>
      <c r="B28" s="58" t="s">
        <v>58</v>
      </c>
      <c r="C28" s="59" t="s">
        <v>59</v>
      </c>
      <c r="D28" s="112">
        <v>16.0</v>
      </c>
      <c r="E28" s="112">
        <v>42.10526316</v>
      </c>
      <c r="F28" s="60">
        <v>22.0</v>
      </c>
      <c r="G28" s="47">
        <v>52.0</v>
      </c>
      <c r="H28" s="48">
        <v>36.0</v>
      </c>
      <c r="I28" s="49">
        <f t="shared" si="1"/>
        <v>60</v>
      </c>
      <c r="J28" s="99">
        <v>30.0</v>
      </c>
      <c r="K28" s="100">
        <f t="shared" si="2"/>
        <v>54.54545455</v>
      </c>
      <c r="L28" s="52">
        <v>8.0</v>
      </c>
      <c r="M28" s="51">
        <f t="shared" si="3"/>
        <v>57</v>
      </c>
      <c r="N28" s="52">
        <v>14.0</v>
      </c>
      <c r="O28" s="101">
        <f t="shared" si="4"/>
        <v>58.33333333</v>
      </c>
      <c r="P28" s="110">
        <v>4.0</v>
      </c>
      <c r="Q28" s="55">
        <f t="shared" si="5"/>
        <v>66.66666667</v>
      </c>
      <c r="R28" s="56">
        <v>10.0</v>
      </c>
      <c r="S28" s="57">
        <f t="shared" si="6"/>
        <v>91</v>
      </c>
      <c r="T28" s="56">
        <v>6.0</v>
      </c>
      <c r="U28" s="111">
        <f>T28/T7*100</f>
        <v>54.54545455</v>
      </c>
      <c r="V28" s="55">
        <f t="shared" si="7"/>
        <v>59.57735247</v>
      </c>
    </row>
    <row r="29" ht="18.0" customHeight="1">
      <c r="A29" s="41">
        <v>19.0</v>
      </c>
      <c r="B29" s="58" t="s">
        <v>60</v>
      </c>
      <c r="C29" s="59" t="s">
        <v>61</v>
      </c>
      <c r="D29" s="112">
        <v>23.0</v>
      </c>
      <c r="E29" s="112">
        <v>60.52631579</v>
      </c>
      <c r="F29" s="60">
        <v>37.0</v>
      </c>
      <c r="G29" s="47">
        <v>86.0</v>
      </c>
      <c r="H29" s="48">
        <v>33.0</v>
      </c>
      <c r="I29" s="49">
        <f t="shared" si="1"/>
        <v>55</v>
      </c>
      <c r="J29" s="99">
        <v>39.0</v>
      </c>
      <c r="K29" s="100">
        <f t="shared" si="2"/>
        <v>70.90909091</v>
      </c>
      <c r="L29" s="52">
        <v>10.0</v>
      </c>
      <c r="M29" s="51">
        <f t="shared" si="3"/>
        <v>71</v>
      </c>
      <c r="N29" s="52">
        <v>15.0</v>
      </c>
      <c r="O29" s="101">
        <f t="shared" si="4"/>
        <v>62.5</v>
      </c>
      <c r="P29" s="110">
        <v>4.0</v>
      </c>
      <c r="Q29" s="55">
        <f t="shared" si="5"/>
        <v>66.66666667</v>
      </c>
      <c r="R29" s="56">
        <v>5.0</v>
      </c>
      <c r="S29" s="57">
        <f t="shared" si="6"/>
        <v>45</v>
      </c>
      <c r="T29" s="56">
        <v>10.0</v>
      </c>
      <c r="U29" s="111">
        <f>T29/T7*100</f>
        <v>90.90909091</v>
      </c>
      <c r="V29" s="55">
        <f t="shared" si="7"/>
        <v>67.61235159</v>
      </c>
    </row>
    <row r="30" ht="18.0" customHeight="1">
      <c r="A30" s="41">
        <v>20.0</v>
      </c>
      <c r="B30" s="58" t="s">
        <v>62</v>
      </c>
      <c r="C30" s="59" t="s">
        <v>63</v>
      </c>
      <c r="D30" s="112">
        <v>29.0</v>
      </c>
      <c r="E30" s="112">
        <v>76.31578947</v>
      </c>
      <c r="F30" s="60">
        <v>40.0</v>
      </c>
      <c r="G30" s="47">
        <v>93.0</v>
      </c>
      <c r="H30" s="48">
        <v>50.0</v>
      </c>
      <c r="I30" s="49">
        <f t="shared" si="1"/>
        <v>83.33333333</v>
      </c>
      <c r="J30" s="99">
        <v>49.0</v>
      </c>
      <c r="K30" s="100">
        <f t="shared" si="2"/>
        <v>89.09090909</v>
      </c>
      <c r="L30" s="52">
        <v>13.0</v>
      </c>
      <c r="M30" s="51">
        <f t="shared" si="3"/>
        <v>93</v>
      </c>
      <c r="N30" s="52">
        <v>22.0</v>
      </c>
      <c r="O30" s="101">
        <f t="shared" si="4"/>
        <v>91.66666667</v>
      </c>
      <c r="P30" s="110">
        <v>6.0</v>
      </c>
      <c r="Q30" s="55">
        <f t="shared" si="5"/>
        <v>100</v>
      </c>
      <c r="R30" s="56">
        <v>11.0</v>
      </c>
      <c r="S30" s="57">
        <f t="shared" si="6"/>
        <v>100</v>
      </c>
      <c r="T30" s="56">
        <v>10.0</v>
      </c>
      <c r="U30" s="111">
        <f>T30/T7*100</f>
        <v>90.90909091</v>
      </c>
      <c r="V30" s="55">
        <f t="shared" si="7"/>
        <v>90.8128655</v>
      </c>
    </row>
    <row r="31" ht="18.0" customHeight="1">
      <c r="A31" s="41">
        <v>21.0</v>
      </c>
      <c r="B31" s="58" t="s">
        <v>64</v>
      </c>
      <c r="C31" s="59" t="s">
        <v>65</v>
      </c>
      <c r="D31" s="112">
        <v>9.0</v>
      </c>
      <c r="E31" s="112">
        <v>23.68421053</v>
      </c>
      <c r="F31" s="60">
        <v>26.0</v>
      </c>
      <c r="G31" s="47">
        <v>61.0</v>
      </c>
      <c r="H31" s="48">
        <v>11.0</v>
      </c>
      <c r="I31" s="49">
        <f t="shared" si="1"/>
        <v>18.33333333</v>
      </c>
      <c r="J31" s="99">
        <v>10.0</v>
      </c>
      <c r="K31" s="100">
        <f t="shared" si="2"/>
        <v>18.18181818</v>
      </c>
      <c r="L31" s="52">
        <v>5.0</v>
      </c>
      <c r="M31" s="51">
        <f t="shared" si="3"/>
        <v>36</v>
      </c>
      <c r="N31" s="52">
        <v>6.0</v>
      </c>
      <c r="O31" s="101">
        <f t="shared" si="4"/>
        <v>25</v>
      </c>
      <c r="P31" s="110">
        <v>0.0</v>
      </c>
      <c r="Q31" s="55">
        <f t="shared" si="5"/>
        <v>0</v>
      </c>
      <c r="R31" s="56">
        <v>3.0</v>
      </c>
      <c r="S31" s="57">
        <f t="shared" si="6"/>
        <v>27</v>
      </c>
      <c r="T31" s="56">
        <v>10.0</v>
      </c>
      <c r="U31" s="111">
        <f>T31/T7*100</f>
        <v>90.90909091</v>
      </c>
      <c r="V31" s="55">
        <f t="shared" si="7"/>
        <v>33.34538366</v>
      </c>
    </row>
    <row r="32" ht="18.0" customHeight="1">
      <c r="A32" s="41">
        <v>22.0</v>
      </c>
      <c r="B32" s="58" t="s">
        <v>66</v>
      </c>
      <c r="C32" s="59" t="s">
        <v>67</v>
      </c>
      <c r="D32" s="112">
        <v>29.0</v>
      </c>
      <c r="E32" s="112">
        <v>76.31578947</v>
      </c>
      <c r="F32" s="60">
        <v>39.0</v>
      </c>
      <c r="G32" s="47">
        <v>91.0</v>
      </c>
      <c r="H32" s="48">
        <v>43.0</v>
      </c>
      <c r="I32" s="49">
        <f t="shared" si="1"/>
        <v>71.66666667</v>
      </c>
      <c r="J32" s="99">
        <v>49.0</v>
      </c>
      <c r="K32" s="100">
        <f t="shared" si="2"/>
        <v>89.09090909</v>
      </c>
      <c r="L32" s="52">
        <v>12.0</v>
      </c>
      <c r="M32" s="51">
        <f t="shared" si="3"/>
        <v>86</v>
      </c>
      <c r="N32" s="52">
        <v>18.0</v>
      </c>
      <c r="O32" s="101">
        <f t="shared" si="4"/>
        <v>75</v>
      </c>
      <c r="P32" s="110">
        <v>6.0</v>
      </c>
      <c r="Q32" s="55">
        <f t="shared" si="5"/>
        <v>100</v>
      </c>
      <c r="R32" s="56">
        <v>9.0</v>
      </c>
      <c r="S32" s="57">
        <f t="shared" si="6"/>
        <v>82</v>
      </c>
      <c r="T32" s="56">
        <v>10.0</v>
      </c>
      <c r="U32" s="111">
        <f>T32/T7*100</f>
        <v>90.90909091</v>
      </c>
      <c r="V32" s="55">
        <f t="shared" si="7"/>
        <v>84.66471735</v>
      </c>
    </row>
    <row r="33" ht="18.0" customHeight="1">
      <c r="A33" s="41">
        <v>23.0</v>
      </c>
      <c r="B33" s="58" t="s">
        <v>68</v>
      </c>
      <c r="C33" s="59" t="s">
        <v>69</v>
      </c>
      <c r="D33" s="112">
        <v>31.0</v>
      </c>
      <c r="E33" s="112">
        <v>81.57894737</v>
      </c>
      <c r="F33" s="60">
        <v>37.0</v>
      </c>
      <c r="G33" s="47">
        <v>86.0</v>
      </c>
      <c r="H33" s="48">
        <v>51.0</v>
      </c>
      <c r="I33" s="49">
        <f t="shared" si="1"/>
        <v>85</v>
      </c>
      <c r="J33" s="99">
        <v>46.0</v>
      </c>
      <c r="K33" s="100">
        <f t="shared" si="2"/>
        <v>83.63636364</v>
      </c>
      <c r="L33" s="52">
        <v>13.0</v>
      </c>
      <c r="M33" s="51">
        <f t="shared" si="3"/>
        <v>93</v>
      </c>
      <c r="N33" s="52">
        <v>21.0</v>
      </c>
      <c r="O33" s="101">
        <f t="shared" si="4"/>
        <v>87.5</v>
      </c>
      <c r="P33" s="110">
        <v>6.0</v>
      </c>
      <c r="Q33" s="55">
        <f t="shared" si="5"/>
        <v>100</v>
      </c>
      <c r="R33" s="63">
        <v>12.0</v>
      </c>
      <c r="S33" s="57">
        <f t="shared" ref="S33:S53" si="8">ROUND((R33/13)*100,0)</f>
        <v>92</v>
      </c>
      <c r="T33" s="104">
        <v>11.0</v>
      </c>
      <c r="U33" s="111">
        <f>T33/T7*100</f>
        <v>100</v>
      </c>
      <c r="V33" s="55">
        <f t="shared" si="7"/>
        <v>89.85725678</v>
      </c>
    </row>
    <row r="34" ht="18.0" customHeight="1">
      <c r="A34" s="41">
        <v>24.0</v>
      </c>
      <c r="B34" s="58" t="s">
        <v>70</v>
      </c>
      <c r="C34" s="59" t="s">
        <v>71</v>
      </c>
      <c r="D34" s="112">
        <v>35.0</v>
      </c>
      <c r="E34" s="112">
        <v>92.10526316</v>
      </c>
      <c r="F34" s="60">
        <v>35.0</v>
      </c>
      <c r="G34" s="47">
        <v>82.0</v>
      </c>
      <c r="H34" s="48">
        <v>56.0</v>
      </c>
      <c r="I34" s="49">
        <f t="shared" si="1"/>
        <v>93.33333333</v>
      </c>
      <c r="J34" s="99">
        <v>49.0</v>
      </c>
      <c r="K34" s="100">
        <f t="shared" si="2"/>
        <v>89.09090909</v>
      </c>
      <c r="L34" s="52">
        <v>11.0</v>
      </c>
      <c r="M34" s="51">
        <f t="shared" si="3"/>
        <v>79</v>
      </c>
      <c r="N34" s="52">
        <v>21.0</v>
      </c>
      <c r="O34" s="101">
        <f t="shared" si="4"/>
        <v>87.5</v>
      </c>
      <c r="P34" s="110">
        <v>5.0</v>
      </c>
      <c r="Q34" s="55">
        <f t="shared" si="5"/>
        <v>83.33333333</v>
      </c>
      <c r="R34" s="64">
        <v>11.0</v>
      </c>
      <c r="S34" s="57">
        <f t="shared" si="8"/>
        <v>85</v>
      </c>
      <c r="T34" s="104">
        <v>10.0</v>
      </c>
      <c r="U34" s="55">
        <f t="shared" ref="U34:U53" si="9">(T34/11)*100</f>
        <v>90.90909091</v>
      </c>
      <c r="V34" s="55">
        <f t="shared" si="7"/>
        <v>86.91910331</v>
      </c>
    </row>
    <row r="35" ht="18.0" customHeight="1">
      <c r="A35" s="41">
        <v>25.0</v>
      </c>
      <c r="B35" s="58" t="s">
        <v>72</v>
      </c>
      <c r="C35" s="59" t="s">
        <v>73</v>
      </c>
      <c r="D35" s="112">
        <v>28.0</v>
      </c>
      <c r="E35" s="112">
        <v>36.68965517</v>
      </c>
      <c r="F35" s="60">
        <v>35.0</v>
      </c>
      <c r="G35" s="47">
        <v>82.0</v>
      </c>
      <c r="H35" s="48">
        <v>47.0</v>
      </c>
      <c r="I35" s="49">
        <f t="shared" si="1"/>
        <v>78.33333333</v>
      </c>
      <c r="J35" s="99">
        <v>45.0</v>
      </c>
      <c r="K35" s="100">
        <f t="shared" si="2"/>
        <v>81.81818182</v>
      </c>
      <c r="L35" s="52">
        <v>13.0</v>
      </c>
      <c r="M35" s="51">
        <f t="shared" si="3"/>
        <v>93</v>
      </c>
      <c r="N35" s="52">
        <v>19.0</v>
      </c>
      <c r="O35" s="101">
        <f t="shared" si="4"/>
        <v>79.16666667</v>
      </c>
      <c r="P35" s="110">
        <v>6.0</v>
      </c>
      <c r="Q35" s="55">
        <f t="shared" si="5"/>
        <v>100</v>
      </c>
      <c r="R35" s="64">
        <v>11.0</v>
      </c>
      <c r="S35" s="57">
        <f t="shared" si="8"/>
        <v>85</v>
      </c>
      <c r="T35" s="104">
        <v>8.0</v>
      </c>
      <c r="U35" s="55">
        <f t="shared" si="9"/>
        <v>72.72727273</v>
      </c>
      <c r="V35" s="55">
        <f t="shared" si="7"/>
        <v>78.74834552</v>
      </c>
    </row>
    <row r="36" ht="18.0" customHeight="1">
      <c r="A36" s="41">
        <v>26.0</v>
      </c>
      <c r="B36" s="58" t="s">
        <v>74</v>
      </c>
      <c r="C36" s="59" t="s">
        <v>75</v>
      </c>
      <c r="D36" s="112">
        <v>29.0</v>
      </c>
      <c r="E36" s="112">
        <v>34.4375</v>
      </c>
      <c r="F36" s="60">
        <v>33.0</v>
      </c>
      <c r="G36" s="47">
        <v>77.0</v>
      </c>
      <c r="H36" s="48">
        <v>47.0</v>
      </c>
      <c r="I36" s="49">
        <f t="shared" si="1"/>
        <v>78.33333333</v>
      </c>
      <c r="J36" s="99">
        <v>48.0</v>
      </c>
      <c r="K36" s="100">
        <f t="shared" si="2"/>
        <v>87.27272727</v>
      </c>
      <c r="L36" s="52">
        <v>11.0</v>
      </c>
      <c r="M36" s="51">
        <f t="shared" si="3"/>
        <v>79</v>
      </c>
      <c r="N36" s="52">
        <v>21.0</v>
      </c>
      <c r="O36" s="101">
        <f t="shared" si="4"/>
        <v>87.5</v>
      </c>
      <c r="P36" s="110">
        <v>4.0</v>
      </c>
      <c r="Q36" s="55">
        <f t="shared" si="5"/>
        <v>66.66666667</v>
      </c>
      <c r="R36" s="64">
        <v>9.0</v>
      </c>
      <c r="S36" s="57">
        <f t="shared" si="8"/>
        <v>69</v>
      </c>
      <c r="T36" s="104">
        <v>9.0</v>
      </c>
      <c r="U36" s="55">
        <f t="shared" si="9"/>
        <v>81.81818182</v>
      </c>
      <c r="V36" s="55">
        <f t="shared" si="7"/>
        <v>73.44760101</v>
      </c>
    </row>
    <row r="37" ht="14.25" customHeight="1">
      <c r="A37" s="41">
        <v>27.0</v>
      </c>
      <c r="B37" s="58" t="s">
        <v>76</v>
      </c>
      <c r="C37" s="59" t="s">
        <v>77</v>
      </c>
      <c r="D37" s="112">
        <v>30.0</v>
      </c>
      <c r="E37" s="112">
        <v>35.625</v>
      </c>
      <c r="F37" s="60">
        <v>38.0</v>
      </c>
      <c r="G37" s="47">
        <v>89.0</v>
      </c>
      <c r="H37" s="48">
        <v>48.0</v>
      </c>
      <c r="I37" s="49">
        <f t="shared" si="1"/>
        <v>80</v>
      </c>
      <c r="J37" s="99">
        <v>45.0</v>
      </c>
      <c r="K37" s="100">
        <f t="shared" si="2"/>
        <v>81.81818182</v>
      </c>
      <c r="L37" s="52">
        <v>13.0</v>
      </c>
      <c r="M37" s="51">
        <f t="shared" si="3"/>
        <v>93</v>
      </c>
      <c r="N37" s="52">
        <v>21.0</v>
      </c>
      <c r="O37" s="101">
        <f t="shared" si="4"/>
        <v>87.5</v>
      </c>
      <c r="P37" s="110">
        <v>6.0</v>
      </c>
      <c r="Q37" s="55">
        <f t="shared" si="5"/>
        <v>100</v>
      </c>
      <c r="R37" s="63">
        <v>10.0</v>
      </c>
      <c r="S37" s="57">
        <f t="shared" si="8"/>
        <v>77</v>
      </c>
      <c r="T37" s="104">
        <v>11.0</v>
      </c>
      <c r="U37" s="55">
        <f t="shared" si="9"/>
        <v>100</v>
      </c>
      <c r="V37" s="55">
        <f t="shared" si="7"/>
        <v>82.66035354</v>
      </c>
    </row>
    <row r="38" ht="18.0" customHeight="1">
      <c r="A38" s="41">
        <v>28.0</v>
      </c>
      <c r="B38" s="58" t="s">
        <v>78</v>
      </c>
      <c r="C38" s="59" t="s">
        <v>79</v>
      </c>
      <c r="D38" s="112">
        <v>25.0</v>
      </c>
      <c r="E38" s="112">
        <v>33.92857143</v>
      </c>
      <c r="F38" s="60">
        <v>35.0</v>
      </c>
      <c r="G38" s="47">
        <v>82.0</v>
      </c>
      <c r="H38" s="48">
        <v>39.0</v>
      </c>
      <c r="I38" s="49">
        <f t="shared" si="1"/>
        <v>65</v>
      </c>
      <c r="J38" s="99">
        <v>48.0</v>
      </c>
      <c r="K38" s="100">
        <f t="shared" si="2"/>
        <v>87.27272727</v>
      </c>
      <c r="L38" s="52">
        <v>11.0</v>
      </c>
      <c r="M38" s="51">
        <f t="shared" si="3"/>
        <v>79</v>
      </c>
      <c r="N38" s="52">
        <v>17.0</v>
      </c>
      <c r="O38" s="101">
        <f t="shared" si="4"/>
        <v>70.83333333</v>
      </c>
      <c r="P38" s="110">
        <v>5.0</v>
      </c>
      <c r="Q38" s="55">
        <f t="shared" si="5"/>
        <v>83.33333333</v>
      </c>
      <c r="R38" s="63">
        <v>10.0</v>
      </c>
      <c r="S38" s="57">
        <f t="shared" si="8"/>
        <v>77</v>
      </c>
      <c r="T38" s="104">
        <v>11.0</v>
      </c>
      <c r="U38" s="55">
        <f t="shared" si="9"/>
        <v>100</v>
      </c>
      <c r="V38" s="55">
        <f t="shared" si="7"/>
        <v>75.37421837</v>
      </c>
    </row>
    <row r="39" ht="18.0" customHeight="1">
      <c r="A39" s="41">
        <v>29.0</v>
      </c>
      <c r="B39" s="58" t="s">
        <v>80</v>
      </c>
      <c r="C39" s="59" t="s">
        <v>81</v>
      </c>
      <c r="D39" s="112">
        <v>24.0</v>
      </c>
      <c r="E39" s="112">
        <v>39.65217391</v>
      </c>
      <c r="F39" s="60">
        <v>32.0</v>
      </c>
      <c r="G39" s="47">
        <v>75.0</v>
      </c>
      <c r="H39" s="48">
        <v>37.0</v>
      </c>
      <c r="I39" s="49">
        <f t="shared" si="1"/>
        <v>61.66666667</v>
      </c>
      <c r="J39" s="99">
        <v>40.0</v>
      </c>
      <c r="K39" s="100">
        <f t="shared" si="2"/>
        <v>72.72727273</v>
      </c>
      <c r="L39" s="52">
        <v>10.0</v>
      </c>
      <c r="M39" s="51">
        <f t="shared" si="3"/>
        <v>71</v>
      </c>
      <c r="N39" s="52">
        <v>16.0</v>
      </c>
      <c r="O39" s="101">
        <f t="shared" si="4"/>
        <v>66.66666667</v>
      </c>
      <c r="P39" s="110">
        <v>5.0</v>
      </c>
      <c r="Q39" s="55">
        <f t="shared" si="5"/>
        <v>83.33333333</v>
      </c>
      <c r="R39" s="63">
        <v>9.0</v>
      </c>
      <c r="S39" s="57">
        <f t="shared" si="8"/>
        <v>69</v>
      </c>
      <c r="T39" s="104">
        <v>8.0</v>
      </c>
      <c r="U39" s="55">
        <f t="shared" si="9"/>
        <v>72.72727273</v>
      </c>
      <c r="V39" s="55">
        <f t="shared" si="7"/>
        <v>67.97482067</v>
      </c>
    </row>
    <row r="40" ht="18.0" customHeight="1">
      <c r="A40" s="41">
        <v>30.0</v>
      </c>
      <c r="B40" s="58" t="s">
        <v>82</v>
      </c>
      <c r="C40" s="59" t="s">
        <v>83</v>
      </c>
      <c r="D40" s="112">
        <v>19.0</v>
      </c>
      <c r="E40" s="112">
        <v>45.125</v>
      </c>
      <c r="F40" s="60">
        <v>35.0</v>
      </c>
      <c r="G40" s="47">
        <v>82.0</v>
      </c>
      <c r="H40" s="48">
        <v>35.0</v>
      </c>
      <c r="I40" s="49">
        <f t="shared" si="1"/>
        <v>58.33333333</v>
      </c>
      <c r="J40" s="99">
        <v>45.0</v>
      </c>
      <c r="K40" s="100">
        <f t="shared" si="2"/>
        <v>81.81818182</v>
      </c>
      <c r="L40" s="52">
        <v>12.0</v>
      </c>
      <c r="M40" s="51">
        <f t="shared" si="3"/>
        <v>86</v>
      </c>
      <c r="N40" s="52">
        <v>16.0</v>
      </c>
      <c r="O40" s="101">
        <f t="shared" si="4"/>
        <v>66.66666667</v>
      </c>
      <c r="P40" s="110">
        <v>5.0</v>
      </c>
      <c r="Q40" s="55">
        <f t="shared" si="5"/>
        <v>83.33333333</v>
      </c>
      <c r="R40" s="63">
        <v>9.0</v>
      </c>
      <c r="S40" s="57">
        <f t="shared" si="8"/>
        <v>69</v>
      </c>
      <c r="T40" s="104">
        <v>9.0</v>
      </c>
      <c r="U40" s="55">
        <f t="shared" si="9"/>
        <v>81.81818182</v>
      </c>
      <c r="V40" s="55">
        <f t="shared" si="7"/>
        <v>72.67718855</v>
      </c>
    </row>
    <row r="41" ht="18.0" customHeight="1">
      <c r="A41" s="41">
        <v>31.0</v>
      </c>
      <c r="B41" s="65" t="s">
        <v>84</v>
      </c>
      <c r="C41" s="66" t="s">
        <v>85</v>
      </c>
      <c r="D41" s="112">
        <v>24.0</v>
      </c>
      <c r="E41" s="112">
        <v>39.65217391</v>
      </c>
      <c r="F41" s="60">
        <v>29.0</v>
      </c>
      <c r="G41" s="47">
        <v>68.0</v>
      </c>
      <c r="H41" s="48">
        <v>45.0</v>
      </c>
      <c r="I41" s="49">
        <f t="shared" si="1"/>
        <v>75</v>
      </c>
      <c r="J41" s="99">
        <v>40.0</v>
      </c>
      <c r="K41" s="100">
        <f t="shared" si="2"/>
        <v>72.72727273</v>
      </c>
      <c r="L41" s="52">
        <v>9.0</v>
      </c>
      <c r="M41" s="51">
        <f t="shared" si="3"/>
        <v>64</v>
      </c>
      <c r="N41" s="52">
        <v>21.0</v>
      </c>
      <c r="O41" s="101">
        <f t="shared" si="4"/>
        <v>87.5</v>
      </c>
      <c r="P41" s="110">
        <v>5.0</v>
      </c>
      <c r="Q41" s="55">
        <f t="shared" si="5"/>
        <v>83.33333333</v>
      </c>
      <c r="R41" s="63">
        <v>9.0</v>
      </c>
      <c r="S41" s="57">
        <f t="shared" si="8"/>
        <v>69</v>
      </c>
      <c r="T41" s="104">
        <v>8.0</v>
      </c>
      <c r="U41" s="55">
        <f t="shared" si="9"/>
        <v>72.72727273</v>
      </c>
      <c r="V41" s="55">
        <f t="shared" si="7"/>
        <v>70.21556141</v>
      </c>
    </row>
    <row r="42" ht="18.0" customHeight="1">
      <c r="A42" s="41">
        <v>32.0</v>
      </c>
      <c r="B42" s="65" t="s">
        <v>86</v>
      </c>
      <c r="C42" s="66" t="s">
        <v>87</v>
      </c>
      <c r="D42" s="112">
        <v>17.0</v>
      </c>
      <c r="E42" s="112">
        <v>22.27586207</v>
      </c>
      <c r="F42" s="60">
        <v>26.0</v>
      </c>
      <c r="G42" s="47">
        <v>61.0</v>
      </c>
      <c r="H42" s="48">
        <v>23.0</v>
      </c>
      <c r="I42" s="49">
        <f t="shared" si="1"/>
        <v>38.33333333</v>
      </c>
      <c r="J42" s="99">
        <v>34.0</v>
      </c>
      <c r="K42" s="100">
        <f t="shared" si="2"/>
        <v>61.81818182</v>
      </c>
      <c r="L42" s="52">
        <v>5.0</v>
      </c>
      <c r="M42" s="51">
        <f t="shared" si="3"/>
        <v>36</v>
      </c>
      <c r="N42" s="52">
        <v>9.0</v>
      </c>
      <c r="O42" s="101">
        <f t="shared" si="4"/>
        <v>37.5</v>
      </c>
      <c r="P42" s="113">
        <v>5.0</v>
      </c>
      <c r="Q42" s="55">
        <f t="shared" si="5"/>
        <v>83.33333333</v>
      </c>
      <c r="R42" s="63">
        <v>7.0</v>
      </c>
      <c r="S42" s="57">
        <f t="shared" si="8"/>
        <v>54</v>
      </c>
      <c r="T42" s="104">
        <v>7.0</v>
      </c>
      <c r="U42" s="55">
        <f t="shared" si="9"/>
        <v>63.63636364</v>
      </c>
      <c r="V42" s="55">
        <f t="shared" si="7"/>
        <v>50.87745269</v>
      </c>
    </row>
    <row r="43" ht="18.0" customHeight="1">
      <c r="A43" s="41">
        <v>33.0</v>
      </c>
      <c r="B43" s="65" t="s">
        <v>88</v>
      </c>
      <c r="C43" s="66" t="s">
        <v>89</v>
      </c>
      <c r="D43" s="112">
        <v>30.0</v>
      </c>
      <c r="E43" s="112">
        <v>78.94736842</v>
      </c>
      <c r="F43" s="60">
        <v>38.0</v>
      </c>
      <c r="G43" s="47">
        <v>89.0</v>
      </c>
      <c r="H43" s="48">
        <v>58.0</v>
      </c>
      <c r="I43" s="49">
        <f t="shared" si="1"/>
        <v>96.66666667</v>
      </c>
      <c r="J43" s="99">
        <v>47.0</v>
      </c>
      <c r="K43" s="100">
        <f t="shared" si="2"/>
        <v>85.45454545</v>
      </c>
      <c r="L43" s="52">
        <v>12.0</v>
      </c>
      <c r="M43" s="51">
        <f t="shared" si="3"/>
        <v>86</v>
      </c>
      <c r="N43" s="52">
        <v>19.0</v>
      </c>
      <c r="O43" s="101">
        <f t="shared" si="4"/>
        <v>79.16666667</v>
      </c>
      <c r="P43" s="110">
        <v>5.0</v>
      </c>
      <c r="Q43" s="55">
        <f t="shared" si="5"/>
        <v>83.33333333</v>
      </c>
      <c r="R43" s="63">
        <v>11.0</v>
      </c>
      <c r="S43" s="57">
        <f t="shared" si="8"/>
        <v>85</v>
      </c>
      <c r="T43" s="104">
        <v>10.0</v>
      </c>
      <c r="U43" s="55">
        <f t="shared" si="9"/>
        <v>90.90909091</v>
      </c>
      <c r="V43" s="55">
        <f t="shared" si="7"/>
        <v>86.05307461</v>
      </c>
    </row>
    <row r="44" ht="18.0" customHeight="1">
      <c r="A44" s="41">
        <v>34.0</v>
      </c>
      <c r="B44" s="65" t="s">
        <v>90</v>
      </c>
      <c r="C44" s="66" t="s">
        <v>91</v>
      </c>
      <c r="D44" s="112">
        <v>32.0</v>
      </c>
      <c r="E44" s="112">
        <v>84.21052632</v>
      </c>
      <c r="F44" s="60">
        <v>33.0</v>
      </c>
      <c r="G44" s="47">
        <v>77.0</v>
      </c>
      <c r="H44" s="48">
        <v>50.0</v>
      </c>
      <c r="I44" s="49">
        <f t="shared" si="1"/>
        <v>83.33333333</v>
      </c>
      <c r="J44" s="99">
        <v>42.0</v>
      </c>
      <c r="K44" s="100">
        <f t="shared" si="2"/>
        <v>76.36363636</v>
      </c>
      <c r="L44" s="52">
        <v>13.0</v>
      </c>
      <c r="M44" s="51">
        <f t="shared" si="3"/>
        <v>93</v>
      </c>
      <c r="N44" s="52">
        <v>17.0</v>
      </c>
      <c r="O44" s="101">
        <f t="shared" si="4"/>
        <v>70.83333333</v>
      </c>
      <c r="P44" s="110">
        <v>6.0</v>
      </c>
      <c r="Q44" s="55">
        <f t="shared" si="5"/>
        <v>100</v>
      </c>
      <c r="R44" s="63">
        <v>12.0</v>
      </c>
      <c r="S44" s="57">
        <f t="shared" si="8"/>
        <v>92</v>
      </c>
      <c r="T44" s="104">
        <v>9.0</v>
      </c>
      <c r="U44" s="55">
        <f t="shared" si="9"/>
        <v>81.81818182</v>
      </c>
      <c r="V44" s="55">
        <f t="shared" si="7"/>
        <v>84.28433457</v>
      </c>
    </row>
    <row r="45" ht="18.0" customHeight="1">
      <c r="A45" s="41">
        <v>35.0</v>
      </c>
      <c r="B45" s="65" t="s">
        <v>92</v>
      </c>
      <c r="C45" s="66" t="s">
        <v>93</v>
      </c>
      <c r="D45" s="112">
        <v>30.0</v>
      </c>
      <c r="E45" s="112">
        <v>78.94736842</v>
      </c>
      <c r="F45" s="60">
        <v>37.0</v>
      </c>
      <c r="G45" s="47">
        <v>86.0</v>
      </c>
      <c r="H45" s="48">
        <v>44.0</v>
      </c>
      <c r="I45" s="49">
        <f t="shared" si="1"/>
        <v>73.33333333</v>
      </c>
      <c r="J45" s="99">
        <v>49.0</v>
      </c>
      <c r="K45" s="100">
        <f t="shared" si="2"/>
        <v>89.09090909</v>
      </c>
      <c r="L45" s="52">
        <v>12.0</v>
      </c>
      <c r="M45" s="51">
        <f t="shared" si="3"/>
        <v>86</v>
      </c>
      <c r="N45" s="52">
        <v>18.0</v>
      </c>
      <c r="O45" s="101">
        <f t="shared" si="4"/>
        <v>75</v>
      </c>
      <c r="P45" s="110">
        <v>6.0</v>
      </c>
      <c r="Q45" s="55">
        <f t="shared" si="5"/>
        <v>100</v>
      </c>
      <c r="R45" s="63">
        <v>11.0</v>
      </c>
      <c r="S45" s="57">
        <f t="shared" si="8"/>
        <v>85</v>
      </c>
      <c r="T45" s="104">
        <v>9.0</v>
      </c>
      <c r="U45" s="55">
        <f t="shared" si="9"/>
        <v>81.81818182</v>
      </c>
      <c r="V45" s="55">
        <f t="shared" si="7"/>
        <v>83.90997696</v>
      </c>
    </row>
    <row r="46" ht="18.0" customHeight="1">
      <c r="A46" s="41">
        <v>36.0</v>
      </c>
      <c r="B46" s="65" t="s">
        <v>94</v>
      </c>
      <c r="C46" s="66" t="s">
        <v>95</v>
      </c>
      <c r="D46" s="112">
        <v>30.0</v>
      </c>
      <c r="E46" s="112">
        <v>78.94736842</v>
      </c>
      <c r="F46" s="60">
        <v>32.0</v>
      </c>
      <c r="G46" s="47">
        <v>75.0</v>
      </c>
      <c r="H46" s="48">
        <v>46.0</v>
      </c>
      <c r="I46" s="49">
        <f t="shared" si="1"/>
        <v>76.66666667</v>
      </c>
      <c r="J46" s="99">
        <v>49.0</v>
      </c>
      <c r="K46" s="100">
        <f t="shared" si="2"/>
        <v>89.09090909</v>
      </c>
      <c r="L46" s="52">
        <v>11.0</v>
      </c>
      <c r="M46" s="51">
        <f t="shared" si="3"/>
        <v>79</v>
      </c>
      <c r="N46" s="52">
        <v>15.0</v>
      </c>
      <c r="O46" s="101">
        <f t="shared" si="4"/>
        <v>62.5</v>
      </c>
      <c r="P46" s="110">
        <v>6.0</v>
      </c>
      <c r="Q46" s="55">
        <f t="shared" si="5"/>
        <v>100</v>
      </c>
      <c r="R46" s="63">
        <v>11.0</v>
      </c>
      <c r="S46" s="57">
        <f t="shared" si="8"/>
        <v>85</v>
      </c>
      <c r="T46" s="104">
        <v>6.0</v>
      </c>
      <c r="U46" s="55">
        <f t="shared" si="9"/>
        <v>54.54545455</v>
      </c>
      <c r="V46" s="55">
        <f t="shared" si="7"/>
        <v>77.86115541</v>
      </c>
    </row>
    <row r="47" ht="18.0" customHeight="1">
      <c r="A47" s="41">
        <v>37.0</v>
      </c>
      <c r="B47" s="65" t="s">
        <v>96</v>
      </c>
      <c r="C47" s="66" t="s">
        <v>97</v>
      </c>
      <c r="D47" s="112">
        <v>19.0</v>
      </c>
      <c r="E47" s="112">
        <v>50.0</v>
      </c>
      <c r="F47" s="60">
        <v>28.0</v>
      </c>
      <c r="G47" s="47">
        <v>66.0</v>
      </c>
      <c r="H47" s="48">
        <v>31.0</v>
      </c>
      <c r="I47" s="49">
        <f t="shared" si="1"/>
        <v>51.66666667</v>
      </c>
      <c r="J47" s="99">
        <v>34.0</v>
      </c>
      <c r="K47" s="100">
        <f t="shared" si="2"/>
        <v>61.81818182</v>
      </c>
      <c r="L47" s="52">
        <v>9.0</v>
      </c>
      <c r="M47" s="51">
        <f t="shared" si="3"/>
        <v>64</v>
      </c>
      <c r="N47" s="52">
        <v>16.0</v>
      </c>
      <c r="O47" s="101">
        <f t="shared" si="4"/>
        <v>66.66666667</v>
      </c>
      <c r="P47" s="110">
        <v>6.0</v>
      </c>
      <c r="Q47" s="55">
        <f t="shared" si="5"/>
        <v>100</v>
      </c>
      <c r="R47" s="63">
        <v>10.0</v>
      </c>
      <c r="S47" s="57">
        <f t="shared" si="8"/>
        <v>77</v>
      </c>
      <c r="T47" s="104">
        <v>8.0</v>
      </c>
      <c r="U47" s="55">
        <f t="shared" si="9"/>
        <v>72.72727273</v>
      </c>
      <c r="V47" s="55">
        <f t="shared" si="7"/>
        <v>67.76430976</v>
      </c>
    </row>
    <row r="48" ht="18.0" customHeight="1">
      <c r="A48" s="41">
        <v>38.0</v>
      </c>
      <c r="B48" s="65" t="s">
        <v>98</v>
      </c>
      <c r="C48" s="66" t="s">
        <v>99</v>
      </c>
      <c r="D48" s="112">
        <v>17.0</v>
      </c>
      <c r="E48" s="112">
        <v>44.73684211</v>
      </c>
      <c r="F48" s="60">
        <v>23.0</v>
      </c>
      <c r="G48" s="47">
        <v>54.0</v>
      </c>
      <c r="H48" s="48">
        <v>32.0</v>
      </c>
      <c r="I48" s="49">
        <f t="shared" si="1"/>
        <v>53.33333333</v>
      </c>
      <c r="J48" s="99">
        <v>36.0</v>
      </c>
      <c r="K48" s="100">
        <f t="shared" si="2"/>
        <v>65.45454545</v>
      </c>
      <c r="L48" s="52">
        <v>7.0</v>
      </c>
      <c r="M48" s="51">
        <f t="shared" si="3"/>
        <v>50</v>
      </c>
      <c r="N48" s="52">
        <v>10.0</v>
      </c>
      <c r="O48" s="101">
        <f t="shared" si="4"/>
        <v>41.66666667</v>
      </c>
      <c r="P48" s="110">
        <v>4.0</v>
      </c>
      <c r="Q48" s="55">
        <f t="shared" si="5"/>
        <v>66.66666667</v>
      </c>
      <c r="R48" s="63">
        <v>6.0</v>
      </c>
      <c r="S48" s="57">
        <f t="shared" si="8"/>
        <v>46</v>
      </c>
      <c r="T48" s="104">
        <v>8.0</v>
      </c>
      <c r="U48" s="55">
        <f t="shared" si="9"/>
        <v>72.72727273</v>
      </c>
      <c r="V48" s="55">
        <f t="shared" si="7"/>
        <v>54.95392522</v>
      </c>
    </row>
    <row r="49" ht="18.0" customHeight="1">
      <c r="A49" s="41">
        <v>39.0</v>
      </c>
      <c r="B49" s="65" t="s">
        <v>100</v>
      </c>
      <c r="C49" s="66" t="s">
        <v>101</v>
      </c>
      <c r="D49" s="112">
        <v>20.0</v>
      </c>
      <c r="E49" s="112">
        <v>52.63157895</v>
      </c>
      <c r="F49" s="60">
        <v>26.0</v>
      </c>
      <c r="G49" s="47">
        <v>66.0</v>
      </c>
      <c r="H49" s="48">
        <v>33.0</v>
      </c>
      <c r="I49" s="49">
        <f t="shared" si="1"/>
        <v>55</v>
      </c>
      <c r="J49" s="99">
        <v>37.0</v>
      </c>
      <c r="K49" s="100">
        <f t="shared" si="2"/>
        <v>67.27272727</v>
      </c>
      <c r="L49" s="52">
        <v>9.0</v>
      </c>
      <c r="M49" s="51">
        <f t="shared" si="3"/>
        <v>64</v>
      </c>
      <c r="N49" s="52">
        <v>15.0</v>
      </c>
      <c r="O49" s="101">
        <f t="shared" si="4"/>
        <v>62.5</v>
      </c>
      <c r="P49" s="110">
        <v>6.0</v>
      </c>
      <c r="Q49" s="55">
        <f t="shared" si="5"/>
        <v>100</v>
      </c>
      <c r="R49" s="63">
        <v>10.0</v>
      </c>
      <c r="S49" s="57">
        <f t="shared" si="8"/>
        <v>77</v>
      </c>
      <c r="T49" s="104">
        <v>8.0</v>
      </c>
      <c r="U49" s="55">
        <f t="shared" si="9"/>
        <v>72.72727273</v>
      </c>
      <c r="V49" s="55">
        <f t="shared" si="7"/>
        <v>68.57017544</v>
      </c>
    </row>
    <row r="50" ht="18.0" customHeight="1">
      <c r="A50" s="41">
        <v>40.0</v>
      </c>
      <c r="B50" s="65" t="s">
        <v>102</v>
      </c>
      <c r="C50" s="66" t="s">
        <v>103</v>
      </c>
      <c r="D50" s="112">
        <v>28.0</v>
      </c>
      <c r="E50" s="112">
        <v>73.68421053</v>
      </c>
      <c r="F50" s="60">
        <v>33.0</v>
      </c>
      <c r="G50" s="47">
        <v>77.0</v>
      </c>
      <c r="H50" s="48">
        <v>45.0</v>
      </c>
      <c r="I50" s="49">
        <f t="shared" si="1"/>
        <v>75</v>
      </c>
      <c r="J50" s="99">
        <v>48.0</v>
      </c>
      <c r="K50" s="100">
        <f t="shared" si="2"/>
        <v>87.27272727</v>
      </c>
      <c r="L50" s="52">
        <v>10.0</v>
      </c>
      <c r="M50" s="51">
        <f t="shared" si="3"/>
        <v>71</v>
      </c>
      <c r="N50" s="52">
        <v>19.0</v>
      </c>
      <c r="O50" s="101">
        <f t="shared" si="4"/>
        <v>79.16666667</v>
      </c>
      <c r="P50" s="110">
        <v>6.0</v>
      </c>
      <c r="Q50" s="55">
        <f t="shared" si="5"/>
        <v>100</v>
      </c>
      <c r="R50" s="63">
        <v>9.0</v>
      </c>
      <c r="S50" s="57">
        <f t="shared" si="8"/>
        <v>69</v>
      </c>
      <c r="T50" s="104">
        <v>9.0</v>
      </c>
      <c r="U50" s="55">
        <f t="shared" si="9"/>
        <v>81.81818182</v>
      </c>
      <c r="V50" s="55">
        <f t="shared" si="7"/>
        <v>79.32686514</v>
      </c>
    </row>
    <row r="51" ht="18.0" customHeight="1">
      <c r="A51" s="41">
        <v>41.0</v>
      </c>
      <c r="B51" s="67" t="s">
        <v>104</v>
      </c>
      <c r="C51" s="66" t="s">
        <v>105</v>
      </c>
      <c r="D51" s="112">
        <v>18.0</v>
      </c>
      <c r="E51" s="112">
        <v>47.36842105</v>
      </c>
      <c r="F51" s="60">
        <v>27.0</v>
      </c>
      <c r="G51" s="47">
        <v>63.0</v>
      </c>
      <c r="H51" s="48">
        <v>31.0</v>
      </c>
      <c r="I51" s="49">
        <f t="shared" si="1"/>
        <v>51.66666667</v>
      </c>
      <c r="J51" s="99">
        <v>36.0</v>
      </c>
      <c r="K51" s="100">
        <f t="shared" si="2"/>
        <v>65.45454545</v>
      </c>
      <c r="L51" s="52">
        <v>8.0</v>
      </c>
      <c r="M51" s="51">
        <f t="shared" si="3"/>
        <v>57</v>
      </c>
      <c r="N51" s="52">
        <v>14.0</v>
      </c>
      <c r="O51" s="101">
        <f t="shared" si="4"/>
        <v>58.33333333</v>
      </c>
      <c r="P51" s="110">
        <v>4.0</v>
      </c>
      <c r="Q51" s="55">
        <f t="shared" si="5"/>
        <v>66.66666667</v>
      </c>
      <c r="R51" s="63">
        <v>6.0</v>
      </c>
      <c r="S51" s="57">
        <f t="shared" si="8"/>
        <v>46</v>
      </c>
      <c r="T51" s="104">
        <v>8.0</v>
      </c>
      <c r="U51" s="55">
        <f t="shared" si="9"/>
        <v>72.72727273</v>
      </c>
      <c r="V51" s="55">
        <f t="shared" si="7"/>
        <v>58.69076732</v>
      </c>
    </row>
    <row r="52" ht="18.0" customHeight="1">
      <c r="A52" s="41">
        <v>42.0</v>
      </c>
      <c r="B52" s="67" t="s">
        <v>106</v>
      </c>
      <c r="C52" s="68" t="s">
        <v>107</v>
      </c>
      <c r="D52" s="112">
        <v>26.0</v>
      </c>
      <c r="E52" s="112">
        <v>68.42105263</v>
      </c>
      <c r="F52" s="60">
        <v>39.0</v>
      </c>
      <c r="G52" s="47">
        <v>91.0</v>
      </c>
      <c r="H52" s="48">
        <v>37.0</v>
      </c>
      <c r="I52" s="49">
        <f t="shared" si="1"/>
        <v>61.66666667</v>
      </c>
      <c r="J52" s="99">
        <v>47.0</v>
      </c>
      <c r="K52" s="100">
        <f t="shared" si="2"/>
        <v>85.45454545</v>
      </c>
      <c r="L52" s="52">
        <v>13.0</v>
      </c>
      <c r="M52" s="51">
        <f t="shared" si="3"/>
        <v>93</v>
      </c>
      <c r="N52" s="52">
        <v>17.0</v>
      </c>
      <c r="O52" s="101">
        <f t="shared" si="4"/>
        <v>70.83333333</v>
      </c>
      <c r="P52" s="110">
        <v>6.0</v>
      </c>
      <c r="Q52" s="55">
        <f t="shared" si="5"/>
        <v>100</v>
      </c>
      <c r="R52" s="63">
        <v>12.0</v>
      </c>
      <c r="S52" s="57">
        <f t="shared" si="8"/>
        <v>92</v>
      </c>
      <c r="T52" s="104">
        <v>8.0</v>
      </c>
      <c r="U52" s="55">
        <f t="shared" si="9"/>
        <v>72.72727273</v>
      </c>
      <c r="V52" s="55">
        <f t="shared" si="7"/>
        <v>81.67809676</v>
      </c>
    </row>
    <row r="53" ht="18.0" customHeight="1">
      <c r="A53" s="41">
        <v>43.0</v>
      </c>
      <c r="B53" s="67" t="s">
        <v>108</v>
      </c>
      <c r="C53" s="69" t="s">
        <v>109</v>
      </c>
      <c r="D53" s="112">
        <v>22.0</v>
      </c>
      <c r="E53" s="112">
        <v>57.89473684</v>
      </c>
      <c r="F53" s="60">
        <v>26.0</v>
      </c>
      <c r="G53" s="47">
        <v>61.0</v>
      </c>
      <c r="H53" s="48">
        <v>32.0</v>
      </c>
      <c r="I53" s="49">
        <f t="shared" si="1"/>
        <v>53.33333333</v>
      </c>
      <c r="J53" s="99">
        <v>41.0</v>
      </c>
      <c r="K53" s="100">
        <f t="shared" si="2"/>
        <v>74.54545455</v>
      </c>
      <c r="L53" s="52">
        <v>9.0</v>
      </c>
      <c r="M53" s="51">
        <f t="shared" si="3"/>
        <v>64</v>
      </c>
      <c r="N53" s="52">
        <v>9.0</v>
      </c>
      <c r="O53" s="101">
        <f t="shared" si="4"/>
        <v>37.5</v>
      </c>
      <c r="P53" s="110">
        <v>4.0</v>
      </c>
      <c r="Q53" s="55">
        <f t="shared" si="5"/>
        <v>66.66666667</v>
      </c>
      <c r="R53" s="63">
        <v>6.0</v>
      </c>
      <c r="S53" s="57">
        <f t="shared" si="8"/>
        <v>46</v>
      </c>
      <c r="T53" s="104">
        <v>7.0</v>
      </c>
      <c r="U53" s="55">
        <f t="shared" si="9"/>
        <v>63.63636364</v>
      </c>
      <c r="V53" s="55">
        <f t="shared" si="7"/>
        <v>58.28628389</v>
      </c>
    </row>
    <row r="54" ht="29.25" customHeight="1">
      <c r="A54" s="70" t="s">
        <v>110</v>
      </c>
      <c r="B54" s="5"/>
      <c r="C54" s="6"/>
      <c r="D54" s="71" t="s">
        <v>111</v>
      </c>
      <c r="E54" s="6"/>
      <c r="F54" s="71" t="s">
        <v>112</v>
      </c>
      <c r="G54" s="6"/>
      <c r="H54" s="71" t="s">
        <v>113</v>
      </c>
      <c r="I54" s="6"/>
      <c r="J54" s="28" t="s">
        <v>114</v>
      </c>
      <c r="K54" s="6"/>
      <c r="L54" s="28" t="s">
        <v>115</v>
      </c>
      <c r="M54" s="5"/>
      <c r="N54" s="71" t="s">
        <v>116</v>
      </c>
      <c r="O54" s="6"/>
      <c r="P54" s="28" t="s">
        <v>128</v>
      </c>
      <c r="Q54" s="6"/>
      <c r="R54" s="72" t="s">
        <v>115</v>
      </c>
      <c r="S54" s="105"/>
      <c r="T54" s="72" t="s">
        <v>129</v>
      </c>
      <c r="U54" s="114"/>
      <c r="V54" s="55"/>
    </row>
    <row r="55" ht="27.0" customHeight="1">
      <c r="A55" s="74"/>
      <c r="B55" s="75"/>
      <c r="C55" s="76"/>
      <c r="D55" s="77"/>
      <c r="E55" s="77"/>
      <c r="F55" s="74"/>
      <c r="G55" s="78"/>
      <c r="H55" s="79"/>
      <c r="I55" s="79"/>
      <c r="J55" s="74"/>
      <c r="K55" s="13"/>
      <c r="L55" s="74"/>
      <c r="M55" s="13"/>
      <c r="N55" s="74"/>
      <c r="O55" s="80"/>
      <c r="P55" s="74"/>
      <c r="Q55" s="74"/>
      <c r="R55" s="81"/>
      <c r="S55" s="81"/>
      <c r="T55" s="106"/>
      <c r="U55" s="81"/>
      <c r="V55" s="81"/>
    </row>
    <row r="56" ht="29.25" customHeight="1">
      <c r="A56" s="83"/>
      <c r="B56" s="84" t="s">
        <v>118</v>
      </c>
      <c r="D56" s="13"/>
      <c r="E56" s="13"/>
      <c r="F56" s="85"/>
      <c r="G56" s="86" t="s">
        <v>119</v>
      </c>
      <c r="H56" s="13"/>
      <c r="I56" s="87" t="s">
        <v>120</v>
      </c>
      <c r="J56" s="74"/>
      <c r="K56" s="88" t="s">
        <v>121</v>
      </c>
      <c r="L56" s="89"/>
      <c r="M56" s="86"/>
      <c r="N56" s="90"/>
      <c r="O56" s="80"/>
      <c r="P56" s="91"/>
      <c r="Q56" s="92" t="s">
        <v>122</v>
      </c>
      <c r="R56" s="86"/>
      <c r="S56" s="86"/>
      <c r="T56" s="86"/>
      <c r="U56" s="86"/>
      <c r="V56" s="86"/>
    </row>
    <row r="57" ht="11.25" customHeight="1">
      <c r="A57" s="83"/>
      <c r="B57" s="84"/>
      <c r="C57" s="13"/>
      <c r="D57" s="1"/>
      <c r="E57" s="1"/>
      <c r="F57" s="1"/>
      <c r="G57" s="1"/>
      <c r="H57" s="1"/>
      <c r="I57" s="1"/>
      <c r="J57" s="1"/>
      <c r="K57" s="1"/>
      <c r="L57" s="13"/>
      <c r="M57" s="13"/>
      <c r="N57" s="13"/>
      <c r="O57" s="13"/>
      <c r="P57" s="1"/>
      <c r="Q57" s="1"/>
      <c r="R57" s="86"/>
      <c r="S57" s="13"/>
      <c r="T57" s="13"/>
      <c r="U57" s="13"/>
      <c r="V57" s="13"/>
    </row>
    <row r="58" ht="11.25" customHeight="1">
      <c r="A58" s="13"/>
      <c r="B58" s="9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1.25" customHeight="1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1.25" customHeight="1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1.25" customHeight="1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1.25" customHeight="1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1.25" customHeight="1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1.25" customHeight="1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1.25" customHeight="1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1.25" customHeight="1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1.25" customHeight="1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1.25" customHeight="1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1.2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1.2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1.2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1.2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1.2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1.2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1.2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1.2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1.2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1.2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1.2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1.2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1.2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1.2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1.2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1.2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1.2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1.2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1.2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1.2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1.2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1.2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1.2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1.2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1.2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1.2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1.2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1.2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1.2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1.2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1.2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1.2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1.2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1.2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1.2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1.2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1.2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1.2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1.2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1.2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1.2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1.2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1.2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1.2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1.2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1.2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1.2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1.2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1.2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1.2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1.2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1.2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1.2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1.2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1.2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1.2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1.2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1.2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1.2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1.2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1.2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1.2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1.2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1.2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1.2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1.2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1.2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1.2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1.2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1.2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1.2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1.2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1.2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1.2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1.2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1.2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1.2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1.2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1.2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1.2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1.2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1.2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1.2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1.2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1.2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1.2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1.2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1.2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1.2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1.2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1.2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1.2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1.2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1.2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1.2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1.2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1.2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1.2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1.2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1.2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1.2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1.2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1.2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1.2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1.2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1.2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1.2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1.2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1.2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1.2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1.2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1.2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1.2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1.2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1.2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1.2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1.2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1.2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1.2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1.2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1.2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1.2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1.2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1.2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1.2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1.2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1.2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1.2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1.2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1.2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1.2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1.2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1.2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1.2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1.2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1.2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1.2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1.2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1.2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1.2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1.2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1.2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1.2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1.2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1.2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1.2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1.2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1.2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1.2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1.2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1.2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1.2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1.2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1.2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1.2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1.2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1.2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1.2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1.2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1.2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1.2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1.2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1.2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1.2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1.2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1.2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1.2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1.2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1.2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1.2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1.2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1.2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1.2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1.2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1.2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1.2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1.2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1.2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1.2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1.2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1.2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1.2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1.2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1.2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1.2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1.2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1.2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1.2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75" customHeight="1">
      <c r="B257" s="94"/>
    </row>
    <row r="258" ht="15.75" customHeight="1">
      <c r="B258" s="94"/>
    </row>
    <row r="259" ht="15.75" customHeight="1">
      <c r="B259" s="94"/>
    </row>
    <row r="260" ht="15.75" customHeight="1">
      <c r="B260" s="94"/>
    </row>
    <row r="261" ht="15.75" customHeight="1">
      <c r="B261" s="94"/>
    </row>
    <row r="262" ht="15.75" customHeight="1">
      <c r="B262" s="94"/>
    </row>
    <row r="263" ht="15.75" customHeight="1">
      <c r="B263" s="94"/>
    </row>
    <row r="264" ht="15.75" customHeight="1">
      <c r="B264" s="94"/>
    </row>
    <row r="265" ht="15.75" customHeight="1">
      <c r="B265" s="94"/>
    </row>
    <row r="266" ht="15.75" customHeight="1">
      <c r="B266" s="94"/>
    </row>
    <row r="267" ht="15.75" customHeight="1">
      <c r="B267" s="94"/>
    </row>
    <row r="268" ht="15.75" customHeight="1">
      <c r="B268" s="94"/>
    </row>
    <row r="269" ht="15.75" customHeight="1">
      <c r="B269" s="94"/>
    </row>
    <row r="270" ht="15.75" customHeight="1">
      <c r="B270" s="94"/>
    </row>
    <row r="271" ht="15.75" customHeight="1">
      <c r="B271" s="94"/>
    </row>
    <row r="272" ht="15.75" customHeight="1">
      <c r="B272" s="94"/>
    </row>
    <row r="273" ht="15.75" customHeight="1">
      <c r="B273" s="94"/>
    </row>
    <row r="274" ht="15.75" customHeight="1">
      <c r="B274" s="94"/>
    </row>
    <row r="275" ht="15.75" customHeight="1">
      <c r="B275" s="94"/>
    </row>
    <row r="276" ht="15.75" customHeight="1">
      <c r="B276" s="94"/>
    </row>
    <row r="277" ht="15.75" customHeight="1">
      <c r="B277" s="94"/>
    </row>
    <row r="278" ht="15.75" customHeight="1">
      <c r="B278" s="94"/>
    </row>
    <row r="279" ht="15.75" customHeight="1">
      <c r="B279" s="94"/>
    </row>
    <row r="280" ht="15.75" customHeight="1">
      <c r="B280" s="94"/>
    </row>
    <row r="281" ht="15.75" customHeight="1">
      <c r="B281" s="94"/>
    </row>
    <row r="282" ht="15.75" customHeight="1">
      <c r="B282" s="94"/>
    </row>
    <row r="283" ht="15.75" customHeight="1">
      <c r="B283" s="94"/>
    </row>
    <row r="284" ht="15.75" customHeight="1">
      <c r="B284" s="94"/>
    </row>
    <row r="285" ht="15.75" customHeight="1">
      <c r="B285" s="94"/>
    </row>
    <row r="286" ht="15.75" customHeight="1">
      <c r="B286" s="94"/>
    </row>
    <row r="287" ht="15.75" customHeight="1">
      <c r="B287" s="94"/>
    </row>
    <row r="288" ht="15.75" customHeight="1">
      <c r="B288" s="94"/>
    </row>
    <row r="289" ht="15.75" customHeight="1">
      <c r="B289" s="94"/>
    </row>
    <row r="290" ht="15.75" customHeight="1">
      <c r="B290" s="94"/>
    </row>
    <row r="291" ht="15.75" customHeight="1">
      <c r="B291" s="94"/>
    </row>
    <row r="292" ht="15.75" customHeight="1">
      <c r="B292" s="94"/>
    </row>
    <row r="293" ht="15.75" customHeight="1">
      <c r="B293" s="94"/>
    </row>
    <row r="294" ht="15.75" customHeight="1">
      <c r="B294" s="94"/>
    </row>
    <row r="295" ht="15.75" customHeight="1">
      <c r="B295" s="94"/>
    </row>
    <row r="296" ht="15.75" customHeight="1">
      <c r="B296" s="94"/>
    </row>
    <row r="297" ht="15.75" customHeight="1">
      <c r="B297" s="94"/>
    </row>
    <row r="298" ht="15.75" customHeight="1">
      <c r="B298" s="94"/>
    </row>
    <row r="299" ht="15.75" customHeight="1">
      <c r="B299" s="94"/>
    </row>
    <row r="300" ht="15.75" customHeight="1">
      <c r="B300" s="94"/>
    </row>
    <row r="301" ht="15.75" customHeight="1">
      <c r="B301" s="94"/>
    </row>
    <row r="302" ht="15.75" customHeight="1">
      <c r="B302" s="94"/>
    </row>
    <row r="303" ht="15.75" customHeight="1">
      <c r="B303" s="94"/>
    </row>
    <row r="304" ht="15.75" customHeight="1">
      <c r="B304" s="94"/>
    </row>
    <row r="305" ht="15.75" customHeight="1">
      <c r="B305" s="94"/>
    </row>
    <row r="306" ht="15.75" customHeight="1">
      <c r="B306" s="94"/>
    </row>
    <row r="307" ht="15.75" customHeight="1">
      <c r="B307" s="94"/>
    </row>
    <row r="308" ht="15.75" customHeight="1">
      <c r="B308" s="94"/>
    </row>
    <row r="309" ht="15.75" customHeight="1">
      <c r="B309" s="94"/>
    </row>
    <row r="310" ht="15.75" customHeight="1">
      <c r="B310" s="94"/>
    </row>
    <row r="311" ht="15.75" customHeight="1">
      <c r="B311" s="94"/>
    </row>
    <row r="312" ht="15.75" customHeight="1">
      <c r="B312" s="94"/>
    </row>
    <row r="313" ht="15.75" customHeight="1">
      <c r="B313" s="94"/>
    </row>
    <row r="314" ht="15.75" customHeight="1">
      <c r="B314" s="94"/>
    </row>
    <row r="315" ht="15.75" customHeight="1">
      <c r="B315" s="94"/>
    </row>
    <row r="316" ht="15.75" customHeight="1">
      <c r="B316" s="94"/>
    </row>
    <row r="317" ht="15.75" customHeight="1">
      <c r="B317" s="94"/>
    </row>
    <row r="318" ht="15.75" customHeight="1">
      <c r="B318" s="94"/>
    </row>
    <row r="319" ht="15.75" customHeight="1">
      <c r="B319" s="94"/>
    </row>
    <row r="320" ht="15.75" customHeight="1">
      <c r="B320" s="94"/>
    </row>
    <row r="321" ht="15.75" customHeight="1">
      <c r="B321" s="94"/>
    </row>
    <row r="322" ht="15.75" customHeight="1">
      <c r="B322" s="94"/>
    </row>
    <row r="323" ht="15.75" customHeight="1">
      <c r="B323" s="94"/>
    </row>
    <row r="324" ht="15.75" customHeight="1">
      <c r="B324" s="94"/>
    </row>
    <row r="325" ht="15.75" customHeight="1">
      <c r="B325" s="94"/>
    </row>
    <row r="326" ht="15.75" customHeight="1">
      <c r="B326" s="94"/>
    </row>
    <row r="327" ht="15.75" customHeight="1">
      <c r="B327" s="94"/>
    </row>
    <row r="328" ht="15.75" customHeight="1">
      <c r="B328" s="94"/>
    </row>
    <row r="329" ht="15.75" customHeight="1">
      <c r="B329" s="94"/>
    </row>
    <row r="330" ht="15.75" customHeight="1">
      <c r="B330" s="94"/>
    </row>
    <row r="331" ht="15.75" customHeight="1">
      <c r="B331" s="94"/>
    </row>
    <row r="332" ht="15.75" customHeight="1">
      <c r="B332" s="94"/>
    </row>
    <row r="333" ht="15.75" customHeight="1">
      <c r="B333" s="94"/>
    </row>
    <row r="334" ht="15.75" customHeight="1">
      <c r="B334" s="94"/>
    </row>
    <row r="335" ht="15.75" customHeight="1">
      <c r="B335" s="94"/>
    </row>
    <row r="336" ht="15.75" customHeight="1">
      <c r="B336" s="94"/>
    </row>
    <row r="337" ht="15.75" customHeight="1">
      <c r="B337" s="94"/>
    </row>
    <row r="338" ht="15.75" customHeight="1">
      <c r="B338" s="94"/>
    </row>
    <row r="339" ht="15.75" customHeight="1">
      <c r="B339" s="94"/>
    </row>
    <row r="340" ht="15.75" customHeight="1">
      <c r="B340" s="94"/>
    </row>
    <row r="341" ht="15.75" customHeight="1">
      <c r="B341" s="94"/>
    </row>
    <row r="342" ht="15.75" customHeight="1">
      <c r="B342" s="94"/>
    </row>
    <row r="343" ht="15.75" customHeight="1">
      <c r="B343" s="94"/>
    </row>
    <row r="344" ht="15.75" customHeight="1">
      <c r="B344" s="94"/>
    </row>
    <row r="345" ht="15.75" customHeight="1">
      <c r="B345" s="94"/>
    </row>
    <row r="346" ht="15.75" customHeight="1">
      <c r="B346" s="94"/>
    </row>
    <row r="347" ht="15.75" customHeight="1">
      <c r="B347" s="94"/>
    </row>
    <row r="348" ht="15.75" customHeight="1">
      <c r="B348" s="94"/>
    </row>
    <row r="349" ht="15.75" customHeight="1">
      <c r="B349" s="94"/>
    </row>
    <row r="350" ht="15.75" customHeight="1">
      <c r="B350" s="94"/>
    </row>
    <row r="351" ht="15.75" customHeight="1">
      <c r="B351" s="94"/>
    </row>
    <row r="352" ht="15.75" customHeight="1">
      <c r="B352" s="94"/>
    </row>
    <row r="353" ht="15.75" customHeight="1">
      <c r="B353" s="94"/>
    </row>
    <row r="354" ht="15.75" customHeight="1">
      <c r="B354" s="94"/>
    </row>
    <row r="355" ht="15.75" customHeight="1">
      <c r="B355" s="94"/>
    </row>
    <row r="356" ht="15.75" customHeight="1">
      <c r="B356" s="94"/>
    </row>
    <row r="357" ht="15.75" customHeight="1">
      <c r="B357" s="94"/>
    </row>
    <row r="358" ht="15.75" customHeight="1">
      <c r="B358" s="94"/>
    </row>
    <row r="359" ht="15.75" customHeight="1">
      <c r="B359" s="94"/>
    </row>
    <row r="360" ht="15.75" customHeight="1">
      <c r="B360" s="94"/>
    </row>
    <row r="361" ht="15.75" customHeight="1">
      <c r="B361" s="94"/>
    </row>
    <row r="362" ht="15.75" customHeight="1">
      <c r="B362" s="94"/>
    </row>
    <row r="363" ht="15.75" customHeight="1">
      <c r="B363" s="94"/>
    </row>
    <row r="364" ht="15.75" customHeight="1">
      <c r="B364" s="94"/>
    </row>
    <row r="365" ht="15.75" customHeight="1">
      <c r="B365" s="94"/>
    </row>
    <row r="366" ht="15.75" customHeight="1">
      <c r="B366" s="94"/>
    </row>
    <row r="367" ht="15.75" customHeight="1">
      <c r="B367" s="94"/>
    </row>
    <row r="368" ht="15.75" customHeight="1">
      <c r="B368" s="94"/>
    </row>
    <row r="369" ht="15.75" customHeight="1">
      <c r="B369" s="94"/>
    </row>
    <row r="370" ht="15.75" customHeight="1">
      <c r="B370" s="94"/>
    </row>
    <row r="371" ht="15.75" customHeight="1">
      <c r="B371" s="94"/>
    </row>
    <row r="372" ht="15.75" customHeight="1">
      <c r="B372" s="94"/>
    </row>
    <row r="373" ht="15.75" customHeight="1">
      <c r="B373" s="94"/>
    </row>
    <row r="374" ht="15.75" customHeight="1">
      <c r="B374" s="94"/>
    </row>
    <row r="375" ht="15.75" customHeight="1">
      <c r="B375" s="94"/>
    </row>
    <row r="376" ht="15.75" customHeight="1">
      <c r="B376" s="94"/>
    </row>
    <row r="377" ht="15.75" customHeight="1">
      <c r="B377" s="94"/>
    </row>
    <row r="378" ht="15.75" customHeight="1">
      <c r="B378" s="94"/>
    </row>
    <row r="379" ht="15.75" customHeight="1">
      <c r="B379" s="94"/>
    </row>
    <row r="380" ht="15.75" customHeight="1">
      <c r="B380" s="94"/>
    </row>
    <row r="381" ht="15.75" customHeight="1">
      <c r="B381" s="94"/>
    </row>
    <row r="382" ht="15.75" customHeight="1">
      <c r="B382" s="94"/>
    </row>
    <row r="383" ht="15.75" customHeight="1">
      <c r="B383" s="94"/>
    </row>
    <row r="384" ht="15.75" customHeight="1">
      <c r="B384" s="94"/>
    </row>
    <row r="385" ht="15.75" customHeight="1">
      <c r="B385" s="94"/>
    </row>
    <row r="386" ht="15.75" customHeight="1">
      <c r="B386" s="94"/>
    </row>
    <row r="387" ht="15.75" customHeight="1">
      <c r="B387" s="94"/>
    </row>
    <row r="388" ht="15.75" customHeight="1">
      <c r="B388" s="94"/>
    </row>
    <row r="389" ht="15.75" customHeight="1">
      <c r="B389" s="94"/>
    </row>
    <row r="390" ht="15.75" customHeight="1">
      <c r="B390" s="94"/>
    </row>
    <row r="391" ht="15.75" customHeight="1">
      <c r="B391" s="94"/>
    </row>
    <row r="392" ht="15.75" customHeight="1">
      <c r="B392" s="94"/>
    </row>
    <row r="393" ht="15.75" customHeight="1">
      <c r="B393" s="94"/>
    </row>
    <row r="394" ht="15.75" customHeight="1">
      <c r="B394" s="94"/>
    </row>
    <row r="395" ht="15.75" customHeight="1">
      <c r="B395" s="94"/>
    </row>
    <row r="396" ht="15.75" customHeight="1">
      <c r="B396" s="94"/>
    </row>
    <row r="397" ht="15.75" customHeight="1">
      <c r="B397" s="94"/>
    </row>
    <row r="398" ht="15.75" customHeight="1">
      <c r="B398" s="94"/>
    </row>
    <row r="399" ht="15.75" customHeight="1">
      <c r="B399" s="94"/>
    </row>
    <row r="400" ht="15.75" customHeight="1">
      <c r="B400" s="94"/>
    </row>
    <row r="401" ht="15.75" customHeight="1">
      <c r="B401" s="94"/>
    </row>
    <row r="402" ht="15.75" customHeight="1">
      <c r="B402" s="94"/>
    </row>
    <row r="403" ht="15.75" customHeight="1">
      <c r="B403" s="94"/>
    </row>
    <row r="404" ht="15.75" customHeight="1">
      <c r="B404" s="94"/>
    </row>
    <row r="405" ht="15.75" customHeight="1">
      <c r="B405" s="94"/>
    </row>
    <row r="406" ht="15.75" customHeight="1">
      <c r="B406" s="94"/>
    </row>
    <row r="407" ht="15.75" customHeight="1">
      <c r="B407" s="94"/>
    </row>
    <row r="408" ht="15.75" customHeight="1">
      <c r="B408" s="94"/>
    </row>
    <row r="409" ht="15.75" customHeight="1">
      <c r="B409" s="94"/>
    </row>
    <row r="410" ht="15.75" customHeight="1">
      <c r="B410" s="94"/>
    </row>
    <row r="411" ht="15.75" customHeight="1">
      <c r="B411" s="94"/>
    </row>
    <row r="412" ht="15.75" customHeight="1">
      <c r="B412" s="94"/>
    </row>
    <row r="413" ht="15.75" customHeight="1">
      <c r="B413" s="94"/>
    </row>
    <row r="414" ht="15.75" customHeight="1">
      <c r="B414" s="94"/>
    </row>
    <row r="415" ht="15.75" customHeight="1">
      <c r="B415" s="94"/>
    </row>
    <row r="416" ht="15.75" customHeight="1">
      <c r="B416" s="94"/>
    </row>
    <row r="417" ht="15.75" customHeight="1">
      <c r="B417" s="94"/>
    </row>
    <row r="418" ht="15.75" customHeight="1">
      <c r="B418" s="94"/>
    </row>
    <row r="419" ht="15.75" customHeight="1">
      <c r="B419" s="94"/>
    </row>
    <row r="420" ht="15.75" customHeight="1">
      <c r="B420" s="94"/>
    </row>
    <row r="421" ht="15.75" customHeight="1">
      <c r="B421" s="94"/>
    </row>
    <row r="422" ht="15.75" customHeight="1">
      <c r="B422" s="94"/>
    </row>
    <row r="423" ht="15.75" customHeight="1">
      <c r="B423" s="94"/>
    </row>
    <row r="424" ht="15.75" customHeight="1">
      <c r="B424" s="94"/>
    </row>
    <row r="425" ht="15.75" customHeight="1">
      <c r="B425" s="94"/>
    </row>
    <row r="426" ht="15.75" customHeight="1">
      <c r="B426" s="94"/>
    </row>
    <row r="427" ht="15.75" customHeight="1">
      <c r="B427" s="94"/>
    </row>
    <row r="428" ht="15.75" customHeight="1">
      <c r="B428" s="94"/>
    </row>
    <row r="429" ht="15.75" customHeight="1">
      <c r="B429" s="94"/>
    </row>
    <row r="430" ht="15.75" customHeight="1">
      <c r="B430" s="94"/>
    </row>
    <row r="431" ht="15.75" customHeight="1">
      <c r="B431" s="94"/>
    </row>
    <row r="432" ht="15.75" customHeight="1">
      <c r="B432" s="94"/>
    </row>
    <row r="433" ht="15.75" customHeight="1">
      <c r="B433" s="94"/>
    </row>
    <row r="434" ht="15.75" customHeight="1">
      <c r="B434" s="94"/>
    </row>
    <row r="435" ht="15.75" customHeight="1">
      <c r="B435" s="94"/>
    </row>
    <row r="436" ht="15.75" customHeight="1">
      <c r="B436" s="94"/>
    </row>
    <row r="437" ht="15.75" customHeight="1">
      <c r="B437" s="94"/>
    </row>
    <row r="438" ht="15.75" customHeight="1">
      <c r="B438" s="94"/>
    </row>
    <row r="439" ht="15.75" customHeight="1">
      <c r="B439" s="94"/>
    </row>
    <row r="440" ht="15.75" customHeight="1">
      <c r="B440" s="94"/>
    </row>
    <row r="441" ht="15.75" customHeight="1">
      <c r="B441" s="94"/>
    </row>
    <row r="442" ht="15.75" customHeight="1">
      <c r="B442" s="94"/>
    </row>
    <row r="443" ht="15.75" customHeight="1">
      <c r="B443" s="94"/>
    </row>
    <row r="444" ht="15.75" customHeight="1">
      <c r="B444" s="94"/>
    </row>
    <row r="445" ht="15.75" customHeight="1">
      <c r="B445" s="94"/>
    </row>
    <row r="446" ht="15.75" customHeight="1">
      <c r="B446" s="94"/>
    </row>
    <row r="447" ht="15.75" customHeight="1">
      <c r="B447" s="94"/>
    </row>
    <row r="448" ht="15.75" customHeight="1">
      <c r="B448" s="94"/>
    </row>
    <row r="449" ht="15.75" customHeight="1">
      <c r="B449" s="94"/>
    </row>
    <row r="450" ht="15.75" customHeight="1">
      <c r="B450" s="94"/>
    </row>
    <row r="451" ht="15.75" customHeight="1">
      <c r="B451" s="94"/>
    </row>
    <row r="452" ht="15.75" customHeight="1">
      <c r="B452" s="94"/>
    </row>
    <row r="453" ht="15.75" customHeight="1">
      <c r="B453" s="94"/>
    </row>
    <row r="454" ht="15.75" customHeight="1">
      <c r="B454" s="94"/>
    </row>
    <row r="455" ht="15.75" customHeight="1">
      <c r="B455" s="94"/>
    </row>
    <row r="456" ht="15.75" customHeight="1">
      <c r="B456" s="94"/>
    </row>
    <row r="457" ht="15.75" customHeight="1">
      <c r="B457" s="94"/>
    </row>
    <row r="458" ht="15.75" customHeight="1">
      <c r="B458" s="94"/>
    </row>
    <row r="459" ht="15.75" customHeight="1">
      <c r="B459" s="94"/>
    </row>
    <row r="460" ht="15.75" customHeight="1">
      <c r="B460" s="94"/>
    </row>
    <row r="461" ht="15.75" customHeight="1">
      <c r="B461" s="94"/>
    </row>
    <row r="462" ht="15.75" customHeight="1">
      <c r="B462" s="94"/>
    </row>
    <row r="463" ht="15.75" customHeight="1">
      <c r="B463" s="94"/>
    </row>
    <row r="464" ht="15.75" customHeight="1">
      <c r="B464" s="94"/>
    </row>
    <row r="465" ht="15.75" customHeight="1">
      <c r="B465" s="94"/>
    </row>
    <row r="466" ht="15.75" customHeight="1">
      <c r="B466" s="94"/>
    </row>
    <row r="467" ht="15.75" customHeight="1">
      <c r="B467" s="94"/>
    </row>
    <row r="468" ht="15.75" customHeight="1">
      <c r="B468" s="94"/>
    </row>
    <row r="469" ht="15.75" customHeight="1">
      <c r="B469" s="94"/>
    </row>
    <row r="470" ht="15.75" customHeight="1">
      <c r="B470" s="94"/>
    </row>
    <row r="471" ht="15.75" customHeight="1">
      <c r="B471" s="94"/>
    </row>
    <row r="472" ht="15.75" customHeight="1">
      <c r="B472" s="94"/>
    </row>
    <row r="473" ht="15.75" customHeight="1">
      <c r="B473" s="94"/>
    </row>
    <row r="474" ht="15.75" customHeight="1">
      <c r="B474" s="94"/>
    </row>
    <row r="475" ht="15.75" customHeight="1">
      <c r="B475" s="94"/>
    </row>
    <row r="476" ht="15.75" customHeight="1">
      <c r="B476" s="94"/>
    </row>
    <row r="477" ht="15.75" customHeight="1">
      <c r="B477" s="94"/>
    </row>
    <row r="478" ht="15.75" customHeight="1">
      <c r="B478" s="94"/>
    </row>
    <row r="479" ht="15.75" customHeight="1">
      <c r="B479" s="94"/>
    </row>
    <row r="480" ht="15.75" customHeight="1">
      <c r="B480" s="94"/>
    </row>
    <row r="481" ht="15.75" customHeight="1">
      <c r="B481" s="94"/>
    </row>
    <row r="482" ht="15.75" customHeight="1">
      <c r="B482" s="94"/>
    </row>
    <row r="483" ht="15.75" customHeight="1">
      <c r="B483" s="94"/>
    </row>
    <row r="484" ht="15.75" customHeight="1">
      <c r="B484" s="94"/>
    </row>
    <row r="485" ht="15.75" customHeight="1">
      <c r="B485" s="94"/>
    </row>
    <row r="486" ht="15.75" customHeight="1">
      <c r="B486" s="94"/>
    </row>
    <row r="487" ht="15.75" customHeight="1">
      <c r="B487" s="94"/>
    </row>
    <row r="488" ht="15.75" customHeight="1">
      <c r="B488" s="94"/>
    </row>
    <row r="489" ht="15.75" customHeight="1">
      <c r="B489" s="94"/>
    </row>
    <row r="490" ht="15.75" customHeight="1">
      <c r="B490" s="94"/>
    </row>
    <row r="491" ht="15.75" customHeight="1">
      <c r="B491" s="94"/>
    </row>
    <row r="492" ht="15.75" customHeight="1">
      <c r="B492" s="94"/>
    </row>
    <row r="493" ht="15.75" customHeight="1">
      <c r="B493" s="94"/>
    </row>
    <row r="494" ht="15.75" customHeight="1">
      <c r="B494" s="94"/>
    </row>
    <row r="495" ht="15.75" customHeight="1">
      <c r="B495" s="94"/>
    </row>
    <row r="496" ht="15.75" customHeight="1">
      <c r="B496" s="94"/>
    </row>
    <row r="497" ht="15.75" customHeight="1">
      <c r="B497" s="94"/>
    </row>
    <row r="498" ht="15.75" customHeight="1">
      <c r="B498" s="94"/>
    </row>
    <row r="499" ht="15.75" customHeight="1">
      <c r="B499" s="94"/>
    </row>
    <row r="500" ht="15.75" customHeight="1">
      <c r="B500" s="94"/>
    </row>
    <row r="501" ht="15.75" customHeight="1">
      <c r="B501" s="94"/>
    </row>
    <row r="502" ht="15.75" customHeight="1">
      <c r="B502" s="94"/>
    </row>
    <row r="503" ht="15.75" customHeight="1">
      <c r="B503" s="94"/>
    </row>
    <row r="504" ht="15.75" customHeight="1">
      <c r="B504" s="94"/>
    </row>
    <row r="505" ht="15.75" customHeight="1">
      <c r="B505" s="94"/>
    </row>
    <row r="506" ht="15.75" customHeight="1">
      <c r="B506" s="94"/>
    </row>
    <row r="507" ht="15.75" customHeight="1">
      <c r="B507" s="94"/>
    </row>
    <row r="508" ht="15.75" customHeight="1">
      <c r="B508" s="94"/>
    </row>
    <row r="509" ht="15.75" customHeight="1">
      <c r="B509" s="94"/>
    </row>
    <row r="510" ht="15.75" customHeight="1">
      <c r="B510" s="94"/>
    </row>
    <row r="511" ht="15.75" customHeight="1">
      <c r="B511" s="94"/>
    </row>
    <row r="512" ht="15.75" customHeight="1">
      <c r="B512" s="94"/>
    </row>
    <row r="513" ht="15.75" customHeight="1">
      <c r="B513" s="94"/>
    </row>
    <row r="514" ht="15.75" customHeight="1">
      <c r="B514" s="94"/>
    </row>
    <row r="515" ht="15.75" customHeight="1">
      <c r="B515" s="94"/>
    </row>
    <row r="516" ht="15.75" customHeight="1">
      <c r="B516" s="94"/>
    </row>
    <row r="517" ht="15.75" customHeight="1">
      <c r="B517" s="94"/>
    </row>
    <row r="518" ht="15.75" customHeight="1">
      <c r="B518" s="94"/>
    </row>
    <row r="519" ht="15.75" customHeight="1">
      <c r="B519" s="94"/>
    </row>
    <row r="520" ht="15.75" customHeight="1">
      <c r="B520" s="94"/>
    </row>
    <row r="521" ht="15.75" customHeight="1">
      <c r="B521" s="94"/>
    </row>
    <row r="522" ht="15.75" customHeight="1">
      <c r="B522" s="94"/>
    </row>
    <row r="523" ht="15.75" customHeight="1">
      <c r="B523" s="94"/>
    </row>
    <row r="524" ht="15.75" customHeight="1">
      <c r="B524" s="94"/>
    </row>
    <row r="525" ht="15.75" customHeight="1">
      <c r="B525" s="94"/>
    </row>
    <row r="526" ht="15.75" customHeight="1">
      <c r="B526" s="94"/>
    </row>
    <row r="527" ht="15.75" customHeight="1">
      <c r="B527" s="94"/>
    </row>
    <row r="528" ht="15.75" customHeight="1">
      <c r="B528" s="94"/>
    </row>
    <row r="529" ht="15.75" customHeight="1">
      <c r="B529" s="94"/>
    </row>
    <row r="530" ht="15.75" customHeight="1">
      <c r="B530" s="94"/>
    </row>
    <row r="531" ht="15.75" customHeight="1">
      <c r="B531" s="94"/>
    </row>
    <row r="532" ht="15.75" customHeight="1">
      <c r="B532" s="94"/>
    </row>
    <row r="533" ht="15.75" customHeight="1">
      <c r="B533" s="94"/>
    </row>
    <row r="534" ht="15.75" customHeight="1">
      <c r="B534" s="94"/>
    </row>
    <row r="535" ht="15.75" customHeight="1">
      <c r="B535" s="94"/>
    </row>
    <row r="536" ht="15.75" customHeight="1">
      <c r="B536" s="94"/>
    </row>
    <row r="537" ht="15.75" customHeight="1">
      <c r="B537" s="94"/>
    </row>
    <row r="538" ht="15.75" customHeight="1">
      <c r="B538" s="94"/>
    </row>
    <row r="539" ht="15.75" customHeight="1">
      <c r="B539" s="94"/>
    </row>
    <row r="540" ht="15.75" customHeight="1">
      <c r="B540" s="94"/>
    </row>
    <row r="541" ht="15.75" customHeight="1">
      <c r="B541" s="94"/>
    </row>
    <row r="542" ht="15.75" customHeight="1">
      <c r="B542" s="94"/>
    </row>
    <row r="543" ht="15.75" customHeight="1">
      <c r="B543" s="94"/>
    </row>
    <row r="544" ht="15.75" customHeight="1">
      <c r="B544" s="94"/>
    </row>
    <row r="545" ht="15.75" customHeight="1">
      <c r="B545" s="94"/>
    </row>
    <row r="546" ht="15.75" customHeight="1">
      <c r="B546" s="94"/>
    </row>
    <row r="547" ht="15.75" customHeight="1">
      <c r="B547" s="94"/>
    </row>
    <row r="548" ht="15.75" customHeight="1">
      <c r="B548" s="94"/>
    </row>
    <row r="549" ht="15.75" customHeight="1">
      <c r="B549" s="94"/>
    </row>
    <row r="550" ht="15.75" customHeight="1">
      <c r="B550" s="94"/>
    </row>
    <row r="551" ht="15.75" customHeight="1">
      <c r="B551" s="94"/>
    </row>
    <row r="552" ht="15.75" customHeight="1">
      <c r="B552" s="94"/>
    </row>
    <row r="553" ht="15.75" customHeight="1">
      <c r="B553" s="94"/>
    </row>
    <row r="554" ht="15.75" customHeight="1">
      <c r="B554" s="94"/>
    </row>
    <row r="555" ht="15.75" customHeight="1">
      <c r="B555" s="94"/>
    </row>
    <row r="556" ht="15.75" customHeight="1">
      <c r="B556" s="94"/>
    </row>
    <row r="557" ht="15.75" customHeight="1">
      <c r="B557" s="94"/>
    </row>
    <row r="558" ht="15.75" customHeight="1">
      <c r="B558" s="94"/>
    </row>
    <row r="559" ht="15.75" customHeight="1">
      <c r="B559" s="94"/>
    </row>
    <row r="560" ht="15.75" customHeight="1">
      <c r="B560" s="94"/>
    </row>
    <row r="561" ht="15.75" customHeight="1">
      <c r="B561" s="94"/>
    </row>
    <row r="562" ht="15.75" customHeight="1">
      <c r="B562" s="94"/>
    </row>
    <row r="563" ht="15.75" customHeight="1">
      <c r="B563" s="94"/>
    </row>
    <row r="564" ht="15.75" customHeight="1">
      <c r="B564" s="94"/>
    </row>
    <row r="565" ht="15.75" customHeight="1">
      <c r="B565" s="94"/>
    </row>
    <row r="566" ht="15.75" customHeight="1">
      <c r="B566" s="94"/>
    </row>
    <row r="567" ht="15.75" customHeight="1">
      <c r="B567" s="94"/>
    </row>
    <row r="568" ht="15.75" customHeight="1">
      <c r="B568" s="94"/>
    </row>
    <row r="569" ht="15.75" customHeight="1">
      <c r="B569" s="94"/>
    </row>
    <row r="570" ht="15.75" customHeight="1">
      <c r="B570" s="94"/>
    </row>
    <row r="571" ht="15.75" customHeight="1">
      <c r="B571" s="94"/>
    </row>
    <row r="572" ht="15.75" customHeight="1">
      <c r="B572" s="94"/>
    </row>
    <row r="573" ht="15.75" customHeight="1">
      <c r="B573" s="94"/>
    </row>
    <row r="574" ht="15.75" customHeight="1">
      <c r="B574" s="94"/>
    </row>
    <row r="575" ht="15.75" customHeight="1">
      <c r="B575" s="94"/>
    </row>
    <row r="576" ht="15.75" customHeight="1">
      <c r="B576" s="94"/>
    </row>
    <row r="577" ht="15.75" customHeight="1">
      <c r="B577" s="94"/>
    </row>
    <row r="578" ht="15.75" customHeight="1">
      <c r="B578" s="94"/>
    </row>
    <row r="579" ht="15.75" customHeight="1">
      <c r="B579" s="94"/>
    </row>
    <row r="580" ht="15.75" customHeight="1">
      <c r="B580" s="94"/>
    </row>
    <row r="581" ht="15.75" customHeight="1">
      <c r="B581" s="94"/>
    </row>
    <row r="582" ht="15.75" customHeight="1">
      <c r="B582" s="94"/>
    </row>
    <row r="583" ht="15.75" customHeight="1">
      <c r="B583" s="94"/>
    </row>
    <row r="584" ht="15.75" customHeight="1">
      <c r="B584" s="94"/>
    </row>
    <row r="585" ht="15.75" customHeight="1">
      <c r="B585" s="94"/>
    </row>
    <row r="586" ht="15.75" customHeight="1">
      <c r="B586" s="94"/>
    </row>
    <row r="587" ht="15.75" customHeight="1">
      <c r="B587" s="94"/>
    </row>
    <row r="588" ht="15.75" customHeight="1">
      <c r="B588" s="94"/>
    </row>
    <row r="589" ht="15.75" customHeight="1">
      <c r="B589" s="94"/>
    </row>
    <row r="590" ht="15.75" customHeight="1">
      <c r="B590" s="94"/>
    </row>
    <row r="591" ht="15.75" customHeight="1">
      <c r="B591" s="94"/>
    </row>
    <row r="592" ht="15.75" customHeight="1">
      <c r="B592" s="94"/>
    </row>
    <row r="593" ht="15.75" customHeight="1">
      <c r="B593" s="94"/>
    </row>
    <row r="594" ht="15.75" customHeight="1">
      <c r="B594" s="94"/>
    </row>
    <row r="595" ht="15.75" customHeight="1">
      <c r="B595" s="94"/>
    </row>
    <row r="596" ht="15.75" customHeight="1">
      <c r="B596" s="94"/>
    </row>
    <row r="597" ht="15.75" customHeight="1">
      <c r="B597" s="94"/>
    </row>
    <row r="598" ht="15.75" customHeight="1">
      <c r="B598" s="94"/>
    </row>
    <row r="599" ht="15.75" customHeight="1">
      <c r="B599" s="94"/>
    </row>
    <row r="600" ht="15.75" customHeight="1">
      <c r="B600" s="94"/>
    </row>
    <row r="601" ht="15.75" customHeight="1">
      <c r="B601" s="94"/>
    </row>
    <row r="602" ht="15.75" customHeight="1">
      <c r="B602" s="94"/>
    </row>
    <row r="603" ht="15.75" customHeight="1">
      <c r="B603" s="94"/>
    </row>
    <row r="604" ht="15.75" customHeight="1">
      <c r="B604" s="94"/>
    </row>
    <row r="605" ht="15.75" customHeight="1">
      <c r="B605" s="94"/>
    </row>
    <row r="606" ht="15.75" customHeight="1">
      <c r="B606" s="94"/>
    </row>
    <row r="607" ht="15.75" customHeight="1">
      <c r="B607" s="94"/>
    </row>
    <row r="608" ht="15.75" customHeight="1">
      <c r="B608" s="94"/>
    </row>
    <row r="609" ht="15.75" customHeight="1">
      <c r="B609" s="94"/>
    </row>
    <row r="610" ht="15.75" customHeight="1">
      <c r="B610" s="94"/>
    </row>
    <row r="611" ht="15.75" customHeight="1">
      <c r="B611" s="94"/>
    </row>
    <row r="612" ht="15.75" customHeight="1">
      <c r="B612" s="94"/>
    </row>
    <row r="613" ht="15.75" customHeight="1">
      <c r="B613" s="94"/>
    </row>
    <row r="614" ht="15.75" customHeight="1">
      <c r="B614" s="94"/>
    </row>
    <row r="615" ht="15.75" customHeight="1">
      <c r="B615" s="94"/>
    </row>
    <row r="616" ht="15.75" customHeight="1">
      <c r="B616" s="94"/>
    </row>
    <row r="617" ht="15.75" customHeight="1">
      <c r="B617" s="94"/>
    </row>
    <row r="618" ht="15.75" customHeight="1">
      <c r="B618" s="94"/>
    </row>
    <row r="619" ht="15.75" customHeight="1">
      <c r="B619" s="94"/>
    </row>
    <row r="620" ht="15.75" customHeight="1">
      <c r="B620" s="94"/>
    </row>
    <row r="621" ht="15.75" customHeight="1">
      <c r="B621" s="94"/>
    </row>
    <row r="622" ht="15.75" customHeight="1">
      <c r="B622" s="94"/>
    </row>
    <row r="623" ht="15.75" customHeight="1">
      <c r="B623" s="94"/>
    </row>
    <row r="624" ht="15.75" customHeight="1">
      <c r="B624" s="94"/>
    </row>
    <row r="625" ht="15.75" customHeight="1">
      <c r="B625" s="94"/>
    </row>
    <row r="626" ht="15.75" customHeight="1">
      <c r="B626" s="94"/>
    </row>
    <row r="627" ht="15.75" customHeight="1">
      <c r="B627" s="94"/>
    </row>
    <row r="628" ht="15.75" customHeight="1">
      <c r="B628" s="94"/>
    </row>
    <row r="629" ht="15.75" customHeight="1">
      <c r="B629" s="94"/>
    </row>
    <row r="630" ht="15.75" customHeight="1">
      <c r="B630" s="94"/>
    </row>
    <row r="631" ht="15.75" customHeight="1">
      <c r="B631" s="94"/>
    </row>
    <row r="632" ht="15.75" customHeight="1">
      <c r="B632" s="94"/>
    </row>
    <row r="633" ht="15.75" customHeight="1">
      <c r="B633" s="94"/>
    </row>
    <row r="634" ht="15.75" customHeight="1">
      <c r="B634" s="94"/>
    </row>
    <row r="635" ht="15.75" customHeight="1">
      <c r="B635" s="94"/>
    </row>
    <row r="636" ht="15.75" customHeight="1">
      <c r="B636" s="94"/>
    </row>
    <row r="637" ht="15.75" customHeight="1">
      <c r="B637" s="94"/>
    </row>
    <row r="638" ht="15.75" customHeight="1">
      <c r="B638" s="94"/>
    </row>
    <row r="639" ht="15.75" customHeight="1">
      <c r="B639" s="94"/>
    </row>
    <row r="640" ht="15.75" customHeight="1">
      <c r="B640" s="94"/>
    </row>
    <row r="641" ht="15.75" customHeight="1">
      <c r="B641" s="94"/>
    </row>
    <row r="642" ht="15.75" customHeight="1">
      <c r="B642" s="94"/>
    </row>
    <row r="643" ht="15.75" customHeight="1">
      <c r="B643" s="94"/>
    </row>
    <row r="644" ht="15.75" customHeight="1">
      <c r="B644" s="94"/>
    </row>
    <row r="645" ht="15.75" customHeight="1">
      <c r="B645" s="94"/>
    </row>
    <row r="646" ht="15.75" customHeight="1">
      <c r="B646" s="94"/>
    </row>
    <row r="647" ht="15.75" customHeight="1">
      <c r="B647" s="94"/>
    </row>
    <row r="648" ht="15.75" customHeight="1">
      <c r="B648" s="94"/>
    </row>
    <row r="649" ht="15.75" customHeight="1">
      <c r="B649" s="94"/>
    </row>
    <row r="650" ht="15.75" customHeight="1">
      <c r="B650" s="94"/>
    </row>
    <row r="651" ht="15.75" customHeight="1">
      <c r="B651" s="94"/>
    </row>
    <row r="652" ht="15.75" customHeight="1">
      <c r="B652" s="94"/>
    </row>
    <row r="653" ht="15.75" customHeight="1">
      <c r="B653" s="94"/>
    </row>
    <row r="654" ht="15.75" customHeight="1">
      <c r="B654" s="94"/>
    </row>
    <row r="655" ht="15.75" customHeight="1">
      <c r="B655" s="94"/>
    </row>
    <row r="656" ht="15.75" customHeight="1">
      <c r="B656" s="94"/>
    </row>
    <row r="657" ht="15.75" customHeight="1">
      <c r="B657" s="94"/>
    </row>
    <row r="658" ht="15.75" customHeight="1">
      <c r="B658" s="94"/>
    </row>
    <row r="659" ht="15.75" customHeight="1">
      <c r="B659" s="94"/>
    </row>
    <row r="660" ht="15.75" customHeight="1">
      <c r="B660" s="94"/>
    </row>
    <row r="661" ht="15.75" customHeight="1">
      <c r="B661" s="94"/>
    </row>
    <row r="662" ht="15.75" customHeight="1">
      <c r="B662" s="94"/>
    </row>
    <row r="663" ht="15.75" customHeight="1">
      <c r="B663" s="94"/>
    </row>
    <row r="664" ht="15.75" customHeight="1">
      <c r="B664" s="94"/>
    </row>
    <row r="665" ht="15.75" customHeight="1">
      <c r="B665" s="94"/>
    </row>
    <row r="666" ht="15.75" customHeight="1">
      <c r="B666" s="94"/>
    </row>
    <row r="667" ht="15.75" customHeight="1">
      <c r="B667" s="94"/>
    </row>
    <row r="668" ht="15.75" customHeight="1">
      <c r="B668" s="94"/>
    </row>
    <row r="669" ht="15.75" customHeight="1">
      <c r="B669" s="94"/>
    </row>
    <row r="670" ht="15.75" customHeight="1">
      <c r="B670" s="94"/>
    </row>
    <row r="671" ht="15.75" customHeight="1">
      <c r="B671" s="94"/>
    </row>
    <row r="672" ht="15.75" customHeight="1">
      <c r="B672" s="94"/>
    </row>
    <row r="673" ht="15.75" customHeight="1">
      <c r="B673" s="94"/>
    </row>
    <row r="674" ht="15.75" customHeight="1">
      <c r="B674" s="94"/>
    </row>
    <row r="675" ht="15.75" customHeight="1">
      <c r="B675" s="94"/>
    </row>
    <row r="676" ht="15.75" customHeight="1">
      <c r="B676" s="94"/>
    </row>
    <row r="677" ht="15.75" customHeight="1">
      <c r="B677" s="94"/>
    </row>
    <row r="678" ht="15.75" customHeight="1">
      <c r="B678" s="94"/>
    </row>
    <row r="679" ht="15.75" customHeight="1">
      <c r="B679" s="94"/>
    </row>
    <row r="680" ht="15.75" customHeight="1">
      <c r="B680" s="94"/>
    </row>
    <row r="681" ht="15.75" customHeight="1">
      <c r="B681" s="94"/>
    </row>
    <row r="682" ht="15.75" customHeight="1">
      <c r="B682" s="94"/>
    </row>
    <row r="683" ht="15.75" customHeight="1">
      <c r="B683" s="94"/>
    </row>
    <row r="684" ht="15.75" customHeight="1">
      <c r="B684" s="94"/>
    </row>
    <row r="685" ht="15.75" customHeight="1">
      <c r="B685" s="94"/>
    </row>
    <row r="686" ht="15.75" customHeight="1">
      <c r="B686" s="94"/>
    </row>
    <row r="687" ht="15.75" customHeight="1">
      <c r="B687" s="94"/>
    </row>
    <row r="688" ht="15.75" customHeight="1">
      <c r="B688" s="94"/>
    </row>
    <row r="689" ht="15.75" customHeight="1">
      <c r="B689" s="94"/>
    </row>
    <row r="690" ht="15.75" customHeight="1">
      <c r="B690" s="94"/>
    </row>
    <row r="691" ht="15.75" customHeight="1">
      <c r="B691" s="94"/>
    </row>
    <row r="692" ht="15.75" customHeight="1">
      <c r="B692" s="94"/>
    </row>
    <row r="693" ht="15.75" customHeight="1">
      <c r="B693" s="94"/>
    </row>
    <row r="694" ht="15.75" customHeight="1">
      <c r="B694" s="94"/>
    </row>
    <row r="695" ht="15.75" customHeight="1">
      <c r="B695" s="94"/>
    </row>
    <row r="696" ht="15.75" customHeight="1">
      <c r="B696" s="94"/>
    </row>
    <row r="697" ht="15.75" customHeight="1">
      <c r="B697" s="94"/>
    </row>
    <row r="698" ht="15.75" customHeight="1">
      <c r="B698" s="94"/>
    </row>
    <row r="699" ht="15.75" customHeight="1">
      <c r="B699" s="94"/>
    </row>
    <row r="700" ht="15.75" customHeight="1">
      <c r="B700" s="94"/>
    </row>
    <row r="701" ht="15.75" customHeight="1">
      <c r="B701" s="94"/>
    </row>
    <row r="702" ht="15.75" customHeight="1">
      <c r="B702" s="94"/>
    </row>
    <row r="703" ht="15.75" customHeight="1">
      <c r="B703" s="94"/>
    </row>
    <row r="704" ht="15.75" customHeight="1">
      <c r="B704" s="94"/>
    </row>
    <row r="705" ht="15.75" customHeight="1">
      <c r="B705" s="94"/>
    </row>
    <row r="706" ht="15.75" customHeight="1">
      <c r="B706" s="94"/>
    </row>
    <row r="707" ht="15.75" customHeight="1">
      <c r="B707" s="94"/>
    </row>
    <row r="708" ht="15.75" customHeight="1">
      <c r="B708" s="94"/>
    </row>
    <row r="709" ht="15.75" customHeight="1">
      <c r="B709" s="94"/>
    </row>
    <row r="710" ht="15.75" customHeight="1">
      <c r="B710" s="94"/>
    </row>
    <row r="711" ht="15.75" customHeight="1">
      <c r="B711" s="94"/>
    </row>
    <row r="712" ht="15.75" customHeight="1">
      <c r="B712" s="94"/>
    </row>
    <row r="713" ht="15.75" customHeight="1">
      <c r="B713" s="94"/>
    </row>
    <row r="714" ht="15.75" customHeight="1">
      <c r="B714" s="94"/>
    </row>
    <row r="715" ht="15.75" customHeight="1">
      <c r="B715" s="94"/>
    </row>
    <row r="716" ht="15.75" customHeight="1">
      <c r="B716" s="94"/>
    </row>
    <row r="717" ht="15.75" customHeight="1">
      <c r="B717" s="94"/>
    </row>
    <row r="718" ht="15.75" customHeight="1">
      <c r="B718" s="94"/>
    </row>
    <row r="719" ht="15.75" customHeight="1">
      <c r="B719" s="94"/>
    </row>
    <row r="720" ht="15.75" customHeight="1">
      <c r="B720" s="94"/>
    </row>
    <row r="721" ht="15.75" customHeight="1">
      <c r="B721" s="94"/>
    </row>
    <row r="722" ht="15.75" customHeight="1">
      <c r="B722" s="94"/>
    </row>
    <row r="723" ht="15.75" customHeight="1">
      <c r="B723" s="94"/>
    </row>
    <row r="724" ht="15.75" customHeight="1">
      <c r="B724" s="94"/>
    </row>
    <row r="725" ht="15.75" customHeight="1">
      <c r="B725" s="94"/>
    </row>
    <row r="726" ht="15.75" customHeight="1">
      <c r="B726" s="94"/>
    </row>
    <row r="727" ht="15.75" customHeight="1">
      <c r="B727" s="94"/>
    </row>
    <row r="728" ht="15.75" customHeight="1">
      <c r="B728" s="94"/>
    </row>
    <row r="729" ht="15.75" customHeight="1">
      <c r="B729" s="94"/>
    </row>
    <row r="730" ht="15.75" customHeight="1">
      <c r="B730" s="94"/>
    </row>
    <row r="731" ht="15.75" customHeight="1">
      <c r="B731" s="94"/>
    </row>
    <row r="732" ht="15.75" customHeight="1">
      <c r="B732" s="94"/>
    </row>
    <row r="733" ht="15.75" customHeight="1">
      <c r="B733" s="94"/>
    </row>
    <row r="734" ht="15.75" customHeight="1">
      <c r="B734" s="94"/>
    </row>
    <row r="735" ht="15.75" customHeight="1">
      <c r="B735" s="94"/>
    </row>
    <row r="736" ht="15.75" customHeight="1">
      <c r="B736" s="94"/>
    </row>
    <row r="737" ht="15.75" customHeight="1">
      <c r="B737" s="94"/>
    </row>
    <row r="738" ht="15.75" customHeight="1">
      <c r="B738" s="94"/>
    </row>
    <row r="739" ht="15.75" customHeight="1">
      <c r="B739" s="94"/>
    </row>
    <row r="740" ht="15.75" customHeight="1">
      <c r="B740" s="94"/>
    </row>
    <row r="741" ht="15.75" customHeight="1">
      <c r="B741" s="94"/>
    </row>
    <row r="742" ht="15.75" customHeight="1">
      <c r="B742" s="94"/>
    </row>
    <row r="743" ht="15.75" customHeight="1">
      <c r="B743" s="94"/>
    </row>
    <row r="744" ht="15.75" customHeight="1">
      <c r="B744" s="94"/>
    </row>
    <row r="745" ht="15.75" customHeight="1">
      <c r="B745" s="94"/>
    </row>
    <row r="746" ht="15.75" customHeight="1">
      <c r="B746" s="94"/>
    </row>
    <row r="747" ht="15.75" customHeight="1">
      <c r="B747" s="94"/>
    </row>
    <row r="748" ht="15.75" customHeight="1">
      <c r="B748" s="94"/>
    </row>
    <row r="749" ht="15.75" customHeight="1">
      <c r="B749" s="94"/>
    </row>
    <row r="750" ht="15.75" customHeight="1">
      <c r="B750" s="94"/>
    </row>
    <row r="751" ht="15.75" customHeight="1">
      <c r="B751" s="94"/>
    </row>
    <row r="752" ht="15.75" customHeight="1">
      <c r="B752" s="94"/>
    </row>
    <row r="753" ht="15.75" customHeight="1">
      <c r="B753" s="94"/>
    </row>
    <row r="754" ht="15.75" customHeight="1">
      <c r="B754" s="94"/>
    </row>
    <row r="755" ht="15.75" customHeight="1">
      <c r="B755" s="94"/>
    </row>
    <row r="756" ht="15.75" customHeight="1">
      <c r="B756" s="94"/>
    </row>
    <row r="757" ht="15.75" customHeight="1">
      <c r="B757" s="94"/>
    </row>
    <row r="758" ht="15.75" customHeight="1">
      <c r="B758" s="94"/>
    </row>
    <row r="759" ht="15.75" customHeight="1">
      <c r="B759" s="94"/>
    </row>
    <row r="760" ht="15.75" customHeight="1">
      <c r="B760" s="94"/>
    </row>
    <row r="761" ht="15.75" customHeight="1">
      <c r="B761" s="94"/>
    </row>
    <row r="762" ht="15.75" customHeight="1">
      <c r="B762" s="94"/>
    </row>
    <row r="763" ht="15.75" customHeight="1">
      <c r="B763" s="94"/>
    </row>
    <row r="764" ht="15.75" customHeight="1">
      <c r="B764" s="94"/>
    </row>
    <row r="765" ht="15.75" customHeight="1">
      <c r="B765" s="94"/>
    </row>
    <row r="766" ht="15.75" customHeight="1">
      <c r="B766" s="94"/>
    </row>
    <row r="767" ht="15.75" customHeight="1">
      <c r="B767" s="94"/>
    </row>
    <row r="768" ht="15.75" customHeight="1">
      <c r="B768" s="94"/>
    </row>
    <row r="769" ht="15.75" customHeight="1">
      <c r="B769" s="94"/>
    </row>
    <row r="770" ht="15.75" customHeight="1">
      <c r="B770" s="94"/>
    </row>
    <row r="771" ht="15.75" customHeight="1">
      <c r="B771" s="94"/>
    </row>
    <row r="772" ht="15.75" customHeight="1">
      <c r="B772" s="94"/>
    </row>
    <row r="773" ht="15.75" customHeight="1">
      <c r="B773" s="94"/>
    </row>
    <row r="774" ht="15.75" customHeight="1">
      <c r="B774" s="94"/>
    </row>
    <row r="775" ht="15.75" customHeight="1">
      <c r="B775" s="94"/>
    </row>
    <row r="776" ht="15.75" customHeight="1">
      <c r="B776" s="94"/>
    </row>
    <row r="777" ht="15.75" customHeight="1">
      <c r="B777" s="94"/>
    </row>
    <row r="778" ht="15.75" customHeight="1">
      <c r="B778" s="94"/>
    </row>
    <row r="779" ht="15.75" customHeight="1">
      <c r="B779" s="94"/>
    </row>
    <row r="780" ht="15.75" customHeight="1">
      <c r="B780" s="94"/>
    </row>
    <row r="781" ht="15.75" customHeight="1">
      <c r="B781" s="94"/>
    </row>
    <row r="782" ht="15.75" customHeight="1">
      <c r="B782" s="94"/>
    </row>
    <row r="783" ht="15.75" customHeight="1">
      <c r="B783" s="94"/>
    </row>
    <row r="784" ht="15.75" customHeight="1">
      <c r="B784" s="94"/>
    </row>
    <row r="785" ht="15.75" customHeight="1">
      <c r="B785" s="94"/>
    </row>
    <row r="786" ht="15.75" customHeight="1">
      <c r="B786" s="94"/>
    </row>
    <row r="787" ht="15.75" customHeight="1">
      <c r="B787" s="94"/>
    </row>
    <row r="788" ht="15.75" customHeight="1">
      <c r="B788" s="94"/>
    </row>
    <row r="789" ht="15.75" customHeight="1">
      <c r="B789" s="94"/>
    </row>
    <row r="790" ht="15.75" customHeight="1">
      <c r="B790" s="94"/>
    </row>
    <row r="791" ht="15.75" customHeight="1">
      <c r="B791" s="94"/>
    </row>
    <row r="792" ht="15.75" customHeight="1">
      <c r="B792" s="94"/>
    </row>
    <row r="793" ht="15.75" customHeight="1">
      <c r="B793" s="94"/>
    </row>
    <row r="794" ht="15.75" customHeight="1">
      <c r="B794" s="94"/>
    </row>
    <row r="795" ht="15.75" customHeight="1">
      <c r="B795" s="94"/>
    </row>
    <row r="796" ht="15.75" customHeight="1">
      <c r="B796" s="94"/>
    </row>
    <row r="797" ht="15.75" customHeight="1">
      <c r="B797" s="94"/>
    </row>
    <row r="798" ht="15.75" customHeight="1">
      <c r="B798" s="94"/>
    </row>
    <row r="799" ht="15.75" customHeight="1">
      <c r="B799" s="94"/>
    </row>
    <row r="800" ht="15.75" customHeight="1">
      <c r="B800" s="94"/>
    </row>
    <row r="801" ht="15.75" customHeight="1">
      <c r="B801" s="94"/>
    </row>
    <row r="802" ht="15.75" customHeight="1">
      <c r="B802" s="94"/>
    </row>
    <row r="803" ht="15.75" customHeight="1">
      <c r="B803" s="94"/>
    </row>
    <row r="804" ht="15.75" customHeight="1">
      <c r="B804" s="94"/>
    </row>
    <row r="805" ht="15.75" customHeight="1">
      <c r="B805" s="94"/>
    </row>
    <row r="806" ht="15.75" customHeight="1">
      <c r="B806" s="94"/>
    </row>
    <row r="807" ht="15.75" customHeight="1">
      <c r="B807" s="94"/>
    </row>
    <row r="808" ht="15.75" customHeight="1">
      <c r="B808" s="94"/>
    </row>
    <row r="809" ht="15.75" customHeight="1">
      <c r="B809" s="94"/>
    </row>
    <row r="810" ht="15.75" customHeight="1">
      <c r="B810" s="94"/>
    </row>
    <row r="811" ht="15.75" customHeight="1">
      <c r="B811" s="94"/>
    </row>
    <row r="812" ht="15.75" customHeight="1">
      <c r="B812" s="94"/>
    </row>
    <row r="813" ht="15.75" customHeight="1">
      <c r="B813" s="94"/>
    </row>
    <row r="814" ht="15.75" customHeight="1">
      <c r="B814" s="94"/>
    </row>
    <row r="815" ht="15.75" customHeight="1">
      <c r="B815" s="94"/>
    </row>
    <row r="816" ht="15.75" customHeight="1">
      <c r="B816" s="94"/>
    </row>
    <row r="817" ht="15.75" customHeight="1">
      <c r="B817" s="94"/>
    </row>
    <row r="818" ht="15.75" customHeight="1">
      <c r="B818" s="94"/>
    </row>
    <row r="819" ht="15.75" customHeight="1">
      <c r="B819" s="94"/>
    </row>
    <row r="820" ht="15.75" customHeight="1">
      <c r="B820" s="94"/>
    </row>
    <row r="821" ht="15.75" customHeight="1">
      <c r="B821" s="94"/>
    </row>
    <row r="822" ht="15.75" customHeight="1">
      <c r="B822" s="94"/>
    </row>
    <row r="823" ht="15.75" customHeight="1">
      <c r="B823" s="94"/>
    </row>
    <row r="824" ht="15.75" customHeight="1">
      <c r="B824" s="94"/>
    </row>
    <row r="825" ht="15.75" customHeight="1">
      <c r="B825" s="94"/>
    </row>
    <row r="826" ht="15.75" customHeight="1">
      <c r="B826" s="94"/>
    </row>
    <row r="827" ht="15.75" customHeight="1">
      <c r="B827" s="94"/>
    </row>
    <row r="828" ht="15.75" customHeight="1">
      <c r="B828" s="94"/>
    </row>
    <row r="829" ht="15.75" customHeight="1">
      <c r="B829" s="94"/>
    </row>
    <row r="830" ht="15.75" customHeight="1">
      <c r="B830" s="94"/>
    </row>
    <row r="831" ht="15.75" customHeight="1">
      <c r="B831" s="94"/>
    </row>
    <row r="832" ht="15.75" customHeight="1">
      <c r="B832" s="94"/>
    </row>
    <row r="833" ht="15.75" customHeight="1">
      <c r="B833" s="94"/>
    </row>
    <row r="834" ht="15.75" customHeight="1">
      <c r="B834" s="94"/>
    </row>
    <row r="835" ht="15.75" customHeight="1">
      <c r="B835" s="94"/>
    </row>
    <row r="836" ht="15.75" customHeight="1">
      <c r="B836" s="94"/>
    </row>
    <row r="837" ht="15.75" customHeight="1">
      <c r="B837" s="94"/>
    </row>
    <row r="838" ht="15.75" customHeight="1">
      <c r="B838" s="94"/>
    </row>
    <row r="839" ht="15.75" customHeight="1">
      <c r="B839" s="94"/>
    </row>
    <row r="840" ht="15.75" customHeight="1">
      <c r="B840" s="94"/>
    </row>
    <row r="841" ht="15.75" customHeight="1">
      <c r="B841" s="94"/>
    </row>
    <row r="842" ht="15.75" customHeight="1">
      <c r="B842" s="94"/>
    </row>
    <row r="843" ht="15.75" customHeight="1">
      <c r="B843" s="94"/>
    </row>
    <row r="844" ht="15.75" customHeight="1">
      <c r="B844" s="94"/>
    </row>
    <row r="845" ht="15.75" customHeight="1">
      <c r="B845" s="94"/>
    </row>
    <row r="846" ht="15.75" customHeight="1">
      <c r="B846" s="94"/>
    </row>
    <row r="847" ht="15.75" customHeight="1">
      <c r="B847" s="94"/>
    </row>
    <row r="848" ht="15.75" customHeight="1">
      <c r="B848" s="94"/>
    </row>
    <row r="849" ht="15.75" customHeight="1">
      <c r="B849" s="94"/>
    </row>
    <row r="850" ht="15.75" customHeight="1">
      <c r="B850" s="94"/>
    </row>
    <row r="851" ht="15.75" customHeight="1">
      <c r="B851" s="94"/>
    </row>
    <row r="852" ht="15.75" customHeight="1">
      <c r="B852" s="94"/>
    </row>
    <row r="853" ht="15.75" customHeight="1">
      <c r="B853" s="94"/>
    </row>
    <row r="854" ht="15.75" customHeight="1">
      <c r="B854" s="94"/>
    </row>
    <row r="855" ht="15.75" customHeight="1">
      <c r="B855" s="94"/>
    </row>
    <row r="856" ht="15.75" customHeight="1">
      <c r="B856" s="94"/>
    </row>
    <row r="857" ht="15.75" customHeight="1">
      <c r="B857" s="94"/>
    </row>
    <row r="858" ht="15.75" customHeight="1">
      <c r="B858" s="94"/>
    </row>
    <row r="859" ht="15.75" customHeight="1">
      <c r="B859" s="94"/>
    </row>
    <row r="860" ht="15.75" customHeight="1">
      <c r="B860" s="94"/>
    </row>
    <row r="861" ht="15.75" customHeight="1">
      <c r="B861" s="94"/>
    </row>
    <row r="862" ht="15.75" customHeight="1">
      <c r="B862" s="94"/>
    </row>
    <row r="863" ht="15.75" customHeight="1">
      <c r="B863" s="94"/>
    </row>
    <row r="864" ht="15.75" customHeight="1">
      <c r="B864" s="94"/>
    </row>
    <row r="865" ht="15.75" customHeight="1">
      <c r="B865" s="94"/>
    </row>
    <row r="866" ht="15.75" customHeight="1">
      <c r="B866" s="94"/>
    </row>
    <row r="867" ht="15.75" customHeight="1">
      <c r="B867" s="94"/>
    </row>
    <row r="868" ht="15.75" customHeight="1">
      <c r="B868" s="94"/>
    </row>
    <row r="869" ht="15.75" customHeight="1">
      <c r="B869" s="94"/>
    </row>
    <row r="870" ht="15.75" customHeight="1">
      <c r="B870" s="94"/>
    </row>
    <row r="871" ht="15.75" customHeight="1">
      <c r="B871" s="94"/>
    </row>
    <row r="872" ht="15.75" customHeight="1">
      <c r="B872" s="94"/>
    </row>
    <row r="873" ht="15.75" customHeight="1">
      <c r="B873" s="94"/>
    </row>
    <row r="874" ht="15.75" customHeight="1">
      <c r="B874" s="94"/>
    </row>
    <row r="875" ht="15.75" customHeight="1">
      <c r="B875" s="94"/>
    </row>
    <row r="876" ht="15.75" customHeight="1">
      <c r="B876" s="94"/>
    </row>
    <row r="877" ht="15.75" customHeight="1">
      <c r="B877" s="94"/>
    </row>
    <row r="878" ht="15.75" customHeight="1">
      <c r="B878" s="94"/>
    </row>
    <row r="879" ht="15.75" customHeight="1">
      <c r="B879" s="94"/>
    </row>
    <row r="880" ht="15.75" customHeight="1">
      <c r="B880" s="94"/>
    </row>
    <row r="881" ht="15.75" customHeight="1">
      <c r="B881" s="94"/>
    </row>
    <row r="882" ht="15.75" customHeight="1">
      <c r="B882" s="94"/>
    </row>
    <row r="883" ht="15.75" customHeight="1">
      <c r="B883" s="94"/>
    </row>
    <row r="884" ht="15.75" customHeight="1">
      <c r="B884" s="94"/>
    </row>
    <row r="885" ht="15.75" customHeight="1">
      <c r="B885" s="94"/>
    </row>
    <row r="886" ht="15.75" customHeight="1">
      <c r="B886" s="94"/>
    </row>
    <row r="887" ht="15.75" customHeight="1">
      <c r="B887" s="94"/>
    </row>
    <row r="888" ht="15.75" customHeight="1">
      <c r="B888" s="94"/>
    </row>
    <row r="889" ht="15.75" customHeight="1">
      <c r="B889" s="94"/>
    </row>
    <row r="890" ht="15.75" customHeight="1">
      <c r="B890" s="94"/>
    </row>
    <row r="891" ht="15.75" customHeight="1">
      <c r="B891" s="94"/>
    </row>
    <row r="892" ht="15.75" customHeight="1">
      <c r="B892" s="94"/>
    </row>
    <row r="893" ht="15.75" customHeight="1">
      <c r="B893" s="94"/>
    </row>
    <row r="894" ht="15.75" customHeight="1">
      <c r="B894" s="94"/>
    </row>
    <row r="895" ht="15.75" customHeight="1">
      <c r="B895" s="94"/>
    </row>
    <row r="896" ht="15.75" customHeight="1">
      <c r="B896" s="94"/>
    </row>
    <row r="897" ht="15.75" customHeight="1">
      <c r="B897" s="94"/>
    </row>
    <row r="898" ht="15.75" customHeight="1">
      <c r="B898" s="94"/>
    </row>
    <row r="899" ht="15.75" customHeight="1">
      <c r="B899" s="94"/>
    </row>
    <row r="900" ht="15.75" customHeight="1">
      <c r="B900" s="94"/>
    </row>
    <row r="901" ht="15.75" customHeight="1">
      <c r="B901" s="94"/>
    </row>
    <row r="902" ht="15.75" customHeight="1">
      <c r="B902" s="94"/>
    </row>
    <row r="903" ht="15.75" customHeight="1">
      <c r="B903" s="94"/>
    </row>
    <row r="904" ht="15.75" customHeight="1">
      <c r="B904" s="94"/>
    </row>
    <row r="905" ht="15.75" customHeight="1">
      <c r="B905" s="94"/>
    </row>
    <row r="906" ht="15.75" customHeight="1">
      <c r="B906" s="94"/>
    </row>
    <row r="907" ht="15.75" customHeight="1">
      <c r="B907" s="94"/>
    </row>
    <row r="908" ht="15.75" customHeight="1">
      <c r="B908" s="94"/>
    </row>
    <row r="909" ht="15.75" customHeight="1">
      <c r="B909" s="94"/>
    </row>
    <row r="910" ht="15.75" customHeight="1">
      <c r="B910" s="94"/>
    </row>
    <row r="911" ht="15.75" customHeight="1">
      <c r="B911" s="94"/>
    </row>
    <row r="912" ht="15.75" customHeight="1">
      <c r="B912" s="94"/>
    </row>
    <row r="913" ht="15.75" customHeight="1">
      <c r="B913" s="94"/>
    </row>
    <row r="914" ht="15.75" customHeight="1">
      <c r="B914" s="94"/>
    </row>
    <row r="915" ht="15.75" customHeight="1">
      <c r="B915" s="94"/>
    </row>
    <row r="916" ht="15.75" customHeight="1">
      <c r="B916" s="94"/>
    </row>
    <row r="917" ht="15.75" customHeight="1">
      <c r="B917" s="94"/>
    </row>
    <row r="918" ht="15.75" customHeight="1">
      <c r="B918" s="94"/>
    </row>
    <row r="919" ht="15.75" customHeight="1">
      <c r="B919" s="94"/>
    </row>
    <row r="920" ht="15.75" customHeight="1">
      <c r="B920" s="94"/>
    </row>
    <row r="921" ht="15.75" customHeight="1">
      <c r="B921" s="94"/>
    </row>
    <row r="922" ht="15.75" customHeight="1">
      <c r="B922" s="94"/>
    </row>
    <row r="923" ht="15.75" customHeight="1">
      <c r="B923" s="94"/>
    </row>
    <row r="924" ht="15.75" customHeight="1">
      <c r="B924" s="94"/>
    </row>
    <row r="925" ht="15.75" customHeight="1">
      <c r="B925" s="94"/>
    </row>
    <row r="926" ht="15.75" customHeight="1">
      <c r="B926" s="94"/>
    </row>
    <row r="927" ht="15.75" customHeight="1">
      <c r="B927" s="94"/>
    </row>
    <row r="928" ht="15.75" customHeight="1">
      <c r="B928" s="94"/>
    </row>
    <row r="929" ht="15.75" customHeight="1">
      <c r="B929" s="94"/>
    </row>
    <row r="930" ht="15.75" customHeight="1">
      <c r="B930" s="94"/>
    </row>
    <row r="931" ht="15.75" customHeight="1">
      <c r="B931" s="94"/>
    </row>
    <row r="932" ht="15.75" customHeight="1">
      <c r="B932" s="94"/>
    </row>
    <row r="933" ht="15.75" customHeight="1">
      <c r="B933" s="94"/>
    </row>
    <row r="934" ht="15.75" customHeight="1">
      <c r="B934" s="94"/>
    </row>
    <row r="935" ht="15.75" customHeight="1">
      <c r="B935" s="94"/>
    </row>
    <row r="936" ht="15.75" customHeight="1">
      <c r="B936" s="94"/>
    </row>
    <row r="937" ht="15.75" customHeight="1">
      <c r="B937" s="94"/>
    </row>
    <row r="938" ht="15.75" customHeight="1">
      <c r="B938" s="94"/>
    </row>
    <row r="939" ht="15.75" customHeight="1">
      <c r="B939" s="94"/>
    </row>
    <row r="940" ht="15.75" customHeight="1">
      <c r="B940" s="94"/>
    </row>
    <row r="941" ht="15.75" customHeight="1">
      <c r="B941" s="94"/>
    </row>
    <row r="942" ht="15.75" customHeight="1">
      <c r="B942" s="94"/>
    </row>
    <row r="943" ht="15.75" customHeight="1">
      <c r="B943" s="94"/>
    </row>
    <row r="944" ht="15.75" customHeight="1">
      <c r="B944" s="94"/>
    </row>
    <row r="945" ht="15.75" customHeight="1">
      <c r="B945" s="94"/>
    </row>
    <row r="946" ht="15.75" customHeight="1">
      <c r="B946" s="94"/>
    </row>
    <row r="947" ht="15.75" customHeight="1">
      <c r="B947" s="94"/>
    </row>
    <row r="948" ht="15.75" customHeight="1">
      <c r="B948" s="94"/>
    </row>
    <row r="949" ht="15.75" customHeight="1">
      <c r="B949" s="94"/>
    </row>
    <row r="950" ht="15.75" customHeight="1">
      <c r="B950" s="94"/>
    </row>
    <row r="951" ht="15.75" customHeight="1">
      <c r="B951" s="94"/>
    </row>
    <row r="952" ht="15.75" customHeight="1">
      <c r="B952" s="94"/>
    </row>
    <row r="953" ht="15.75" customHeight="1">
      <c r="B953" s="94"/>
    </row>
    <row r="954" ht="15.75" customHeight="1">
      <c r="B954" s="94"/>
    </row>
    <row r="955" ht="15.75" customHeight="1">
      <c r="B955" s="94"/>
    </row>
    <row r="956" ht="15.75" customHeight="1">
      <c r="B956" s="94"/>
    </row>
    <row r="957" ht="15.75" customHeight="1">
      <c r="B957" s="94"/>
    </row>
    <row r="958" ht="15.75" customHeight="1">
      <c r="B958" s="94"/>
    </row>
    <row r="959" ht="15.75" customHeight="1">
      <c r="B959" s="94"/>
    </row>
    <row r="960" ht="15.75" customHeight="1">
      <c r="B960" s="94"/>
    </row>
    <row r="961" ht="15.75" customHeight="1">
      <c r="B961" s="94"/>
    </row>
    <row r="962" ht="15.75" customHeight="1">
      <c r="B962" s="94"/>
    </row>
    <row r="963" ht="15.75" customHeight="1">
      <c r="B963" s="94"/>
    </row>
    <row r="964" ht="15.75" customHeight="1">
      <c r="B964" s="94"/>
    </row>
    <row r="965" ht="15.75" customHeight="1">
      <c r="B965" s="94"/>
    </row>
    <row r="966" ht="15.75" customHeight="1">
      <c r="B966" s="94"/>
    </row>
    <row r="967" ht="15.75" customHeight="1">
      <c r="B967" s="94"/>
    </row>
    <row r="968" ht="15.75" customHeight="1">
      <c r="B968" s="94"/>
    </row>
    <row r="969" ht="15.75" customHeight="1">
      <c r="B969" s="94"/>
    </row>
    <row r="970" ht="15.75" customHeight="1">
      <c r="B970" s="94"/>
    </row>
    <row r="971" ht="15.75" customHeight="1">
      <c r="B971" s="94"/>
    </row>
    <row r="972" ht="15.75" customHeight="1">
      <c r="B972" s="94"/>
    </row>
    <row r="973" ht="15.75" customHeight="1">
      <c r="B973" s="94"/>
    </row>
    <row r="974" ht="15.75" customHeight="1">
      <c r="B974" s="94"/>
    </row>
    <row r="975" ht="15.75" customHeight="1">
      <c r="B975" s="94"/>
    </row>
    <row r="976" ht="15.75" customHeight="1">
      <c r="B976" s="94"/>
    </row>
    <row r="977" ht="15.75" customHeight="1">
      <c r="B977" s="94"/>
    </row>
    <row r="978" ht="15.75" customHeight="1">
      <c r="B978" s="94"/>
    </row>
    <row r="979" ht="15.75" customHeight="1">
      <c r="B979" s="94"/>
    </row>
    <row r="980" ht="15.75" customHeight="1">
      <c r="B980" s="94"/>
    </row>
    <row r="981" ht="15.75" customHeight="1">
      <c r="B981" s="94"/>
    </row>
    <row r="982" ht="15.75" customHeight="1">
      <c r="B982" s="94"/>
    </row>
    <row r="983" ht="15.75" customHeight="1">
      <c r="B983" s="94"/>
    </row>
    <row r="984" ht="15.75" customHeight="1">
      <c r="B984" s="94"/>
    </row>
    <row r="985" ht="15.75" customHeight="1">
      <c r="B985" s="94"/>
    </row>
  </sheetData>
  <mergeCells count="53">
    <mergeCell ref="P9:P10"/>
    <mergeCell ref="Q9:Q10"/>
    <mergeCell ref="R9:R10"/>
    <mergeCell ref="S9:S10"/>
    <mergeCell ref="T9:T10"/>
    <mergeCell ref="U9:U10"/>
    <mergeCell ref="P7:Q7"/>
    <mergeCell ref="R7:S7"/>
    <mergeCell ref="T7:U7"/>
    <mergeCell ref="V7:V10"/>
    <mergeCell ref="P8:Q8"/>
    <mergeCell ref="R8:S8"/>
    <mergeCell ref="T8:U8"/>
    <mergeCell ref="L7:M7"/>
    <mergeCell ref="N7:O7"/>
    <mergeCell ref="L8:M8"/>
    <mergeCell ref="N8:O8"/>
    <mergeCell ref="M1:T1"/>
    <mergeCell ref="A2:T2"/>
    <mergeCell ref="A3:T3"/>
    <mergeCell ref="A4:T4"/>
    <mergeCell ref="O6:Q6"/>
    <mergeCell ref="D7:E7"/>
    <mergeCell ref="F7:G7"/>
    <mergeCell ref="D9:D10"/>
    <mergeCell ref="E9:E10"/>
    <mergeCell ref="A54:C54"/>
    <mergeCell ref="D54:E54"/>
    <mergeCell ref="F9:F10"/>
    <mergeCell ref="G9:G10"/>
    <mergeCell ref="F54:G54"/>
    <mergeCell ref="J9:J10"/>
    <mergeCell ref="K9:K10"/>
    <mergeCell ref="L9:L10"/>
    <mergeCell ref="M9:M10"/>
    <mergeCell ref="N9:N10"/>
    <mergeCell ref="O9:O10"/>
    <mergeCell ref="H7:I7"/>
    <mergeCell ref="J7:K7"/>
    <mergeCell ref="D8:E8"/>
    <mergeCell ref="F8:G8"/>
    <mergeCell ref="H8:I8"/>
    <mergeCell ref="J8:K8"/>
    <mergeCell ref="C9:C10"/>
    <mergeCell ref="R54:S54"/>
    <mergeCell ref="T54:U54"/>
    <mergeCell ref="H9:H10"/>
    <mergeCell ref="I9:I10"/>
    <mergeCell ref="H54:I54"/>
    <mergeCell ref="J54:K54"/>
    <mergeCell ref="L54:M54"/>
    <mergeCell ref="N54:O54"/>
    <mergeCell ref="P54:Q54"/>
  </mergeCells>
  <printOptions horizontalCentered="1"/>
  <pageMargins bottom="0.25" footer="0.0" header="0.0" left="0.0" right="0.25" top="0.5"/>
  <pageSetup paperSize="9" scale="8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3" max="3" width="28.75"/>
    <col customWidth="1" min="4" max="4" width="8.63"/>
    <col customWidth="1" min="5" max="5" width="8.38"/>
    <col customWidth="1" min="6" max="6" width="10.75"/>
    <col customWidth="1" min="7" max="7" width="10.25"/>
    <col customWidth="1" min="8" max="8" width="9.5"/>
    <col customWidth="1" min="9" max="11" width="9.13"/>
  </cols>
  <sheetData>
    <row r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>
      <c r="A2" s="116" t="s">
        <v>132</v>
      </c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>
      <c r="A3" s="117" t="s">
        <v>133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</row>
    <row r="4">
      <c r="A4" s="117" t="s">
        <v>134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</row>
    <row r="5">
      <c r="A5" s="118" t="s">
        <v>135</v>
      </c>
      <c r="B5" s="119" t="s">
        <v>136</v>
      </c>
      <c r="C5" s="119" t="s">
        <v>137</v>
      </c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</row>
    <row r="6">
      <c r="A6" s="120" t="s">
        <v>138</v>
      </c>
      <c r="B6" s="115"/>
      <c r="C6" s="115"/>
      <c r="D6" s="115"/>
      <c r="E6" s="115"/>
      <c r="F6" s="115"/>
      <c r="G6" s="115"/>
      <c r="H6" s="118" t="s">
        <v>139</v>
      </c>
      <c r="I6" s="118"/>
      <c r="J6" s="118"/>
      <c r="K6" s="118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</row>
    <row r="7" ht="3.75" customHeight="1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</row>
    <row r="8">
      <c r="A8" s="121" t="s">
        <v>140</v>
      </c>
      <c r="B8" s="121" t="s">
        <v>9</v>
      </c>
      <c r="C8" s="121" t="s">
        <v>141</v>
      </c>
      <c r="D8" s="122" t="s">
        <v>142</v>
      </c>
      <c r="E8" s="122" t="s">
        <v>143</v>
      </c>
      <c r="F8" s="122" t="s">
        <v>144</v>
      </c>
      <c r="G8" s="122" t="s">
        <v>145</v>
      </c>
      <c r="H8" s="122" t="s">
        <v>17</v>
      </c>
      <c r="I8" s="122" t="s">
        <v>146</v>
      </c>
      <c r="J8" s="122" t="s">
        <v>127</v>
      </c>
      <c r="K8" s="123" t="s">
        <v>147</v>
      </c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</row>
    <row r="9">
      <c r="A9" s="39"/>
      <c r="B9" s="39"/>
      <c r="C9" s="39"/>
      <c r="D9" s="123" t="s">
        <v>148</v>
      </c>
      <c r="E9" s="123" t="s">
        <v>148</v>
      </c>
      <c r="F9" s="123" t="s">
        <v>148</v>
      </c>
      <c r="G9" s="123" t="s">
        <v>148</v>
      </c>
      <c r="H9" s="123" t="s">
        <v>148</v>
      </c>
      <c r="I9" s="123" t="s">
        <v>148</v>
      </c>
      <c r="J9" s="123" t="s">
        <v>148</v>
      </c>
      <c r="K9" s="124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</row>
    <row r="10">
      <c r="A10" s="125">
        <v>1.0</v>
      </c>
      <c r="B10" s="126" t="s">
        <v>24</v>
      </c>
      <c r="C10" s="43" t="s">
        <v>25</v>
      </c>
      <c r="D10" s="127">
        <v>5.0</v>
      </c>
      <c r="E10" s="128">
        <v>23.0</v>
      </c>
      <c r="F10" s="129">
        <v>4.0</v>
      </c>
      <c r="G10" s="130">
        <v>15.0</v>
      </c>
      <c r="H10" s="131">
        <v>22.0</v>
      </c>
      <c r="I10" s="131">
        <v>13.0</v>
      </c>
      <c r="J10" s="131">
        <v>25.0</v>
      </c>
      <c r="K10" s="123">
        <f t="shared" ref="K10:K52" si="1">COUNTIF(D10:J10,"&lt;22")</f>
        <v>4</v>
      </c>
      <c r="L10" s="132"/>
      <c r="M10" s="132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</row>
    <row r="11">
      <c r="A11" s="125">
        <v>2.0</v>
      </c>
      <c r="B11" s="133" t="s">
        <v>26</v>
      </c>
      <c r="C11" s="59" t="s">
        <v>27</v>
      </c>
      <c r="D11" s="127">
        <v>8.0</v>
      </c>
      <c r="E11" s="128">
        <v>29.0</v>
      </c>
      <c r="F11" s="129">
        <v>0.0</v>
      </c>
      <c r="G11" s="130">
        <v>24.0</v>
      </c>
      <c r="H11" s="131">
        <v>48.0</v>
      </c>
      <c r="I11" s="131">
        <v>28.0</v>
      </c>
      <c r="J11" s="131">
        <v>42.0</v>
      </c>
      <c r="K11" s="123">
        <f t="shared" si="1"/>
        <v>2</v>
      </c>
      <c r="L11" s="132"/>
      <c r="M11" s="132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</row>
    <row r="12">
      <c r="A12" s="125">
        <v>3.0</v>
      </c>
      <c r="B12" s="133" t="s">
        <v>28</v>
      </c>
      <c r="C12" s="59" t="s">
        <v>29</v>
      </c>
      <c r="D12" s="127">
        <v>2.0</v>
      </c>
      <c r="E12" s="128">
        <v>29.0</v>
      </c>
      <c r="F12" s="129">
        <v>8.0</v>
      </c>
      <c r="G12" s="130">
        <v>10.0</v>
      </c>
      <c r="H12" s="131">
        <v>29.0</v>
      </c>
      <c r="I12" s="131">
        <v>20.0</v>
      </c>
      <c r="J12" s="131">
        <v>30.0</v>
      </c>
      <c r="K12" s="123">
        <f t="shared" si="1"/>
        <v>4</v>
      </c>
      <c r="L12" s="132"/>
      <c r="M12" s="132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</row>
    <row r="13">
      <c r="A13" s="125">
        <v>4.0</v>
      </c>
      <c r="B13" s="133" t="s">
        <v>30</v>
      </c>
      <c r="C13" s="59" t="s">
        <v>31</v>
      </c>
      <c r="D13" s="127">
        <v>33.0</v>
      </c>
      <c r="E13" s="128">
        <v>48.0</v>
      </c>
      <c r="F13" s="129">
        <v>45.0</v>
      </c>
      <c r="G13" s="130">
        <v>40.0</v>
      </c>
      <c r="H13" s="131">
        <v>49.0</v>
      </c>
      <c r="I13" s="131">
        <v>49.0</v>
      </c>
      <c r="J13" s="131">
        <v>44.0</v>
      </c>
      <c r="K13" s="123">
        <f t="shared" si="1"/>
        <v>0</v>
      </c>
      <c r="L13" s="132"/>
      <c r="M13" s="132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</row>
    <row r="14">
      <c r="A14" s="125">
        <v>5.0</v>
      </c>
      <c r="B14" s="133" t="s">
        <v>32</v>
      </c>
      <c r="C14" s="59" t="s">
        <v>33</v>
      </c>
      <c r="D14" s="127">
        <v>18.0</v>
      </c>
      <c r="E14" s="128">
        <v>17.0</v>
      </c>
      <c r="F14" s="129">
        <v>27.0</v>
      </c>
      <c r="G14" s="130">
        <v>12.0</v>
      </c>
      <c r="H14" s="131">
        <v>33.0</v>
      </c>
      <c r="I14" s="131">
        <v>19.0</v>
      </c>
      <c r="J14" s="131">
        <v>37.0</v>
      </c>
      <c r="K14" s="123">
        <f t="shared" si="1"/>
        <v>4</v>
      </c>
      <c r="L14" s="132"/>
      <c r="M14" s="132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</row>
    <row r="15">
      <c r="A15" s="125">
        <v>6.0</v>
      </c>
      <c r="B15" s="133" t="s">
        <v>34</v>
      </c>
      <c r="C15" s="59" t="s">
        <v>35</v>
      </c>
      <c r="D15" s="127">
        <v>36.0</v>
      </c>
      <c r="E15" s="128">
        <v>24.0</v>
      </c>
      <c r="F15" s="129">
        <v>22.0</v>
      </c>
      <c r="G15" s="130">
        <v>23.0</v>
      </c>
      <c r="H15" s="131">
        <v>36.0</v>
      </c>
      <c r="I15" s="131">
        <v>31.0</v>
      </c>
      <c r="J15" s="131">
        <v>37.0</v>
      </c>
      <c r="K15" s="123">
        <f t="shared" si="1"/>
        <v>0</v>
      </c>
      <c r="L15" s="132"/>
      <c r="M15" s="132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</row>
    <row r="16">
      <c r="A16" s="125">
        <v>7.0</v>
      </c>
      <c r="B16" s="133" t="s">
        <v>36</v>
      </c>
      <c r="C16" s="59" t="s">
        <v>37</v>
      </c>
      <c r="D16" s="127">
        <v>12.0</v>
      </c>
      <c r="E16" s="128">
        <v>23.0</v>
      </c>
      <c r="F16" s="129">
        <v>17.0</v>
      </c>
      <c r="G16" s="130">
        <v>18.0</v>
      </c>
      <c r="H16" s="131">
        <v>22.0</v>
      </c>
      <c r="I16" s="131">
        <v>30.0</v>
      </c>
      <c r="J16" s="131">
        <v>22.0</v>
      </c>
      <c r="K16" s="123">
        <f t="shared" si="1"/>
        <v>3</v>
      </c>
      <c r="L16" s="132"/>
      <c r="M16" s="132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</row>
    <row r="17">
      <c r="A17" s="125">
        <v>8.0</v>
      </c>
      <c r="B17" s="133" t="s">
        <v>38</v>
      </c>
      <c r="C17" s="59" t="s">
        <v>39</v>
      </c>
      <c r="D17" s="127">
        <v>44.0</v>
      </c>
      <c r="E17" s="128">
        <v>50.0</v>
      </c>
      <c r="F17" s="129">
        <v>46.0</v>
      </c>
      <c r="G17" s="130">
        <v>40.0</v>
      </c>
      <c r="H17" s="131">
        <v>43.0</v>
      </c>
      <c r="I17" s="131">
        <v>45.0</v>
      </c>
      <c r="J17" s="131">
        <v>36.0</v>
      </c>
      <c r="K17" s="123">
        <f t="shared" si="1"/>
        <v>0</v>
      </c>
      <c r="L17" s="132"/>
      <c r="M17" s="132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</row>
    <row r="18">
      <c r="A18" s="125">
        <v>9.0</v>
      </c>
      <c r="B18" s="133" t="s">
        <v>40</v>
      </c>
      <c r="C18" s="59" t="s">
        <v>41</v>
      </c>
      <c r="D18" s="127">
        <v>42.0</v>
      </c>
      <c r="E18" s="128">
        <v>50.0</v>
      </c>
      <c r="F18" s="129">
        <v>50.0</v>
      </c>
      <c r="G18" s="130">
        <v>45.0</v>
      </c>
      <c r="H18" s="131">
        <v>50.0</v>
      </c>
      <c r="I18" s="131">
        <v>49.0</v>
      </c>
      <c r="J18" s="131">
        <v>42.0</v>
      </c>
      <c r="K18" s="123">
        <f t="shared" si="1"/>
        <v>0</v>
      </c>
      <c r="L18" s="132"/>
      <c r="M18" s="132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</row>
    <row r="19">
      <c r="A19" s="125">
        <v>10.0</v>
      </c>
      <c r="B19" s="133" t="s">
        <v>42</v>
      </c>
      <c r="C19" s="59" t="s">
        <v>43</v>
      </c>
      <c r="D19" s="127">
        <v>23.0</v>
      </c>
      <c r="E19" s="128">
        <v>13.0</v>
      </c>
      <c r="F19" s="129">
        <v>4.0</v>
      </c>
      <c r="G19" s="130">
        <v>29.0</v>
      </c>
      <c r="H19" s="131">
        <v>22.0</v>
      </c>
      <c r="I19" s="131">
        <v>16.0</v>
      </c>
      <c r="J19" s="131">
        <v>21.0</v>
      </c>
      <c r="K19" s="123">
        <f t="shared" si="1"/>
        <v>4</v>
      </c>
      <c r="L19" s="132"/>
      <c r="M19" s="132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</row>
    <row r="20">
      <c r="A20" s="125">
        <v>11.0</v>
      </c>
      <c r="B20" s="133" t="s">
        <v>44</v>
      </c>
      <c r="C20" s="59" t="s">
        <v>45</v>
      </c>
      <c r="D20" s="127">
        <v>46.0</v>
      </c>
      <c r="E20" s="128">
        <v>33.0</v>
      </c>
      <c r="F20" s="129">
        <v>25.0</v>
      </c>
      <c r="G20" s="130">
        <v>44.0</v>
      </c>
      <c r="H20" s="131">
        <v>28.0</v>
      </c>
      <c r="I20" s="131">
        <v>35.0</v>
      </c>
      <c r="J20" s="131">
        <v>32.0</v>
      </c>
      <c r="K20" s="123">
        <f t="shared" si="1"/>
        <v>0</v>
      </c>
      <c r="L20" s="132"/>
      <c r="M20" s="132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</row>
    <row r="21">
      <c r="A21" s="125">
        <v>12.0</v>
      </c>
      <c r="B21" s="133" t="s">
        <v>46</v>
      </c>
      <c r="C21" s="59" t="s">
        <v>47</v>
      </c>
      <c r="D21" s="127">
        <v>38.0</v>
      </c>
      <c r="E21" s="128">
        <v>30.0</v>
      </c>
      <c r="F21" s="129">
        <v>13.0</v>
      </c>
      <c r="G21" s="130">
        <v>30.0</v>
      </c>
      <c r="H21" s="131">
        <v>42.0</v>
      </c>
      <c r="I21" s="131">
        <v>32.0</v>
      </c>
      <c r="J21" s="131">
        <v>40.0</v>
      </c>
      <c r="K21" s="123">
        <f t="shared" si="1"/>
        <v>1</v>
      </c>
      <c r="L21" s="132"/>
      <c r="M21" s="132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</row>
    <row r="22">
      <c r="A22" s="125">
        <v>13.0</v>
      </c>
      <c r="B22" s="133" t="s">
        <v>48</v>
      </c>
      <c r="C22" s="59" t="s">
        <v>49</v>
      </c>
      <c r="D22" s="127">
        <v>22.0</v>
      </c>
      <c r="E22" s="128">
        <v>4.0</v>
      </c>
      <c r="F22" s="129">
        <v>11.0</v>
      </c>
      <c r="G22" s="130">
        <v>15.0</v>
      </c>
      <c r="H22" s="131">
        <v>19.0</v>
      </c>
      <c r="I22" s="131">
        <v>18.0</v>
      </c>
      <c r="J22" s="131">
        <v>25.0</v>
      </c>
      <c r="K22" s="123">
        <f t="shared" si="1"/>
        <v>5</v>
      </c>
      <c r="L22" s="132"/>
      <c r="M22" s="132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</row>
    <row r="23">
      <c r="A23" s="125">
        <v>14.0</v>
      </c>
      <c r="B23" s="133" t="s">
        <v>50</v>
      </c>
      <c r="C23" s="59" t="s">
        <v>51</v>
      </c>
      <c r="D23" s="127">
        <v>3.0</v>
      </c>
      <c r="E23" s="128">
        <v>17.0</v>
      </c>
      <c r="F23" s="129">
        <v>17.0</v>
      </c>
      <c r="G23" s="130">
        <v>25.0</v>
      </c>
      <c r="H23" s="131">
        <v>39.0</v>
      </c>
      <c r="I23" s="131">
        <v>38.0</v>
      </c>
      <c r="J23" s="131">
        <v>39.0</v>
      </c>
      <c r="K23" s="123">
        <f t="shared" si="1"/>
        <v>3</v>
      </c>
      <c r="L23" s="132"/>
      <c r="M23" s="132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</row>
    <row r="24">
      <c r="A24" s="125">
        <v>15.0</v>
      </c>
      <c r="B24" s="133" t="s">
        <v>52</v>
      </c>
      <c r="C24" s="59" t="s">
        <v>53</v>
      </c>
      <c r="D24" s="127">
        <v>22.0</v>
      </c>
      <c r="E24" s="128">
        <v>16.0</v>
      </c>
      <c r="F24" s="129">
        <v>35.0</v>
      </c>
      <c r="G24" s="130">
        <v>28.0</v>
      </c>
      <c r="H24" s="131">
        <v>38.0</v>
      </c>
      <c r="I24" s="131">
        <v>26.0</v>
      </c>
      <c r="J24" s="131">
        <v>34.0</v>
      </c>
      <c r="K24" s="123">
        <f t="shared" si="1"/>
        <v>1</v>
      </c>
      <c r="L24" s="132"/>
      <c r="M24" s="132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</row>
    <row r="25">
      <c r="A25" s="125">
        <v>16.0</v>
      </c>
      <c r="B25" s="133" t="s">
        <v>54</v>
      </c>
      <c r="C25" s="59" t="s">
        <v>55</v>
      </c>
      <c r="D25" s="127">
        <v>18.0</v>
      </c>
      <c r="E25" s="128">
        <v>36.0</v>
      </c>
      <c r="F25" s="129">
        <v>13.0</v>
      </c>
      <c r="G25" s="130">
        <v>16.0</v>
      </c>
      <c r="H25" s="131">
        <v>36.0</v>
      </c>
      <c r="I25" s="131">
        <v>17.0</v>
      </c>
      <c r="J25" s="131">
        <v>34.0</v>
      </c>
      <c r="K25" s="123">
        <f t="shared" si="1"/>
        <v>4</v>
      </c>
      <c r="L25" s="132"/>
      <c r="M25" s="132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</row>
    <row r="26">
      <c r="A26" s="125">
        <v>17.0</v>
      </c>
      <c r="B26" s="133" t="s">
        <v>56</v>
      </c>
      <c r="C26" s="59" t="s">
        <v>57</v>
      </c>
      <c r="D26" s="127">
        <v>10.0</v>
      </c>
      <c r="E26" s="128">
        <v>11.0</v>
      </c>
      <c r="F26" s="129">
        <v>8.0</v>
      </c>
      <c r="G26" s="130">
        <v>10.0</v>
      </c>
      <c r="H26" s="131">
        <v>22.0</v>
      </c>
      <c r="I26" s="131">
        <v>12.0</v>
      </c>
      <c r="J26" s="131">
        <v>25.0</v>
      </c>
      <c r="K26" s="123">
        <f t="shared" si="1"/>
        <v>5</v>
      </c>
      <c r="L26" s="132"/>
      <c r="M26" s="132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</row>
    <row r="27">
      <c r="A27" s="125">
        <v>18.0</v>
      </c>
      <c r="B27" s="133" t="s">
        <v>58</v>
      </c>
      <c r="C27" s="59" t="s">
        <v>59</v>
      </c>
      <c r="D27" s="127">
        <v>4.0</v>
      </c>
      <c r="E27" s="128">
        <v>20.0</v>
      </c>
      <c r="F27" s="129">
        <v>6.0</v>
      </c>
      <c r="G27" s="130">
        <v>18.0</v>
      </c>
      <c r="H27" s="131">
        <v>27.0</v>
      </c>
      <c r="I27" s="131">
        <v>16.0</v>
      </c>
      <c r="J27" s="131">
        <v>33.0</v>
      </c>
      <c r="K27" s="123">
        <f t="shared" si="1"/>
        <v>5</v>
      </c>
      <c r="L27" s="132"/>
      <c r="M27" s="132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</row>
    <row r="28">
      <c r="A28" s="125">
        <v>19.0</v>
      </c>
      <c r="B28" s="133" t="s">
        <v>60</v>
      </c>
      <c r="C28" s="59" t="s">
        <v>61</v>
      </c>
      <c r="D28" s="127">
        <v>17.0</v>
      </c>
      <c r="E28" s="128">
        <v>15.0</v>
      </c>
      <c r="F28" s="129">
        <v>13.0</v>
      </c>
      <c r="G28" s="130">
        <v>24.0</v>
      </c>
      <c r="H28" s="131">
        <v>39.0</v>
      </c>
      <c r="I28" s="131">
        <v>8.0</v>
      </c>
      <c r="J28" s="131">
        <v>30.0</v>
      </c>
      <c r="K28" s="123">
        <f t="shared" si="1"/>
        <v>4</v>
      </c>
      <c r="L28" s="132"/>
      <c r="M28" s="132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</row>
    <row r="29">
      <c r="A29" s="125">
        <v>20.0</v>
      </c>
      <c r="B29" s="133" t="s">
        <v>62</v>
      </c>
      <c r="C29" s="59" t="s">
        <v>63</v>
      </c>
      <c r="D29" s="127">
        <v>19.0</v>
      </c>
      <c r="E29" s="128">
        <v>23.0</v>
      </c>
      <c r="F29" s="129">
        <v>24.0</v>
      </c>
      <c r="G29" s="130">
        <v>10.0</v>
      </c>
      <c r="H29" s="131">
        <v>24.0</v>
      </c>
      <c r="I29" s="131">
        <v>18.0</v>
      </c>
      <c r="J29" s="131">
        <v>29.0</v>
      </c>
      <c r="K29" s="123">
        <f t="shared" si="1"/>
        <v>3</v>
      </c>
      <c r="L29" s="132"/>
      <c r="M29" s="132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</row>
    <row r="30">
      <c r="A30" s="125">
        <v>21.0</v>
      </c>
      <c r="B30" s="133" t="s">
        <v>64</v>
      </c>
      <c r="C30" s="59" t="s">
        <v>65</v>
      </c>
      <c r="D30" s="127" t="s">
        <v>111</v>
      </c>
      <c r="E30" s="128" t="s">
        <v>111</v>
      </c>
      <c r="F30" s="129" t="s">
        <v>111</v>
      </c>
      <c r="G30" s="130" t="s">
        <v>111</v>
      </c>
      <c r="H30" s="131" t="s">
        <v>111</v>
      </c>
      <c r="I30" s="131" t="s">
        <v>111</v>
      </c>
      <c r="J30" s="131" t="s">
        <v>111</v>
      </c>
      <c r="K30" s="123">
        <f t="shared" si="1"/>
        <v>0</v>
      </c>
      <c r="L30" s="132"/>
      <c r="M30" s="132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</row>
    <row r="31">
      <c r="A31" s="125">
        <v>22.0</v>
      </c>
      <c r="B31" s="133" t="s">
        <v>66</v>
      </c>
      <c r="C31" s="59" t="s">
        <v>67</v>
      </c>
      <c r="D31" s="127">
        <v>22.0</v>
      </c>
      <c r="E31" s="128">
        <v>8.0</v>
      </c>
      <c r="F31" s="129">
        <v>22.0</v>
      </c>
      <c r="G31" s="130">
        <v>25.0</v>
      </c>
      <c r="H31" s="131">
        <v>31.0</v>
      </c>
      <c r="I31" s="131">
        <v>35.0</v>
      </c>
      <c r="J31" s="131">
        <v>28.0</v>
      </c>
      <c r="K31" s="123">
        <f t="shared" si="1"/>
        <v>1</v>
      </c>
      <c r="L31" s="132"/>
      <c r="M31" s="132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</row>
    <row r="32">
      <c r="A32" s="125">
        <v>23.0</v>
      </c>
      <c r="B32" s="133" t="s">
        <v>68</v>
      </c>
      <c r="C32" s="59" t="s">
        <v>69</v>
      </c>
      <c r="D32" s="127">
        <v>36.0</v>
      </c>
      <c r="E32" s="128">
        <v>21.0</v>
      </c>
      <c r="F32" s="129">
        <v>31.0</v>
      </c>
      <c r="G32" s="130">
        <v>25.0</v>
      </c>
      <c r="H32" s="131">
        <v>27.0</v>
      </c>
      <c r="I32" s="131">
        <v>17.0</v>
      </c>
      <c r="J32" s="131">
        <v>33.0</v>
      </c>
      <c r="K32" s="123">
        <f t="shared" si="1"/>
        <v>2</v>
      </c>
      <c r="L32" s="132"/>
      <c r="M32" s="132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</row>
    <row r="33">
      <c r="A33" s="125">
        <v>24.0</v>
      </c>
      <c r="B33" s="133" t="s">
        <v>70</v>
      </c>
      <c r="C33" s="59" t="s">
        <v>71</v>
      </c>
      <c r="D33" s="127">
        <v>26.0</v>
      </c>
      <c r="E33" s="128">
        <v>29.0</v>
      </c>
      <c r="F33" s="129">
        <v>16.0</v>
      </c>
      <c r="G33" s="130">
        <v>20.0</v>
      </c>
      <c r="H33" s="131">
        <v>33.0</v>
      </c>
      <c r="I33" s="131">
        <v>20.0</v>
      </c>
      <c r="J33" s="131">
        <v>28.0</v>
      </c>
      <c r="K33" s="123">
        <f t="shared" si="1"/>
        <v>3</v>
      </c>
      <c r="L33" s="132"/>
      <c r="M33" s="132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</row>
    <row r="34">
      <c r="A34" s="125">
        <v>25.0</v>
      </c>
      <c r="B34" s="133" t="s">
        <v>72</v>
      </c>
      <c r="C34" s="134" t="s">
        <v>149</v>
      </c>
      <c r="D34" s="127">
        <v>45.0</v>
      </c>
      <c r="E34" s="128">
        <v>49.0</v>
      </c>
      <c r="F34" s="129">
        <v>50.0</v>
      </c>
      <c r="G34" s="130">
        <v>42.0</v>
      </c>
      <c r="H34" s="131">
        <v>45.0</v>
      </c>
      <c r="I34" s="131">
        <v>46.0</v>
      </c>
      <c r="J34" s="131">
        <v>44.0</v>
      </c>
      <c r="K34" s="123">
        <f t="shared" si="1"/>
        <v>0</v>
      </c>
      <c r="L34" s="132"/>
      <c r="M34" s="132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</row>
    <row r="35">
      <c r="A35" s="125">
        <v>26.0</v>
      </c>
      <c r="B35" s="133" t="s">
        <v>74</v>
      </c>
      <c r="C35" s="59" t="s">
        <v>75</v>
      </c>
      <c r="D35" s="127">
        <v>22.0</v>
      </c>
      <c r="E35" s="128">
        <v>25.0</v>
      </c>
      <c r="F35" s="129">
        <v>5.0</v>
      </c>
      <c r="G35" s="130">
        <v>10.0</v>
      </c>
      <c r="H35" s="131">
        <v>24.0</v>
      </c>
      <c r="I35" s="131">
        <v>22.0</v>
      </c>
      <c r="J35" s="131">
        <v>38.0</v>
      </c>
      <c r="K35" s="123">
        <f t="shared" si="1"/>
        <v>2</v>
      </c>
      <c r="L35" s="132"/>
      <c r="M35" s="132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</row>
    <row r="36">
      <c r="A36" s="125">
        <v>27.0</v>
      </c>
      <c r="B36" s="133" t="s">
        <v>76</v>
      </c>
      <c r="C36" s="59" t="s">
        <v>77</v>
      </c>
      <c r="D36" s="127">
        <v>22.0</v>
      </c>
      <c r="E36" s="128">
        <v>2.0</v>
      </c>
      <c r="F36" s="129">
        <v>14.0</v>
      </c>
      <c r="G36" s="130">
        <v>25.0</v>
      </c>
      <c r="H36" s="131">
        <v>22.0</v>
      </c>
      <c r="I36" s="131">
        <v>17.0</v>
      </c>
      <c r="J36" s="131">
        <v>35.0</v>
      </c>
      <c r="K36" s="123">
        <f t="shared" si="1"/>
        <v>3</v>
      </c>
      <c r="L36" s="132"/>
      <c r="M36" s="132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</row>
    <row r="37">
      <c r="A37" s="125">
        <v>28.0</v>
      </c>
      <c r="B37" s="133" t="s">
        <v>78</v>
      </c>
      <c r="C37" s="59" t="s">
        <v>79</v>
      </c>
      <c r="D37" s="127">
        <v>24.0</v>
      </c>
      <c r="E37" s="128">
        <v>26.0</v>
      </c>
      <c r="F37" s="129">
        <v>33.0</v>
      </c>
      <c r="G37" s="130">
        <v>12.0</v>
      </c>
      <c r="H37" s="131">
        <v>44.0</v>
      </c>
      <c r="I37" s="131">
        <v>29.0</v>
      </c>
      <c r="J37" s="131">
        <v>37.0</v>
      </c>
      <c r="K37" s="123">
        <f t="shared" si="1"/>
        <v>1</v>
      </c>
      <c r="L37" s="132"/>
      <c r="M37" s="132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</row>
    <row r="38">
      <c r="A38" s="125">
        <v>29.0</v>
      </c>
      <c r="B38" s="133" t="s">
        <v>80</v>
      </c>
      <c r="C38" s="59" t="s">
        <v>81</v>
      </c>
      <c r="D38" s="127">
        <v>17.0</v>
      </c>
      <c r="E38" s="128">
        <v>12.0</v>
      </c>
      <c r="F38" s="129">
        <v>16.0</v>
      </c>
      <c r="G38" s="130">
        <v>20.0</v>
      </c>
      <c r="H38" s="131">
        <v>34.0</v>
      </c>
      <c r="I38" s="131">
        <v>16.0</v>
      </c>
      <c r="J38" s="131">
        <v>40.0</v>
      </c>
      <c r="K38" s="123">
        <f t="shared" si="1"/>
        <v>5</v>
      </c>
      <c r="L38" s="132"/>
      <c r="M38" s="132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</row>
    <row r="39">
      <c r="A39" s="125">
        <v>30.0</v>
      </c>
      <c r="B39" s="133" t="s">
        <v>82</v>
      </c>
      <c r="C39" s="59" t="s">
        <v>83</v>
      </c>
      <c r="D39" s="127">
        <v>16.0</v>
      </c>
      <c r="E39" s="128">
        <v>3.0</v>
      </c>
      <c r="F39" s="129">
        <v>26.0</v>
      </c>
      <c r="G39" s="130">
        <v>16.0</v>
      </c>
      <c r="H39" s="131">
        <v>39.0</v>
      </c>
      <c r="I39" s="131">
        <v>34.0</v>
      </c>
      <c r="J39" s="131">
        <v>45.0</v>
      </c>
      <c r="K39" s="123">
        <f t="shared" si="1"/>
        <v>3</v>
      </c>
      <c r="L39" s="132"/>
      <c r="M39" s="132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</row>
    <row r="40">
      <c r="A40" s="125">
        <v>31.0</v>
      </c>
      <c r="B40" s="65" t="s">
        <v>84</v>
      </c>
      <c r="C40" s="66" t="s">
        <v>85</v>
      </c>
      <c r="D40" s="127">
        <v>13.0</v>
      </c>
      <c r="E40" s="128">
        <v>10.0</v>
      </c>
      <c r="F40" s="129">
        <v>23.0</v>
      </c>
      <c r="G40" s="130">
        <v>8.0</v>
      </c>
      <c r="H40" s="131">
        <v>22.0</v>
      </c>
      <c r="I40" s="131">
        <v>23.0</v>
      </c>
      <c r="J40" s="131">
        <v>22.0</v>
      </c>
      <c r="K40" s="123">
        <f t="shared" si="1"/>
        <v>3</v>
      </c>
      <c r="L40" s="132"/>
      <c r="M40" s="132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</row>
    <row r="41">
      <c r="A41" s="125">
        <v>32.0</v>
      </c>
      <c r="B41" s="65" t="s">
        <v>86</v>
      </c>
      <c r="C41" s="66" t="s">
        <v>87</v>
      </c>
      <c r="D41" s="127">
        <v>6.0</v>
      </c>
      <c r="E41" s="128">
        <v>15.0</v>
      </c>
      <c r="F41" s="129">
        <v>22.0</v>
      </c>
      <c r="G41" s="130">
        <v>0.0</v>
      </c>
      <c r="H41" s="131">
        <v>30.0</v>
      </c>
      <c r="I41" s="131">
        <v>26.0</v>
      </c>
      <c r="J41" s="131">
        <v>22.0</v>
      </c>
      <c r="K41" s="123">
        <f t="shared" si="1"/>
        <v>3</v>
      </c>
      <c r="L41" s="132"/>
      <c r="M41" s="132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</row>
    <row r="42">
      <c r="A42" s="125">
        <v>33.0</v>
      </c>
      <c r="B42" s="65" t="s">
        <v>88</v>
      </c>
      <c r="C42" s="66" t="s">
        <v>89</v>
      </c>
      <c r="D42" s="127">
        <v>30.0</v>
      </c>
      <c r="E42" s="128">
        <v>39.0</v>
      </c>
      <c r="F42" s="129">
        <v>17.0</v>
      </c>
      <c r="G42" s="130">
        <v>21.0</v>
      </c>
      <c r="H42" s="131">
        <v>15.0</v>
      </c>
      <c r="I42" s="131">
        <v>17.0</v>
      </c>
      <c r="J42" s="131">
        <v>27.0</v>
      </c>
      <c r="K42" s="123">
        <f t="shared" si="1"/>
        <v>4</v>
      </c>
      <c r="L42" s="132"/>
      <c r="M42" s="132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</row>
    <row r="43">
      <c r="A43" s="125">
        <v>34.0</v>
      </c>
      <c r="B43" s="65" t="s">
        <v>90</v>
      </c>
      <c r="C43" s="66" t="s">
        <v>91</v>
      </c>
      <c r="D43" s="127">
        <v>16.0</v>
      </c>
      <c r="E43" s="128">
        <v>23.0</v>
      </c>
      <c r="F43" s="129">
        <v>14.0</v>
      </c>
      <c r="G43" s="130">
        <v>5.0</v>
      </c>
      <c r="H43" s="131">
        <v>22.0</v>
      </c>
      <c r="I43" s="131">
        <v>16.0</v>
      </c>
      <c r="J43" s="131">
        <v>27.0</v>
      </c>
      <c r="K43" s="123">
        <f t="shared" si="1"/>
        <v>4</v>
      </c>
      <c r="L43" s="132"/>
      <c r="M43" s="132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</row>
    <row r="44">
      <c r="A44" s="125">
        <v>35.0</v>
      </c>
      <c r="B44" s="65" t="s">
        <v>92</v>
      </c>
      <c r="C44" s="66" t="s">
        <v>93</v>
      </c>
      <c r="D44" s="127">
        <v>25.0</v>
      </c>
      <c r="E44" s="128">
        <v>15.0</v>
      </c>
      <c r="F44" s="129">
        <v>2.0</v>
      </c>
      <c r="G44" s="130">
        <v>15.0</v>
      </c>
      <c r="H44" s="131">
        <v>24.0</v>
      </c>
      <c r="I44" s="131">
        <v>20.0</v>
      </c>
      <c r="J44" s="131">
        <v>24.0</v>
      </c>
      <c r="K44" s="123">
        <f t="shared" si="1"/>
        <v>4</v>
      </c>
      <c r="L44" s="132"/>
      <c r="M44" s="132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</row>
    <row r="45">
      <c r="A45" s="125">
        <v>36.0</v>
      </c>
      <c r="B45" s="65" t="s">
        <v>94</v>
      </c>
      <c r="C45" s="66" t="s">
        <v>95</v>
      </c>
      <c r="D45" s="127">
        <v>27.0</v>
      </c>
      <c r="E45" s="128">
        <v>40.0</v>
      </c>
      <c r="F45" s="129">
        <v>38.0</v>
      </c>
      <c r="G45" s="130">
        <v>22.0</v>
      </c>
      <c r="H45" s="131">
        <v>37.0</v>
      </c>
      <c r="I45" s="131">
        <v>28.0</v>
      </c>
      <c r="J45" s="131">
        <v>32.0</v>
      </c>
      <c r="K45" s="123">
        <f t="shared" si="1"/>
        <v>0</v>
      </c>
      <c r="L45" s="132"/>
      <c r="M45" s="132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</row>
    <row r="46">
      <c r="A46" s="125">
        <v>37.0</v>
      </c>
      <c r="B46" s="65" t="s">
        <v>96</v>
      </c>
      <c r="C46" s="66" t="s">
        <v>97</v>
      </c>
      <c r="D46" s="127">
        <v>0.0</v>
      </c>
      <c r="E46" s="128">
        <v>2.0</v>
      </c>
      <c r="F46" s="129">
        <v>2.0</v>
      </c>
      <c r="G46" s="130">
        <v>3.0</v>
      </c>
      <c r="H46" s="131">
        <v>23.0</v>
      </c>
      <c r="I46" s="131">
        <v>4.0</v>
      </c>
      <c r="J46" s="131">
        <v>22.0</v>
      </c>
      <c r="K46" s="123">
        <f t="shared" si="1"/>
        <v>5</v>
      </c>
      <c r="L46" s="132"/>
      <c r="M46" s="132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</row>
    <row r="47">
      <c r="A47" s="125">
        <v>38.0</v>
      </c>
      <c r="B47" s="65" t="s">
        <v>98</v>
      </c>
      <c r="C47" s="66" t="s">
        <v>99</v>
      </c>
      <c r="D47" s="127">
        <v>7.0</v>
      </c>
      <c r="E47" s="128">
        <v>14.0</v>
      </c>
      <c r="F47" s="129">
        <v>8.0</v>
      </c>
      <c r="G47" s="130">
        <v>12.0</v>
      </c>
      <c r="H47" s="131">
        <v>33.0</v>
      </c>
      <c r="I47" s="131">
        <v>6.0</v>
      </c>
      <c r="J47" s="131">
        <v>22.0</v>
      </c>
      <c r="K47" s="123">
        <f t="shared" si="1"/>
        <v>5</v>
      </c>
      <c r="L47" s="132"/>
      <c r="M47" s="132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</row>
    <row r="48">
      <c r="A48" s="125">
        <v>39.0</v>
      </c>
      <c r="B48" s="65" t="s">
        <v>100</v>
      </c>
      <c r="C48" s="66" t="s">
        <v>101</v>
      </c>
      <c r="D48" s="127">
        <v>4.0</v>
      </c>
      <c r="E48" s="128">
        <v>10.0</v>
      </c>
      <c r="F48" s="129">
        <v>2.0</v>
      </c>
      <c r="G48" s="130">
        <v>10.0</v>
      </c>
      <c r="H48" s="131">
        <v>26.0</v>
      </c>
      <c r="I48" s="131">
        <v>11.0</v>
      </c>
      <c r="J48" s="131">
        <v>22.0</v>
      </c>
      <c r="K48" s="123">
        <f t="shared" si="1"/>
        <v>5</v>
      </c>
      <c r="L48" s="132"/>
      <c r="M48" s="13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</row>
    <row r="49">
      <c r="A49" s="125">
        <v>40.0</v>
      </c>
      <c r="B49" s="65" t="s">
        <v>102</v>
      </c>
      <c r="C49" s="66" t="s">
        <v>103</v>
      </c>
      <c r="D49" s="127">
        <v>0.0</v>
      </c>
      <c r="E49" s="128">
        <v>1.0</v>
      </c>
      <c r="F49" s="129">
        <v>1.0</v>
      </c>
      <c r="G49" s="130">
        <v>20.0</v>
      </c>
      <c r="H49" s="131">
        <v>22.0</v>
      </c>
      <c r="I49" s="131">
        <v>14.0</v>
      </c>
      <c r="J49" s="131">
        <v>32.0</v>
      </c>
      <c r="K49" s="123">
        <f t="shared" si="1"/>
        <v>5</v>
      </c>
      <c r="L49" s="132"/>
      <c r="M49" s="132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</row>
    <row r="50">
      <c r="A50" s="125">
        <v>41.0</v>
      </c>
      <c r="B50" s="67" t="s">
        <v>104</v>
      </c>
      <c r="C50" s="66" t="s">
        <v>105</v>
      </c>
      <c r="D50" s="127">
        <v>2.0</v>
      </c>
      <c r="E50" s="128">
        <v>17.0</v>
      </c>
      <c r="F50" s="129">
        <v>9.0</v>
      </c>
      <c r="G50" s="130">
        <v>15.0</v>
      </c>
      <c r="H50" s="131">
        <v>34.0</v>
      </c>
      <c r="I50" s="131">
        <v>17.0</v>
      </c>
      <c r="J50" s="131">
        <v>34.0</v>
      </c>
      <c r="K50" s="123">
        <f t="shared" si="1"/>
        <v>5</v>
      </c>
      <c r="L50" s="132"/>
      <c r="M50" s="132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</row>
    <row r="51">
      <c r="A51" s="125">
        <v>42.0</v>
      </c>
      <c r="B51" s="67" t="s">
        <v>106</v>
      </c>
      <c r="C51" s="68" t="s">
        <v>107</v>
      </c>
      <c r="D51" s="127">
        <v>13.0</v>
      </c>
      <c r="E51" s="128">
        <v>7.0</v>
      </c>
      <c r="F51" s="129">
        <v>2.0</v>
      </c>
      <c r="G51" s="130">
        <v>21.0</v>
      </c>
      <c r="H51" s="131">
        <v>36.0</v>
      </c>
      <c r="I51" s="131">
        <v>12.0</v>
      </c>
      <c r="J51" s="131">
        <v>30.0</v>
      </c>
      <c r="K51" s="123">
        <f t="shared" si="1"/>
        <v>5</v>
      </c>
      <c r="L51" s="132"/>
      <c r="M51" s="132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</row>
    <row r="52">
      <c r="A52" s="125">
        <v>43.0</v>
      </c>
      <c r="B52" s="67" t="s">
        <v>108</v>
      </c>
      <c r="C52" s="69" t="s">
        <v>109</v>
      </c>
      <c r="D52" s="127">
        <v>9.0</v>
      </c>
      <c r="E52" s="128">
        <v>20.0</v>
      </c>
      <c r="F52" s="129">
        <v>13.0</v>
      </c>
      <c r="G52" s="130">
        <v>10.0</v>
      </c>
      <c r="H52" s="131">
        <v>27.0</v>
      </c>
      <c r="I52" s="122">
        <v>32.0</v>
      </c>
      <c r="J52" s="122">
        <v>34.0</v>
      </c>
      <c r="K52" s="123">
        <f t="shared" si="1"/>
        <v>4</v>
      </c>
      <c r="L52" s="132"/>
      <c r="M52" s="132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</row>
    <row r="53">
      <c r="A53" s="136"/>
      <c r="B53" s="136"/>
      <c r="C53" s="136"/>
      <c r="D53" s="137"/>
      <c r="E53" s="137"/>
      <c r="F53" s="137"/>
      <c r="G53" s="137"/>
      <c r="H53" s="137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</row>
    <row r="54">
      <c r="A54" s="138" t="s">
        <v>150</v>
      </c>
      <c r="B54" s="5"/>
      <c r="C54" s="6"/>
      <c r="D54" s="122">
        <v>42.0</v>
      </c>
      <c r="E54" s="122">
        <v>42.0</v>
      </c>
      <c r="F54" s="122">
        <v>42.0</v>
      </c>
      <c r="G54" s="122">
        <v>41.0</v>
      </c>
      <c r="H54" s="122">
        <v>42.0</v>
      </c>
      <c r="I54" s="139">
        <v>42.0</v>
      </c>
      <c r="J54" s="139">
        <v>42.0</v>
      </c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</row>
    <row r="55">
      <c r="A55" s="138" t="s">
        <v>151</v>
      </c>
      <c r="B55" s="5"/>
      <c r="C55" s="6"/>
      <c r="D55" s="122">
        <v>1.0</v>
      </c>
      <c r="E55" s="122">
        <v>1.0</v>
      </c>
      <c r="F55" s="122">
        <v>1.0</v>
      </c>
      <c r="G55" s="122">
        <v>2.0</v>
      </c>
      <c r="H55" s="122">
        <v>1.0</v>
      </c>
      <c r="I55" s="139">
        <v>1.0</v>
      </c>
      <c r="J55" s="139">
        <v>1.0</v>
      </c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</row>
    <row r="56">
      <c r="A56" s="140" t="s">
        <v>152</v>
      </c>
      <c r="B56" s="5"/>
      <c r="C56" s="6"/>
      <c r="D56" s="122">
        <v>25.0</v>
      </c>
      <c r="E56" s="122">
        <v>23.0</v>
      </c>
      <c r="F56" s="122">
        <v>27.0</v>
      </c>
      <c r="G56" s="122">
        <v>20.0</v>
      </c>
      <c r="H56" s="122">
        <v>2.0</v>
      </c>
      <c r="I56" s="141">
        <v>23.0</v>
      </c>
      <c r="J56" s="141">
        <v>0.0</v>
      </c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</row>
    <row r="57">
      <c r="A57" s="142" t="s">
        <v>110</v>
      </c>
      <c r="B57" s="5"/>
      <c r="C57" s="6"/>
      <c r="D57" s="122" t="s">
        <v>111</v>
      </c>
      <c r="E57" s="143" t="s">
        <v>153</v>
      </c>
      <c r="F57" s="122" t="s">
        <v>113</v>
      </c>
      <c r="G57" s="122" t="s">
        <v>114</v>
      </c>
      <c r="H57" s="122" t="s">
        <v>115</v>
      </c>
      <c r="I57" s="141" t="s">
        <v>116</v>
      </c>
      <c r="J57" s="141" t="s">
        <v>154</v>
      </c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</row>
    <row r="58" ht="16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</row>
    <row r="59" ht="16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</row>
    <row r="60" ht="16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</row>
    <row r="61" ht="16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</row>
    <row r="62" ht="16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</row>
    <row r="63">
      <c r="A63" s="144" t="s">
        <v>155</v>
      </c>
      <c r="B63" s="115"/>
      <c r="C63" s="115"/>
      <c r="D63" s="115"/>
      <c r="E63" s="144" t="s">
        <v>156</v>
      </c>
      <c r="G63" s="115"/>
      <c r="H63" s="144" t="s">
        <v>157</v>
      </c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</row>
    <row r="74">
      <c r="A74" s="144" t="s">
        <v>158</v>
      </c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</row>
  </sheetData>
  <mergeCells count="11">
    <mergeCell ref="A54:C54"/>
    <mergeCell ref="A55:C55"/>
    <mergeCell ref="A56:C56"/>
    <mergeCell ref="A57:C57"/>
    <mergeCell ref="A2:K2"/>
    <mergeCell ref="A3:K3"/>
    <mergeCell ref="A4:K4"/>
    <mergeCell ref="C5:H5"/>
    <mergeCell ref="A8:A9"/>
    <mergeCell ref="B8:B9"/>
    <mergeCell ref="C8:C9"/>
  </mergeCells>
  <hyperlinks>
    <hyperlink r:id="rId1" ref="E57"/>
  </hyperlinks>
  <printOptions gridLines="1" horizontalCentered="1"/>
  <pageMargins bottom="0.75" footer="0.0" header="0.0" left="0.7" right="0.7" top="0.75"/>
  <pageSetup paperSize="9" scale="87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3.75"/>
    <col customWidth="1" min="3" max="3" width="15.0"/>
    <col customWidth="1" min="4" max="4" width="15.38"/>
    <col customWidth="1" min="5" max="5" width="17.13"/>
    <col customWidth="1" min="6" max="6" width="15.88"/>
    <col customWidth="1" min="7" max="7" width="14.88"/>
  </cols>
  <sheetData>
    <row r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</row>
    <row r="2">
      <c r="A2" s="116" t="s">
        <v>132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</row>
    <row r="3">
      <c r="A3" s="117" t="s">
        <v>133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</row>
    <row r="4">
      <c r="A4" s="117" t="s">
        <v>134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</row>
    <row r="5">
      <c r="A5" s="118"/>
      <c r="B5" s="119"/>
      <c r="C5" s="119"/>
      <c r="D5" s="119" t="s">
        <v>159</v>
      </c>
      <c r="E5" s="119"/>
      <c r="F5" s="119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>
      <c r="A6" s="118" t="s">
        <v>135</v>
      </c>
      <c r="B6" s="119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</row>
    <row r="7">
      <c r="A7" s="120" t="s">
        <v>138</v>
      </c>
      <c r="B7" s="145"/>
      <c r="C7" s="115"/>
      <c r="D7" s="115"/>
      <c r="E7" s="115"/>
      <c r="F7" s="118" t="s">
        <v>139</v>
      </c>
      <c r="G7" s="118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</row>
    <row r="8" ht="3.75" customHeight="1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</row>
    <row r="9">
      <c r="A9" s="123" t="s">
        <v>140</v>
      </c>
      <c r="B9" s="122" t="s">
        <v>142</v>
      </c>
      <c r="C9" s="122" t="s">
        <v>143</v>
      </c>
      <c r="D9" s="122" t="s">
        <v>144</v>
      </c>
      <c r="E9" s="122" t="s">
        <v>145</v>
      </c>
      <c r="F9" s="122" t="s">
        <v>17</v>
      </c>
      <c r="G9" s="122" t="s">
        <v>146</v>
      </c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</row>
    <row r="10">
      <c r="A10" s="125">
        <v>1.0</v>
      </c>
      <c r="B10" s="127" t="s">
        <v>24</v>
      </c>
      <c r="C10" s="128" t="s">
        <v>32</v>
      </c>
      <c r="D10" s="65" t="s">
        <v>24</v>
      </c>
      <c r="E10" s="146" t="s">
        <v>24</v>
      </c>
      <c r="F10" s="131" t="s">
        <v>42</v>
      </c>
      <c r="G10" s="147" t="s">
        <v>24</v>
      </c>
      <c r="H10" s="132"/>
      <c r="I10" s="132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</row>
    <row r="11">
      <c r="A11" s="125">
        <v>2.0</v>
      </c>
      <c r="B11" s="127" t="s">
        <v>26</v>
      </c>
      <c r="C11" s="128" t="s">
        <v>42</v>
      </c>
      <c r="D11" s="65" t="s">
        <v>26</v>
      </c>
      <c r="E11" s="146" t="s">
        <v>28</v>
      </c>
      <c r="F11" s="131" t="s">
        <v>56</v>
      </c>
      <c r="G11" s="147" t="s">
        <v>36</v>
      </c>
      <c r="H11" s="132"/>
      <c r="I11" s="132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</row>
    <row r="12">
      <c r="A12" s="125">
        <v>3.0</v>
      </c>
      <c r="B12" s="127" t="s">
        <v>28</v>
      </c>
      <c r="C12" s="128" t="s">
        <v>48</v>
      </c>
      <c r="D12" s="65" t="s">
        <v>28</v>
      </c>
      <c r="E12" s="146" t="s">
        <v>32</v>
      </c>
      <c r="F12" s="131"/>
      <c r="G12" s="148" t="s">
        <v>42</v>
      </c>
      <c r="H12" s="132"/>
      <c r="I12" s="132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</row>
    <row r="13">
      <c r="A13" s="125">
        <v>4.0</v>
      </c>
      <c r="B13" s="127" t="s">
        <v>32</v>
      </c>
      <c r="C13" s="128" t="s">
        <v>50</v>
      </c>
      <c r="D13" s="65" t="s">
        <v>36</v>
      </c>
      <c r="E13" s="146" t="s">
        <v>48</v>
      </c>
      <c r="F13" s="131"/>
      <c r="G13" s="148" t="s">
        <v>48</v>
      </c>
      <c r="H13" s="132"/>
      <c r="I13" s="132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</row>
    <row r="14">
      <c r="A14" s="125">
        <v>5.0</v>
      </c>
      <c r="B14" s="127" t="s">
        <v>50</v>
      </c>
      <c r="C14" s="128" t="s">
        <v>56</v>
      </c>
      <c r="D14" s="65" t="s">
        <v>42</v>
      </c>
      <c r="E14" s="146" t="s">
        <v>56</v>
      </c>
      <c r="F14" s="131"/>
      <c r="G14" s="148" t="s">
        <v>54</v>
      </c>
      <c r="H14" s="132"/>
      <c r="I14" s="132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</row>
    <row r="15">
      <c r="A15" s="125">
        <v>6.0</v>
      </c>
      <c r="B15" s="127" t="s">
        <v>54</v>
      </c>
      <c r="C15" s="128" t="s">
        <v>60</v>
      </c>
      <c r="D15" s="65" t="s">
        <v>48</v>
      </c>
      <c r="E15" s="146" t="s">
        <v>60</v>
      </c>
      <c r="F15" s="131"/>
      <c r="G15" s="148" t="s">
        <v>56</v>
      </c>
      <c r="H15" s="132"/>
      <c r="I15" s="132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</row>
    <row r="16">
      <c r="A16" s="125">
        <v>7.0</v>
      </c>
      <c r="B16" s="127" t="s">
        <v>56</v>
      </c>
      <c r="C16" s="128" t="s">
        <v>76</v>
      </c>
      <c r="D16" s="65" t="s">
        <v>56</v>
      </c>
      <c r="E16" s="146" t="s">
        <v>64</v>
      </c>
      <c r="F16" s="131"/>
      <c r="G16" s="148" t="s">
        <v>58</v>
      </c>
      <c r="H16" s="132"/>
      <c r="I16" s="132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</row>
    <row r="17">
      <c r="A17" s="125">
        <v>8.0</v>
      </c>
      <c r="B17" s="127" t="s">
        <v>58</v>
      </c>
      <c r="C17" s="128" t="s">
        <v>78</v>
      </c>
      <c r="D17" s="65" t="s">
        <v>58</v>
      </c>
      <c r="E17" s="146" t="s">
        <v>66</v>
      </c>
      <c r="F17" s="131"/>
      <c r="G17" s="148" t="s">
        <v>60</v>
      </c>
      <c r="H17" s="132"/>
      <c r="I17" s="132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</row>
    <row r="18">
      <c r="A18" s="125">
        <v>9.0</v>
      </c>
      <c r="B18" s="127" t="s">
        <v>60</v>
      </c>
      <c r="C18" s="128" t="s">
        <v>80</v>
      </c>
      <c r="D18" s="65" t="s">
        <v>60</v>
      </c>
      <c r="E18" s="146" t="s">
        <v>74</v>
      </c>
      <c r="F18" s="131"/>
      <c r="G18" s="148" t="s">
        <v>62</v>
      </c>
      <c r="H18" s="132"/>
      <c r="I18" s="132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</row>
    <row r="19">
      <c r="A19" s="125">
        <v>10.0</v>
      </c>
      <c r="B19" s="127" t="s">
        <v>80</v>
      </c>
      <c r="C19" s="128" t="s">
        <v>82</v>
      </c>
      <c r="D19" s="65" t="s">
        <v>90</v>
      </c>
      <c r="E19" s="146" t="s">
        <v>76</v>
      </c>
      <c r="F19" s="131"/>
      <c r="G19" s="148" t="s">
        <v>64</v>
      </c>
      <c r="H19" s="132"/>
      <c r="I19" s="132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</row>
    <row r="20">
      <c r="A20" s="125">
        <v>11.0</v>
      </c>
      <c r="B20" s="127" t="s">
        <v>82</v>
      </c>
      <c r="C20" s="128" t="s">
        <v>84</v>
      </c>
      <c r="D20" s="65" t="s">
        <v>92</v>
      </c>
      <c r="E20" s="146" t="s">
        <v>84</v>
      </c>
      <c r="F20" s="131"/>
      <c r="G20" s="148" t="s">
        <v>70</v>
      </c>
      <c r="H20" s="132"/>
      <c r="I20" s="132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</row>
    <row r="21">
      <c r="A21" s="125">
        <v>12.0</v>
      </c>
      <c r="B21" s="127" t="s">
        <v>84</v>
      </c>
      <c r="C21" s="128" t="s">
        <v>160</v>
      </c>
      <c r="D21" s="65" t="s">
        <v>96</v>
      </c>
      <c r="E21" s="146" t="s">
        <v>86</v>
      </c>
      <c r="F21" s="131"/>
      <c r="G21" s="148" t="s">
        <v>76</v>
      </c>
      <c r="H21" s="132"/>
      <c r="I21" s="132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</row>
    <row r="22">
      <c r="A22" s="125">
        <v>13.0</v>
      </c>
      <c r="B22" s="127" t="s">
        <v>86</v>
      </c>
      <c r="C22" s="128" t="s">
        <v>161</v>
      </c>
      <c r="D22" s="65" t="s">
        <v>98</v>
      </c>
      <c r="E22" s="146" t="s">
        <v>90</v>
      </c>
      <c r="F22" s="131"/>
      <c r="G22" s="148" t="s">
        <v>80</v>
      </c>
      <c r="H22" s="132"/>
      <c r="I22" s="132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</row>
    <row r="23">
      <c r="A23" s="125">
        <v>14.0</v>
      </c>
      <c r="B23" s="127" t="s">
        <v>90</v>
      </c>
      <c r="C23" s="128" t="s">
        <v>162</v>
      </c>
      <c r="D23" s="65" t="s">
        <v>100</v>
      </c>
      <c r="E23" s="146" t="s">
        <v>92</v>
      </c>
      <c r="F23" s="131"/>
      <c r="G23" s="149" t="s">
        <v>88</v>
      </c>
      <c r="H23" s="132"/>
      <c r="I23" s="132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</row>
    <row r="24">
      <c r="A24" s="125">
        <v>15.0</v>
      </c>
      <c r="B24" s="127" t="s">
        <v>96</v>
      </c>
      <c r="C24" s="65" t="s">
        <v>98</v>
      </c>
      <c r="D24" s="65" t="s">
        <v>102</v>
      </c>
      <c r="E24" s="146" t="s">
        <v>96</v>
      </c>
      <c r="F24" s="131"/>
      <c r="G24" s="149" t="s">
        <v>90</v>
      </c>
      <c r="H24" s="132"/>
      <c r="I24" s="132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</row>
    <row r="25">
      <c r="A25" s="125">
        <v>16.0</v>
      </c>
      <c r="B25" s="127" t="s">
        <v>98</v>
      </c>
      <c r="C25" s="65" t="s">
        <v>100</v>
      </c>
      <c r="D25" s="65" t="s">
        <v>104</v>
      </c>
      <c r="E25" s="146" t="s">
        <v>98</v>
      </c>
      <c r="F25" s="131"/>
      <c r="G25" s="149" t="s">
        <v>96</v>
      </c>
      <c r="H25" s="132"/>
      <c r="I25" s="132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</row>
    <row r="26">
      <c r="A26" s="125">
        <v>17.0</v>
      </c>
      <c r="B26" s="127" t="s">
        <v>100</v>
      </c>
      <c r="C26" s="65" t="s">
        <v>102</v>
      </c>
      <c r="D26" s="65" t="s">
        <v>106</v>
      </c>
      <c r="E26" s="146" t="s">
        <v>100</v>
      </c>
      <c r="F26" s="131"/>
      <c r="G26" s="149" t="s">
        <v>98</v>
      </c>
      <c r="H26" s="132"/>
      <c r="I26" s="132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</row>
    <row r="27">
      <c r="A27" s="125">
        <v>18.0</v>
      </c>
      <c r="B27" s="127" t="s">
        <v>102</v>
      </c>
      <c r="C27" s="65" t="s">
        <v>104</v>
      </c>
      <c r="D27" s="65" t="s">
        <v>108</v>
      </c>
      <c r="E27" s="146" t="s">
        <v>108</v>
      </c>
      <c r="F27" s="131"/>
      <c r="G27" s="149" t="s">
        <v>100</v>
      </c>
      <c r="H27" s="132"/>
      <c r="I27" s="132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</row>
    <row r="28">
      <c r="A28" s="125">
        <v>19.0</v>
      </c>
      <c r="B28" s="127" t="s">
        <v>104</v>
      </c>
      <c r="C28" s="65" t="s">
        <v>106</v>
      </c>
      <c r="D28" s="65"/>
      <c r="E28" s="150"/>
      <c r="F28" s="131"/>
      <c r="G28" s="149" t="s">
        <v>102</v>
      </c>
      <c r="H28" s="132"/>
      <c r="I28" s="132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</row>
    <row r="29">
      <c r="A29" s="125">
        <v>20.0</v>
      </c>
      <c r="B29" s="127" t="s">
        <v>106</v>
      </c>
      <c r="C29" s="65" t="s">
        <v>108</v>
      </c>
      <c r="D29" s="65"/>
      <c r="E29" s="150"/>
      <c r="F29" s="131"/>
      <c r="G29" s="151" t="s">
        <v>104</v>
      </c>
      <c r="H29" s="132"/>
      <c r="I29" s="132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</row>
    <row r="30">
      <c r="A30" s="125">
        <v>21.0</v>
      </c>
      <c r="B30" s="127" t="s">
        <v>108</v>
      </c>
      <c r="C30" s="128"/>
      <c r="D30" s="129"/>
      <c r="E30" s="150"/>
      <c r="F30" s="131"/>
      <c r="G30" s="151" t="s">
        <v>106</v>
      </c>
      <c r="H30" s="132"/>
      <c r="I30" s="132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</row>
    <row r="31">
      <c r="A31" s="136"/>
      <c r="B31" s="137"/>
      <c r="C31" s="137"/>
      <c r="D31" s="137"/>
      <c r="E31" s="137"/>
      <c r="F31" s="137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</row>
    <row r="32" ht="16.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</row>
    <row r="33" ht="16.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</row>
    <row r="34" ht="16.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</row>
    <row r="35" ht="16.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</row>
    <row r="36" ht="16.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</row>
    <row r="47">
      <c r="A47" s="144" t="s">
        <v>158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</row>
  </sheetData>
  <mergeCells count="4">
    <mergeCell ref="A2:G2"/>
    <mergeCell ref="A3:G3"/>
    <mergeCell ref="A4:G4"/>
    <mergeCell ref="B6:F6"/>
  </mergeCells>
  <printOptions gridLines="1" horizontalCentered="1"/>
  <pageMargins bottom="0.75" footer="0.0" header="0.0" left="0.7" right="0.7" top="0.75"/>
  <pageSetup paperSize="9" scale="87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1.5"/>
    <col customWidth="1" min="3" max="4" width="8.63"/>
    <col customWidth="1" min="5" max="5" width="9.88"/>
    <col customWidth="1" min="6" max="6" width="10.25"/>
    <col customWidth="1" min="7" max="11" width="8.63"/>
    <col customWidth="1" min="12" max="12" width="12.13"/>
    <col customWidth="1" min="13" max="26" width="8.63"/>
  </cols>
  <sheetData>
    <row r="1">
      <c r="A1" s="152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.5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53" t="s">
        <v>163</v>
      </c>
      <c r="M3" s="154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55" t="s">
        <v>164</v>
      </c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56" t="s">
        <v>165</v>
      </c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8" t="s">
        <v>166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57" t="s">
        <v>167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5"/>
      <c r="B9" s="158" t="s">
        <v>168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59" t="s">
        <v>169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60" t="s">
        <v>170</v>
      </c>
      <c r="B11" s="161" t="s">
        <v>171</v>
      </c>
      <c r="C11" s="162" t="s">
        <v>172</v>
      </c>
      <c r="D11" s="163" t="s">
        <v>173</v>
      </c>
      <c r="E11" s="154"/>
      <c r="F11" s="161" t="s">
        <v>174</v>
      </c>
      <c r="G11" s="161" t="s">
        <v>175</v>
      </c>
      <c r="H11" s="163" t="s">
        <v>176</v>
      </c>
      <c r="I11" s="154"/>
      <c r="J11" s="163" t="s">
        <v>177</v>
      </c>
      <c r="K11" s="154"/>
      <c r="L11" s="161" t="s">
        <v>178</v>
      </c>
      <c r="M11" s="161" t="s">
        <v>179</v>
      </c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64"/>
      <c r="B12" s="164"/>
      <c r="C12" s="165"/>
      <c r="D12" s="166" t="s">
        <v>180</v>
      </c>
      <c r="E12" s="166" t="s">
        <v>181</v>
      </c>
      <c r="F12" s="164"/>
      <c r="G12" s="164"/>
      <c r="H12" s="166" t="s">
        <v>182</v>
      </c>
      <c r="I12" s="166" t="s">
        <v>183</v>
      </c>
      <c r="J12" s="166" t="s">
        <v>182</v>
      </c>
      <c r="K12" s="166" t="s">
        <v>183</v>
      </c>
      <c r="L12" s="164"/>
      <c r="M12" s="164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67">
        <v>1.0</v>
      </c>
      <c r="B13" s="168" t="s">
        <v>142</v>
      </c>
      <c r="C13" s="169"/>
      <c r="D13" s="170">
        <v>33.0</v>
      </c>
      <c r="E13" s="170">
        <v>33.0</v>
      </c>
      <c r="F13" s="170">
        <v>5.0</v>
      </c>
      <c r="G13" s="171">
        <v>1.0</v>
      </c>
      <c r="H13" s="170">
        <v>1.0</v>
      </c>
      <c r="I13" s="170">
        <v>1.0</v>
      </c>
      <c r="J13" s="170">
        <v>1.0</v>
      </c>
      <c r="K13" s="170">
        <v>1.0</v>
      </c>
      <c r="L13" s="172" t="s">
        <v>184</v>
      </c>
      <c r="M13" s="172" t="s">
        <v>111</v>
      </c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67">
        <v>2.0</v>
      </c>
      <c r="B14" s="168" t="s">
        <v>143</v>
      </c>
      <c r="C14" s="173"/>
      <c r="D14" s="174">
        <v>37.0</v>
      </c>
      <c r="E14" s="174">
        <v>37.0</v>
      </c>
      <c r="F14" s="174">
        <v>5.0</v>
      </c>
      <c r="G14" s="175">
        <v>1.0</v>
      </c>
      <c r="H14" s="174">
        <v>2.0</v>
      </c>
      <c r="I14" s="174">
        <v>2.0</v>
      </c>
      <c r="J14" s="174">
        <v>1.0</v>
      </c>
      <c r="K14" s="174">
        <v>1.0</v>
      </c>
      <c r="L14" s="172" t="s">
        <v>185</v>
      </c>
      <c r="M14" s="172" t="s">
        <v>186</v>
      </c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67">
        <v>3.0</v>
      </c>
      <c r="B15" s="168" t="s">
        <v>15</v>
      </c>
      <c r="C15" s="173"/>
      <c r="D15" s="176">
        <v>51.0</v>
      </c>
      <c r="E15" s="176">
        <v>51.0</v>
      </c>
      <c r="F15" s="176">
        <v>5.0</v>
      </c>
      <c r="G15" s="177">
        <v>1.0</v>
      </c>
      <c r="H15" s="176"/>
      <c r="I15" s="176"/>
      <c r="J15" s="176">
        <v>2.0</v>
      </c>
      <c r="K15" s="176">
        <v>1.0</v>
      </c>
      <c r="L15" s="172" t="s">
        <v>187</v>
      </c>
      <c r="M15" s="172" t="s">
        <v>113</v>
      </c>
      <c r="N15" s="115"/>
      <c r="O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67">
        <v>4.0</v>
      </c>
      <c r="B16" s="168" t="s">
        <v>16</v>
      </c>
      <c r="C16" s="173"/>
      <c r="D16" s="178">
        <v>49.0</v>
      </c>
      <c r="E16" s="178">
        <v>49.0</v>
      </c>
      <c r="F16" s="178">
        <v>5.0</v>
      </c>
      <c r="G16" s="175">
        <v>1.0</v>
      </c>
      <c r="H16" s="178">
        <v>5.0</v>
      </c>
      <c r="I16" s="178">
        <v>4.0</v>
      </c>
      <c r="J16" s="178">
        <v>1.0</v>
      </c>
      <c r="K16" s="178">
        <v>1.0</v>
      </c>
      <c r="L16" s="172" t="s">
        <v>188</v>
      </c>
      <c r="M16" s="172" t="s">
        <v>114</v>
      </c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67">
        <v>5.0</v>
      </c>
      <c r="B17" s="168" t="s">
        <v>17</v>
      </c>
      <c r="C17" s="173"/>
      <c r="D17" s="176">
        <v>12.0</v>
      </c>
      <c r="E17" s="176">
        <v>12.0</v>
      </c>
      <c r="F17" s="176">
        <v>5.0</v>
      </c>
      <c r="G17" s="177">
        <v>1.0</v>
      </c>
      <c r="H17" s="176">
        <v>1.0</v>
      </c>
      <c r="I17" s="176">
        <v>1.0</v>
      </c>
      <c r="J17" s="176">
        <v>1.0</v>
      </c>
      <c r="K17" s="176">
        <v>1.0</v>
      </c>
      <c r="L17" s="172" t="s">
        <v>189</v>
      </c>
      <c r="M17" s="172" t="s">
        <v>115</v>
      </c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79">
        <v>6.0</v>
      </c>
      <c r="B18" s="168" t="s">
        <v>127</v>
      </c>
      <c r="C18" s="173"/>
      <c r="D18" s="176">
        <v>6.0</v>
      </c>
      <c r="E18" s="176">
        <v>5.0</v>
      </c>
      <c r="F18" s="176">
        <v>5.0</v>
      </c>
      <c r="G18" s="177">
        <v>1.0</v>
      </c>
      <c r="H18" s="176"/>
      <c r="I18" s="176"/>
      <c r="J18" s="176">
        <v>3.0</v>
      </c>
      <c r="K18" s="176">
        <v>0.0</v>
      </c>
      <c r="L18" s="172" t="s">
        <v>190</v>
      </c>
      <c r="M18" s="172" t="s">
        <v>191</v>
      </c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79">
        <v>7.0</v>
      </c>
      <c r="B19" s="168" t="s">
        <v>146</v>
      </c>
      <c r="C19" s="173"/>
      <c r="D19" s="176">
        <v>21.0</v>
      </c>
      <c r="E19" s="176">
        <v>21.0</v>
      </c>
      <c r="F19" s="176">
        <v>5.0</v>
      </c>
      <c r="G19" s="177">
        <v>1.0</v>
      </c>
      <c r="H19" s="176">
        <v>1.0</v>
      </c>
      <c r="I19" s="176">
        <v>1.0</v>
      </c>
      <c r="J19" s="176">
        <v>2.0</v>
      </c>
      <c r="K19" s="176">
        <v>2.0</v>
      </c>
      <c r="L19" s="172" t="s">
        <v>192</v>
      </c>
      <c r="M19" s="172" t="s">
        <v>193</v>
      </c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31.5" customHeight="1">
      <c r="A20" s="180">
        <v>8.0</v>
      </c>
      <c r="B20" s="181" t="s">
        <v>19</v>
      </c>
      <c r="C20" s="182" t="s">
        <v>194</v>
      </c>
      <c r="D20" s="176">
        <v>11.0</v>
      </c>
      <c r="E20" s="176">
        <v>9.0</v>
      </c>
      <c r="F20" s="176">
        <v>5.0</v>
      </c>
      <c r="G20" s="177">
        <v>1.0</v>
      </c>
      <c r="H20" s="183">
        <v>0.0</v>
      </c>
      <c r="I20" s="183">
        <v>0.0</v>
      </c>
      <c r="J20" s="183">
        <v>0.0</v>
      </c>
      <c r="K20" s="183">
        <v>0.0</v>
      </c>
      <c r="L20" s="184" t="s">
        <v>195</v>
      </c>
      <c r="M20" s="184" t="s">
        <v>115</v>
      </c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31.5" customHeight="1">
      <c r="A21" s="164"/>
      <c r="B21" s="185"/>
      <c r="C21" s="182" t="s">
        <v>196</v>
      </c>
      <c r="D21" s="176">
        <v>11.0</v>
      </c>
      <c r="E21" s="176">
        <v>12.0</v>
      </c>
      <c r="F21" s="176">
        <v>5.0</v>
      </c>
      <c r="G21" s="177">
        <v>1.0</v>
      </c>
      <c r="H21" s="114"/>
      <c r="I21" s="114"/>
      <c r="J21" s="114"/>
      <c r="K21" s="114"/>
      <c r="L21" s="185"/>
      <c r="M21" s="18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31.5" customHeight="1">
      <c r="A22" s="179">
        <v>9.0</v>
      </c>
      <c r="B22" s="168" t="s">
        <v>20</v>
      </c>
      <c r="C22" s="182" t="s">
        <v>197</v>
      </c>
      <c r="D22" s="186">
        <v>46307.0</v>
      </c>
      <c r="E22" s="186">
        <v>46307.0</v>
      </c>
      <c r="F22" s="176"/>
      <c r="G22" s="177">
        <v>1.0</v>
      </c>
      <c r="H22" s="176" t="s">
        <v>198</v>
      </c>
      <c r="I22" s="176" t="s">
        <v>198</v>
      </c>
      <c r="J22" s="176" t="s">
        <v>199</v>
      </c>
      <c r="K22" s="176" t="s">
        <v>198</v>
      </c>
      <c r="L22" s="172" t="s">
        <v>200</v>
      </c>
      <c r="M22" s="172" t="s">
        <v>201</v>
      </c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.5" customHeight="1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87" t="s">
        <v>202</v>
      </c>
      <c r="B24" s="188"/>
      <c r="C24" s="188"/>
      <c r="D24" s="188"/>
      <c r="E24" s="188"/>
      <c r="F24" s="188"/>
      <c r="G24" s="189"/>
      <c r="H24" s="190" t="s">
        <v>203</v>
      </c>
      <c r="I24" s="188"/>
      <c r="J24" s="188"/>
      <c r="K24" s="188"/>
      <c r="L24" s="188"/>
      <c r="M24" s="189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25.5" customHeight="1">
      <c r="A25" s="191" t="s">
        <v>204</v>
      </c>
      <c r="B25" s="192"/>
      <c r="C25" s="192"/>
      <c r="D25" s="192"/>
      <c r="E25" s="192"/>
      <c r="F25" s="192"/>
      <c r="G25" s="185"/>
      <c r="H25" s="191" t="s">
        <v>205</v>
      </c>
      <c r="I25" s="192"/>
      <c r="J25" s="192"/>
      <c r="K25" s="192"/>
      <c r="L25" s="192"/>
      <c r="M25" s="18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90" t="s">
        <v>206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9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30.0" customHeight="1">
      <c r="A27" s="193" t="s">
        <v>207</v>
      </c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8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57" t="s">
        <v>208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</sheetData>
  <mergeCells count="29">
    <mergeCell ref="H11:I11"/>
    <mergeCell ref="J11:K11"/>
    <mergeCell ref="L11:L12"/>
    <mergeCell ref="M11:M12"/>
    <mergeCell ref="L3:M3"/>
    <mergeCell ref="A4:M4"/>
    <mergeCell ref="A5:M5"/>
    <mergeCell ref="A7:M7"/>
    <mergeCell ref="A11:A12"/>
    <mergeCell ref="B11:B12"/>
    <mergeCell ref="D11:E11"/>
    <mergeCell ref="K20:K21"/>
    <mergeCell ref="L20:L21"/>
    <mergeCell ref="M20:M21"/>
    <mergeCell ref="H24:M24"/>
    <mergeCell ref="H25:M25"/>
    <mergeCell ref="A24:G24"/>
    <mergeCell ref="A25:G25"/>
    <mergeCell ref="A26:M26"/>
    <mergeCell ref="A27:M27"/>
    <mergeCell ref="A29:B29"/>
    <mergeCell ref="A30:B30"/>
    <mergeCell ref="F11:F12"/>
    <mergeCell ref="G11:G12"/>
    <mergeCell ref="A20:A21"/>
    <mergeCell ref="B20:B21"/>
    <mergeCell ref="H20:H21"/>
    <mergeCell ref="I20:I21"/>
    <mergeCell ref="J20:J21"/>
  </mergeCells>
  <hyperlinks>
    <hyperlink r:id="rId1" ref="A11"/>
  </hyperlinks>
  <printOptions horizontalCentered="1"/>
  <pageMargins bottom="0.75" footer="0.0" header="0.0" left="0.7" right="0.7" top="0.75"/>
  <pageSetup scale="95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11.5"/>
    <col customWidth="1" min="3" max="4" width="8.63"/>
    <col customWidth="1" min="5" max="5" width="9.88"/>
    <col customWidth="1" min="6" max="6" width="10.25"/>
    <col customWidth="1" min="7" max="11" width="8.63"/>
    <col customWidth="1" min="12" max="12" width="12.13"/>
    <col customWidth="1" min="13" max="26" width="8.63"/>
  </cols>
  <sheetData>
    <row r="1">
      <c r="A1" s="152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.5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53" t="s">
        <v>163</v>
      </c>
      <c r="M3" s="154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55" t="s">
        <v>209</v>
      </c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56" t="s">
        <v>165</v>
      </c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8" t="s">
        <v>166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57" t="s">
        <v>167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5"/>
      <c r="B9" s="158" t="s">
        <v>210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59" t="s">
        <v>169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61" t="s">
        <v>211</v>
      </c>
      <c r="B11" s="161" t="s">
        <v>171</v>
      </c>
      <c r="C11" s="162" t="s">
        <v>172</v>
      </c>
      <c r="D11" s="163" t="s">
        <v>173</v>
      </c>
      <c r="E11" s="154"/>
      <c r="F11" s="161" t="s">
        <v>174</v>
      </c>
      <c r="G11" s="161" t="s">
        <v>175</v>
      </c>
      <c r="H11" s="163" t="s">
        <v>176</v>
      </c>
      <c r="I11" s="154"/>
      <c r="J11" s="163" t="s">
        <v>177</v>
      </c>
      <c r="K11" s="154"/>
      <c r="L11" s="161" t="s">
        <v>178</v>
      </c>
      <c r="M11" s="161" t="s">
        <v>179</v>
      </c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64"/>
      <c r="B12" s="164"/>
      <c r="C12" s="165"/>
      <c r="D12" s="194" t="s">
        <v>180</v>
      </c>
      <c r="E12" s="194" t="s">
        <v>181</v>
      </c>
      <c r="F12" s="164"/>
      <c r="G12" s="164"/>
      <c r="H12" s="194" t="s">
        <v>182</v>
      </c>
      <c r="I12" s="194" t="s">
        <v>183</v>
      </c>
      <c r="J12" s="194" t="s">
        <v>182</v>
      </c>
      <c r="K12" s="194" t="s">
        <v>183</v>
      </c>
      <c r="L12" s="164"/>
      <c r="M12" s="164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67">
        <v>1.0</v>
      </c>
      <c r="B13" s="168" t="s">
        <v>142</v>
      </c>
      <c r="C13" s="169"/>
      <c r="D13" s="178">
        <v>20.0</v>
      </c>
      <c r="E13" s="178">
        <v>20.0</v>
      </c>
      <c r="F13" s="178">
        <v>2.5</v>
      </c>
      <c r="G13" s="175"/>
      <c r="H13" s="178">
        <v>1.0</v>
      </c>
      <c r="I13" s="178">
        <v>1.0</v>
      </c>
      <c r="J13" s="178"/>
      <c r="K13" s="178"/>
      <c r="L13" s="172" t="s">
        <v>184</v>
      </c>
      <c r="M13" s="172" t="s">
        <v>111</v>
      </c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67">
        <v>2.0</v>
      </c>
      <c r="B14" s="168" t="s">
        <v>143</v>
      </c>
      <c r="C14" s="173"/>
      <c r="D14" s="176">
        <v>19.0</v>
      </c>
      <c r="E14" s="176">
        <v>19.0</v>
      </c>
      <c r="F14" s="176">
        <v>2.5</v>
      </c>
      <c r="G14" s="175">
        <v>0.5</v>
      </c>
      <c r="H14" s="176">
        <v>1.0</v>
      </c>
      <c r="I14" s="176">
        <v>1.0</v>
      </c>
      <c r="J14" s="195"/>
      <c r="K14" s="195"/>
      <c r="L14" s="172" t="s">
        <v>185</v>
      </c>
      <c r="M14" s="172" t="s">
        <v>186</v>
      </c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67">
        <v>3.0</v>
      </c>
      <c r="B15" s="168" t="s">
        <v>15</v>
      </c>
      <c r="C15" s="173"/>
      <c r="D15" s="176">
        <v>29.0</v>
      </c>
      <c r="E15" s="176">
        <v>29.0</v>
      </c>
      <c r="F15" s="176">
        <v>2.75</v>
      </c>
      <c r="G15" s="177">
        <v>0.5</v>
      </c>
      <c r="H15" s="176" t="s">
        <v>198</v>
      </c>
      <c r="I15" s="176" t="s">
        <v>198</v>
      </c>
      <c r="J15" s="176">
        <v>1.0</v>
      </c>
      <c r="K15" s="176" t="s">
        <v>198</v>
      </c>
      <c r="L15" s="172" t="s">
        <v>187</v>
      </c>
      <c r="M15" s="172" t="s">
        <v>113</v>
      </c>
      <c r="N15" s="115"/>
      <c r="O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67">
        <v>4.0</v>
      </c>
      <c r="B16" s="168" t="s">
        <v>16</v>
      </c>
      <c r="C16" s="173"/>
      <c r="D16" s="178">
        <v>22.0</v>
      </c>
      <c r="E16" s="178">
        <v>22.0</v>
      </c>
      <c r="F16" s="178">
        <v>2.5</v>
      </c>
      <c r="G16" s="175">
        <v>0.25</v>
      </c>
      <c r="H16" s="178">
        <v>2.0</v>
      </c>
      <c r="I16" s="178">
        <v>1.0</v>
      </c>
      <c r="J16" s="178">
        <v>1.0</v>
      </c>
      <c r="K16" s="178">
        <v>0.0</v>
      </c>
      <c r="L16" s="172" t="s">
        <v>188</v>
      </c>
      <c r="M16" s="172" t="s">
        <v>114</v>
      </c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67">
        <v>5.0</v>
      </c>
      <c r="B17" s="168" t="s">
        <v>17</v>
      </c>
      <c r="C17" s="173"/>
      <c r="D17" s="176">
        <v>6.0</v>
      </c>
      <c r="E17" s="176">
        <v>6.0</v>
      </c>
      <c r="F17" s="176">
        <v>2.5</v>
      </c>
      <c r="G17" s="177">
        <v>0.5</v>
      </c>
      <c r="H17" s="176" t="s">
        <v>198</v>
      </c>
      <c r="I17" s="176" t="s">
        <v>198</v>
      </c>
      <c r="J17" s="176" t="s">
        <v>198</v>
      </c>
      <c r="K17" s="176" t="s">
        <v>198</v>
      </c>
      <c r="L17" s="172" t="s">
        <v>189</v>
      </c>
      <c r="M17" s="172" t="s">
        <v>115</v>
      </c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67">
        <v>6.0</v>
      </c>
      <c r="B18" s="168" t="s">
        <v>146</v>
      </c>
      <c r="C18" s="173"/>
      <c r="D18" s="176">
        <v>10.0</v>
      </c>
      <c r="E18" s="176">
        <v>10.0</v>
      </c>
      <c r="F18" s="176">
        <v>2.0</v>
      </c>
      <c r="G18" s="177">
        <v>0.2</v>
      </c>
      <c r="H18" s="176" t="s">
        <v>198</v>
      </c>
      <c r="I18" s="176" t="s">
        <v>198</v>
      </c>
      <c r="J18" s="176">
        <v>1.0</v>
      </c>
      <c r="K18" s="176">
        <v>1.0</v>
      </c>
      <c r="L18" s="172" t="s">
        <v>192</v>
      </c>
      <c r="M18" s="172" t="s">
        <v>193</v>
      </c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31.5" customHeight="1">
      <c r="A19" s="179">
        <v>7.0</v>
      </c>
      <c r="B19" s="168" t="s">
        <v>19</v>
      </c>
      <c r="C19" s="173"/>
      <c r="D19" s="176">
        <v>6.0</v>
      </c>
      <c r="E19" s="176">
        <v>4.0</v>
      </c>
      <c r="F19" s="176">
        <v>5.0</v>
      </c>
      <c r="G19" s="177">
        <v>0.5</v>
      </c>
      <c r="H19" s="176" t="s">
        <v>212</v>
      </c>
      <c r="I19" s="176" t="s">
        <v>198</v>
      </c>
      <c r="J19" s="176" t="s">
        <v>198</v>
      </c>
      <c r="K19" s="176" t="s">
        <v>198</v>
      </c>
      <c r="L19" s="172" t="s">
        <v>195</v>
      </c>
      <c r="M19" s="172" t="s">
        <v>115</v>
      </c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31.5" customHeight="1">
      <c r="A20" s="167">
        <v>7.0</v>
      </c>
      <c r="B20" s="168" t="s">
        <v>20</v>
      </c>
      <c r="C20" s="182" t="s">
        <v>197</v>
      </c>
      <c r="D20" s="176">
        <v>5.0</v>
      </c>
      <c r="E20" s="176">
        <v>5.0</v>
      </c>
      <c r="F20" s="176" t="s">
        <v>198</v>
      </c>
      <c r="G20" s="177">
        <v>0.45</v>
      </c>
      <c r="H20" s="176" t="s">
        <v>198</v>
      </c>
      <c r="I20" s="176" t="s">
        <v>198</v>
      </c>
      <c r="J20" s="176" t="s">
        <v>198</v>
      </c>
      <c r="K20" s="176" t="s">
        <v>198</v>
      </c>
      <c r="L20" s="172" t="s">
        <v>200</v>
      </c>
      <c r="M20" s="172" t="s">
        <v>201</v>
      </c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.5" customHeight="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87" t="s">
        <v>202</v>
      </c>
      <c r="B22" s="188"/>
      <c r="C22" s="188"/>
      <c r="D22" s="188"/>
      <c r="E22" s="188"/>
      <c r="F22" s="188"/>
      <c r="G22" s="189"/>
      <c r="H22" s="190" t="s">
        <v>203</v>
      </c>
      <c r="I22" s="188"/>
      <c r="J22" s="188"/>
      <c r="K22" s="188"/>
      <c r="L22" s="188"/>
      <c r="M22" s="189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25.5" customHeight="1">
      <c r="A23" s="191" t="s">
        <v>204</v>
      </c>
      <c r="B23" s="192"/>
      <c r="C23" s="192"/>
      <c r="D23" s="192"/>
      <c r="E23" s="192"/>
      <c r="F23" s="192"/>
      <c r="G23" s="185"/>
      <c r="H23" s="191" t="s">
        <v>205</v>
      </c>
      <c r="I23" s="192"/>
      <c r="J23" s="192"/>
      <c r="K23" s="192"/>
      <c r="L23" s="192"/>
      <c r="M23" s="18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90" t="s">
        <v>213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9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30.0" customHeight="1">
      <c r="A25" s="193" t="s">
        <v>207</v>
      </c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8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57" t="s">
        <v>208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</sheetData>
  <mergeCells count="21">
    <mergeCell ref="F11:F12"/>
    <mergeCell ref="G11:G12"/>
    <mergeCell ref="A22:G22"/>
    <mergeCell ref="A23:G23"/>
    <mergeCell ref="A24:M24"/>
    <mergeCell ref="A25:M25"/>
    <mergeCell ref="A27:B27"/>
    <mergeCell ref="A28:B28"/>
    <mergeCell ref="H11:I11"/>
    <mergeCell ref="J11:K11"/>
    <mergeCell ref="L11:L12"/>
    <mergeCell ref="M11:M12"/>
    <mergeCell ref="H22:M22"/>
    <mergeCell ref="H23:M23"/>
    <mergeCell ref="L3:M3"/>
    <mergeCell ref="A4:M4"/>
    <mergeCell ref="A5:M5"/>
    <mergeCell ref="A7:M7"/>
    <mergeCell ref="A11:A12"/>
    <mergeCell ref="B11:B12"/>
    <mergeCell ref="D11:E11"/>
  </mergeCells>
  <printOptions horizontalCentered="1"/>
  <pageMargins bottom="0.75" footer="0.0" header="0.0" left="0.7" right="0.7" top="0.75"/>
  <pageSetup scale="9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3" max="3" width="30.63"/>
    <col customWidth="1" min="4" max="4" width="11.25"/>
    <col customWidth="1" min="5" max="5" width="10.0"/>
    <col customWidth="1" min="6" max="6" width="12.0"/>
    <col customWidth="1" min="7" max="7" width="11.88"/>
    <col customWidth="1" min="8" max="8" width="11.0"/>
    <col customWidth="1" min="9" max="10" width="9.13"/>
  </cols>
  <sheetData>
    <row r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</row>
    <row r="2">
      <c r="A2" s="116" t="s">
        <v>132</v>
      </c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</row>
    <row r="3">
      <c r="A3" s="117" t="s">
        <v>133</v>
      </c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</row>
    <row r="4">
      <c r="A4" s="117" t="s">
        <v>134</v>
      </c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</row>
    <row r="5">
      <c r="A5" s="118" t="s">
        <v>135</v>
      </c>
      <c r="B5" s="119" t="s">
        <v>136</v>
      </c>
      <c r="C5" s="152" t="s">
        <v>214</v>
      </c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</row>
    <row r="6">
      <c r="A6" s="120" t="s">
        <v>138</v>
      </c>
      <c r="B6" s="115"/>
      <c r="C6" s="115"/>
      <c r="D6" s="115"/>
      <c r="E6" s="115"/>
      <c r="F6" s="115"/>
      <c r="G6" s="115"/>
      <c r="H6" s="118" t="s">
        <v>139</v>
      </c>
      <c r="I6" s="118"/>
      <c r="J6" s="118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ht="3.75" customHeight="1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</row>
    <row r="8">
      <c r="A8" s="121" t="s">
        <v>140</v>
      </c>
      <c r="B8" s="121" t="s">
        <v>9</v>
      </c>
      <c r="C8" s="121" t="s">
        <v>141</v>
      </c>
      <c r="D8" s="122" t="s">
        <v>142</v>
      </c>
      <c r="E8" s="122" t="s">
        <v>143</v>
      </c>
      <c r="F8" s="122" t="s">
        <v>144</v>
      </c>
      <c r="G8" s="122" t="s">
        <v>145</v>
      </c>
      <c r="H8" s="122" t="s">
        <v>17</v>
      </c>
      <c r="I8" s="122" t="s">
        <v>146</v>
      </c>
      <c r="J8" s="123" t="s">
        <v>147</v>
      </c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</row>
    <row r="9">
      <c r="A9" s="39"/>
      <c r="B9" s="39"/>
      <c r="C9" s="39"/>
      <c r="D9" s="123" t="s">
        <v>148</v>
      </c>
      <c r="E9" s="123" t="s">
        <v>148</v>
      </c>
      <c r="F9" s="123" t="s">
        <v>148</v>
      </c>
      <c r="G9" s="123" t="s">
        <v>148</v>
      </c>
      <c r="H9" s="123" t="s">
        <v>148</v>
      </c>
      <c r="I9" s="123" t="s">
        <v>148</v>
      </c>
      <c r="J9" s="124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</row>
    <row r="10">
      <c r="A10" s="125">
        <v>1.0</v>
      </c>
      <c r="B10" s="126" t="s">
        <v>24</v>
      </c>
      <c r="C10" s="43" t="s">
        <v>25</v>
      </c>
      <c r="D10" s="127">
        <v>21.0</v>
      </c>
      <c r="E10" s="128">
        <v>19.0</v>
      </c>
      <c r="F10" s="129">
        <v>13.0</v>
      </c>
      <c r="G10" s="150" t="s">
        <v>111</v>
      </c>
      <c r="H10" s="131">
        <v>19.0</v>
      </c>
      <c r="I10" s="131" t="s">
        <v>111</v>
      </c>
      <c r="J10" s="123">
        <f t="shared" ref="J10:J52" si="1">COUNTIF(D10:I10,"&lt;22")</f>
        <v>4</v>
      </c>
      <c r="K10" s="132"/>
      <c r="L10" s="132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</row>
    <row r="11">
      <c r="A11" s="125">
        <v>2.0</v>
      </c>
      <c r="B11" s="133" t="s">
        <v>26</v>
      </c>
      <c r="C11" s="59" t="s">
        <v>27</v>
      </c>
      <c r="D11" s="127" t="s">
        <v>111</v>
      </c>
      <c r="E11" s="128">
        <v>18.0</v>
      </c>
      <c r="F11" s="129" t="s">
        <v>111</v>
      </c>
      <c r="G11" s="150">
        <v>36.0</v>
      </c>
      <c r="H11" s="131">
        <v>47.0</v>
      </c>
      <c r="I11" s="131">
        <v>25.0</v>
      </c>
      <c r="J11" s="123">
        <f t="shared" si="1"/>
        <v>1</v>
      </c>
      <c r="K11" s="132"/>
      <c r="L11" s="132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</row>
    <row r="12">
      <c r="A12" s="125">
        <v>3.0</v>
      </c>
      <c r="B12" s="133" t="s">
        <v>28</v>
      </c>
      <c r="C12" s="59" t="s">
        <v>29</v>
      </c>
      <c r="D12" s="127" t="s">
        <v>111</v>
      </c>
      <c r="E12" s="128">
        <v>13.0</v>
      </c>
      <c r="F12" s="129" t="s">
        <v>111</v>
      </c>
      <c r="G12" s="196">
        <v>18.0</v>
      </c>
      <c r="H12" s="131">
        <v>23.0</v>
      </c>
      <c r="I12" s="131">
        <v>20.0</v>
      </c>
      <c r="J12" s="123">
        <f t="shared" si="1"/>
        <v>3</v>
      </c>
      <c r="K12" s="132"/>
      <c r="L12" s="132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</row>
    <row r="13">
      <c r="A13" s="125">
        <v>4.0</v>
      </c>
      <c r="B13" s="133" t="s">
        <v>30</v>
      </c>
      <c r="C13" s="59" t="s">
        <v>31</v>
      </c>
      <c r="D13" s="127">
        <v>40.0</v>
      </c>
      <c r="E13" s="128">
        <v>47.0</v>
      </c>
      <c r="F13" s="129">
        <v>35.0</v>
      </c>
      <c r="G13" s="150">
        <v>43.0</v>
      </c>
      <c r="H13" s="131">
        <v>37.0</v>
      </c>
      <c r="I13" s="131">
        <v>44.0</v>
      </c>
      <c r="J13" s="123">
        <f t="shared" si="1"/>
        <v>0</v>
      </c>
      <c r="K13" s="132"/>
      <c r="L13" s="132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</row>
    <row r="14">
      <c r="A14" s="125">
        <v>5.0</v>
      </c>
      <c r="B14" s="133" t="s">
        <v>32</v>
      </c>
      <c r="C14" s="59" t="s">
        <v>33</v>
      </c>
      <c r="D14" s="127" t="s">
        <v>111</v>
      </c>
      <c r="E14" s="128" t="s">
        <v>111</v>
      </c>
      <c r="F14" s="129">
        <v>11.0</v>
      </c>
      <c r="G14" s="150" t="s">
        <v>111</v>
      </c>
      <c r="H14" s="131">
        <v>29.0</v>
      </c>
      <c r="I14" s="131">
        <v>20.0</v>
      </c>
      <c r="J14" s="123">
        <f t="shared" si="1"/>
        <v>2</v>
      </c>
      <c r="K14" s="132"/>
      <c r="L14" s="132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</row>
    <row r="15">
      <c r="A15" s="125">
        <v>6.0</v>
      </c>
      <c r="B15" s="133" t="s">
        <v>34</v>
      </c>
      <c r="C15" s="59" t="s">
        <v>35</v>
      </c>
      <c r="D15" s="127">
        <v>37.0</v>
      </c>
      <c r="E15" s="128">
        <v>30.0</v>
      </c>
      <c r="F15" s="129">
        <v>26.0</v>
      </c>
      <c r="G15" s="150">
        <v>25.0</v>
      </c>
      <c r="H15" s="131">
        <v>29.0</v>
      </c>
      <c r="I15" s="131">
        <v>27.0</v>
      </c>
      <c r="J15" s="123">
        <f t="shared" si="1"/>
        <v>0</v>
      </c>
      <c r="K15" s="132"/>
      <c r="L15" s="132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</row>
    <row r="16">
      <c r="A16" s="125">
        <v>7.0</v>
      </c>
      <c r="B16" s="133" t="s">
        <v>36</v>
      </c>
      <c r="C16" s="59" t="s">
        <v>37</v>
      </c>
      <c r="D16" s="127">
        <v>32.0</v>
      </c>
      <c r="E16" s="128">
        <v>14.0</v>
      </c>
      <c r="F16" s="129">
        <v>12.0</v>
      </c>
      <c r="G16" s="150">
        <v>22.0</v>
      </c>
      <c r="H16" s="131">
        <v>19.0</v>
      </c>
      <c r="I16" s="131">
        <v>9.0</v>
      </c>
      <c r="J16" s="123">
        <f t="shared" si="1"/>
        <v>4</v>
      </c>
      <c r="K16" s="132"/>
      <c r="L16" s="132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</row>
    <row r="17">
      <c r="A17" s="125">
        <v>8.0</v>
      </c>
      <c r="B17" s="133" t="s">
        <v>38</v>
      </c>
      <c r="C17" s="59" t="s">
        <v>39</v>
      </c>
      <c r="D17" s="127">
        <v>49.0</v>
      </c>
      <c r="E17" s="128">
        <v>50.0</v>
      </c>
      <c r="F17" s="129">
        <v>50.0</v>
      </c>
      <c r="G17" s="150">
        <v>49.0</v>
      </c>
      <c r="H17" s="131">
        <v>46.0</v>
      </c>
      <c r="I17" s="131">
        <v>38.0</v>
      </c>
      <c r="J17" s="123">
        <f t="shared" si="1"/>
        <v>0</v>
      </c>
      <c r="K17" s="132"/>
      <c r="L17" s="132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</row>
    <row r="18">
      <c r="A18" s="125">
        <v>9.0</v>
      </c>
      <c r="B18" s="133" t="s">
        <v>40</v>
      </c>
      <c r="C18" s="59" t="s">
        <v>41</v>
      </c>
      <c r="D18" s="127">
        <v>48.0</v>
      </c>
      <c r="E18" s="128">
        <v>46.0</v>
      </c>
      <c r="F18" s="129">
        <v>50.0</v>
      </c>
      <c r="G18" s="150">
        <v>42.0</v>
      </c>
      <c r="H18" s="131">
        <v>46.0</v>
      </c>
      <c r="I18" s="131">
        <v>44.0</v>
      </c>
      <c r="J18" s="123">
        <f t="shared" si="1"/>
        <v>0</v>
      </c>
      <c r="K18" s="132"/>
      <c r="L18" s="132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</row>
    <row r="19">
      <c r="A19" s="125">
        <v>10.0</v>
      </c>
      <c r="B19" s="133" t="s">
        <v>42</v>
      </c>
      <c r="C19" s="59" t="s">
        <v>43</v>
      </c>
      <c r="D19" s="127">
        <v>17.0</v>
      </c>
      <c r="E19" s="128">
        <v>10.0</v>
      </c>
      <c r="F19" s="129">
        <v>11.0</v>
      </c>
      <c r="G19" s="196">
        <v>10.0</v>
      </c>
      <c r="H19" s="131">
        <v>12.0</v>
      </c>
      <c r="I19" s="131">
        <v>11.0</v>
      </c>
      <c r="J19" s="123">
        <f t="shared" si="1"/>
        <v>6</v>
      </c>
      <c r="K19" s="132"/>
      <c r="L19" s="132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</row>
    <row r="20">
      <c r="A20" s="125">
        <v>11.0</v>
      </c>
      <c r="B20" s="133" t="s">
        <v>44</v>
      </c>
      <c r="C20" s="59" t="s">
        <v>45</v>
      </c>
      <c r="D20" s="127">
        <v>43.0</v>
      </c>
      <c r="E20" s="128">
        <v>30.0</v>
      </c>
      <c r="F20" s="129">
        <v>36.0</v>
      </c>
      <c r="G20" s="150">
        <v>15.0</v>
      </c>
      <c r="H20" s="131">
        <v>34.0</v>
      </c>
      <c r="I20" s="131">
        <v>27.0</v>
      </c>
      <c r="J20" s="123">
        <f t="shared" si="1"/>
        <v>1</v>
      </c>
      <c r="K20" s="132"/>
      <c r="L20" s="132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</row>
    <row r="21">
      <c r="A21" s="125">
        <v>12.0</v>
      </c>
      <c r="B21" s="133" t="s">
        <v>46</v>
      </c>
      <c r="C21" s="59" t="s">
        <v>47</v>
      </c>
      <c r="D21" s="127">
        <v>24.0</v>
      </c>
      <c r="E21" s="128">
        <v>30.0</v>
      </c>
      <c r="F21" s="129">
        <v>43.0</v>
      </c>
      <c r="G21" s="150">
        <v>24.0</v>
      </c>
      <c r="H21" s="131">
        <v>35.0</v>
      </c>
      <c r="I21" s="131">
        <v>20.0</v>
      </c>
      <c r="J21" s="123">
        <f t="shared" si="1"/>
        <v>1</v>
      </c>
      <c r="K21" s="132"/>
      <c r="L21" s="132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</row>
    <row r="22">
      <c r="A22" s="125">
        <v>13.0</v>
      </c>
      <c r="B22" s="133" t="s">
        <v>48</v>
      </c>
      <c r="C22" s="59" t="s">
        <v>49</v>
      </c>
      <c r="D22" s="127">
        <v>33.0</v>
      </c>
      <c r="E22" s="128" t="s">
        <v>111</v>
      </c>
      <c r="F22" s="129" t="s">
        <v>111</v>
      </c>
      <c r="G22" s="150">
        <v>10.0</v>
      </c>
      <c r="H22" s="131">
        <v>25.0</v>
      </c>
      <c r="I22" s="131">
        <v>5.0</v>
      </c>
      <c r="J22" s="123">
        <f t="shared" si="1"/>
        <v>2</v>
      </c>
      <c r="K22" s="132"/>
      <c r="L22" s="132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</row>
    <row r="23">
      <c r="A23" s="125">
        <v>14.0</v>
      </c>
      <c r="B23" s="133" t="s">
        <v>50</v>
      </c>
      <c r="C23" s="59" t="s">
        <v>51</v>
      </c>
      <c r="D23" s="127">
        <v>20.0</v>
      </c>
      <c r="E23" s="128">
        <v>11.0</v>
      </c>
      <c r="F23" s="129">
        <v>22.0</v>
      </c>
      <c r="G23" s="150">
        <v>32.0</v>
      </c>
      <c r="H23" s="131">
        <v>35.0</v>
      </c>
      <c r="I23" s="131">
        <v>29.0</v>
      </c>
      <c r="J23" s="123">
        <f t="shared" si="1"/>
        <v>2</v>
      </c>
      <c r="K23" s="132"/>
      <c r="L23" s="132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</row>
    <row r="24">
      <c r="A24" s="125">
        <v>15.0</v>
      </c>
      <c r="B24" s="133" t="s">
        <v>52</v>
      </c>
      <c r="C24" s="59" t="s">
        <v>53</v>
      </c>
      <c r="D24" s="127">
        <v>30.0</v>
      </c>
      <c r="E24" s="128">
        <v>26.0</v>
      </c>
      <c r="F24" s="129">
        <v>33.0</v>
      </c>
      <c r="G24" s="196">
        <v>27.0</v>
      </c>
      <c r="H24" s="131">
        <v>32.0</v>
      </c>
      <c r="I24" s="131">
        <v>25.0</v>
      </c>
      <c r="J24" s="123">
        <f t="shared" si="1"/>
        <v>0</v>
      </c>
      <c r="K24" s="132"/>
      <c r="L24" s="132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</row>
    <row r="25">
      <c r="A25" s="125">
        <v>16.0</v>
      </c>
      <c r="B25" s="133" t="s">
        <v>54</v>
      </c>
      <c r="C25" s="59" t="s">
        <v>55</v>
      </c>
      <c r="D25" s="127">
        <v>17.0</v>
      </c>
      <c r="E25" s="128">
        <v>24.0</v>
      </c>
      <c r="F25" s="129">
        <v>32.0</v>
      </c>
      <c r="G25" s="150">
        <v>28.0</v>
      </c>
      <c r="H25" s="131">
        <v>35.0</v>
      </c>
      <c r="I25" s="131">
        <v>12.0</v>
      </c>
      <c r="J25" s="123">
        <f t="shared" si="1"/>
        <v>2</v>
      </c>
      <c r="K25" s="132"/>
      <c r="L25" s="132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</row>
    <row r="26">
      <c r="A26" s="125">
        <v>17.0</v>
      </c>
      <c r="B26" s="133" t="s">
        <v>56</v>
      </c>
      <c r="C26" s="59" t="s">
        <v>57</v>
      </c>
      <c r="D26" s="127" t="s">
        <v>111</v>
      </c>
      <c r="E26" s="128" t="s">
        <v>111</v>
      </c>
      <c r="F26" s="129" t="s">
        <v>111</v>
      </c>
      <c r="G26" s="150" t="s">
        <v>111</v>
      </c>
      <c r="H26" s="131" t="s">
        <v>111</v>
      </c>
      <c r="I26" s="131" t="s">
        <v>111</v>
      </c>
      <c r="J26" s="123">
        <f t="shared" si="1"/>
        <v>0</v>
      </c>
      <c r="K26" s="132"/>
      <c r="L26" s="132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</row>
    <row r="27">
      <c r="A27" s="125">
        <v>18.0</v>
      </c>
      <c r="B27" s="133" t="s">
        <v>58</v>
      </c>
      <c r="C27" s="59" t="s">
        <v>59</v>
      </c>
      <c r="D27" s="127" t="s">
        <v>111</v>
      </c>
      <c r="E27" s="128">
        <v>15.0</v>
      </c>
      <c r="F27" s="129">
        <v>10.0</v>
      </c>
      <c r="G27" s="150">
        <v>22.0</v>
      </c>
      <c r="H27" s="131">
        <v>19.0</v>
      </c>
      <c r="I27" s="131">
        <v>14.0</v>
      </c>
      <c r="J27" s="123">
        <f t="shared" si="1"/>
        <v>4</v>
      </c>
      <c r="K27" s="132"/>
      <c r="L27" s="132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</row>
    <row r="28">
      <c r="A28" s="125">
        <v>19.0</v>
      </c>
      <c r="B28" s="133" t="s">
        <v>60</v>
      </c>
      <c r="C28" s="59" t="s">
        <v>61</v>
      </c>
      <c r="D28" s="127">
        <v>12.0</v>
      </c>
      <c r="E28" s="128" t="s">
        <v>111</v>
      </c>
      <c r="F28" s="129" t="s">
        <v>111</v>
      </c>
      <c r="G28" s="150">
        <v>12.0</v>
      </c>
      <c r="H28" s="131">
        <v>28.0</v>
      </c>
      <c r="I28" s="131">
        <v>15.0</v>
      </c>
      <c r="J28" s="123">
        <f t="shared" si="1"/>
        <v>3</v>
      </c>
      <c r="K28" s="132"/>
      <c r="L28" s="132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</row>
    <row r="29">
      <c r="A29" s="125">
        <v>20.0</v>
      </c>
      <c r="B29" s="133" t="s">
        <v>62</v>
      </c>
      <c r="C29" s="59" t="s">
        <v>63</v>
      </c>
      <c r="D29" s="127">
        <v>32.0</v>
      </c>
      <c r="E29" s="128">
        <v>25.0</v>
      </c>
      <c r="F29" s="129">
        <v>22.0</v>
      </c>
      <c r="G29" s="150">
        <v>34.0</v>
      </c>
      <c r="H29" s="131">
        <v>23.0</v>
      </c>
      <c r="I29" s="131">
        <v>8.0</v>
      </c>
      <c r="J29" s="123">
        <f t="shared" si="1"/>
        <v>1</v>
      </c>
      <c r="K29" s="132"/>
      <c r="L29" s="132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</row>
    <row r="30">
      <c r="A30" s="125">
        <v>21.0</v>
      </c>
      <c r="B30" s="133" t="s">
        <v>64</v>
      </c>
      <c r="C30" s="59" t="s">
        <v>65</v>
      </c>
      <c r="D30" s="127" t="s">
        <v>111</v>
      </c>
      <c r="E30" s="128" t="s">
        <v>111</v>
      </c>
      <c r="F30" s="129" t="s">
        <v>111</v>
      </c>
      <c r="G30" s="150" t="s">
        <v>111</v>
      </c>
      <c r="H30" s="131" t="s">
        <v>111</v>
      </c>
      <c r="I30" s="131" t="s">
        <v>111</v>
      </c>
      <c r="J30" s="123">
        <f t="shared" si="1"/>
        <v>0</v>
      </c>
      <c r="K30" s="132"/>
      <c r="L30" s="132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</row>
    <row r="31">
      <c r="A31" s="125">
        <v>22.0</v>
      </c>
      <c r="B31" s="133" t="s">
        <v>66</v>
      </c>
      <c r="C31" s="59" t="s">
        <v>67</v>
      </c>
      <c r="D31" s="127">
        <v>20.0</v>
      </c>
      <c r="E31" s="128">
        <v>37.0</v>
      </c>
      <c r="F31" s="129">
        <v>26.0</v>
      </c>
      <c r="G31" s="150" t="s">
        <v>111</v>
      </c>
      <c r="H31" s="131">
        <v>27.0</v>
      </c>
      <c r="I31" s="131">
        <v>33.0</v>
      </c>
      <c r="J31" s="123">
        <f t="shared" si="1"/>
        <v>1</v>
      </c>
      <c r="K31" s="132"/>
      <c r="L31" s="132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</row>
    <row r="32">
      <c r="A32" s="125">
        <v>23.0</v>
      </c>
      <c r="B32" s="133" t="s">
        <v>68</v>
      </c>
      <c r="C32" s="59" t="s">
        <v>69</v>
      </c>
      <c r="D32" s="127">
        <v>23.0</v>
      </c>
      <c r="E32" s="128">
        <v>38.0</v>
      </c>
      <c r="F32" s="129">
        <v>31.0</v>
      </c>
      <c r="G32" s="150">
        <v>30.0</v>
      </c>
      <c r="H32" s="131">
        <v>26.0</v>
      </c>
      <c r="I32" s="131">
        <v>27.0</v>
      </c>
      <c r="J32" s="123">
        <f t="shared" si="1"/>
        <v>0</v>
      </c>
      <c r="K32" s="132"/>
      <c r="L32" s="132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</row>
    <row r="33">
      <c r="A33" s="125">
        <v>24.0</v>
      </c>
      <c r="B33" s="133" t="s">
        <v>70</v>
      </c>
      <c r="C33" s="59" t="s">
        <v>71</v>
      </c>
      <c r="D33" s="127">
        <v>35.0</v>
      </c>
      <c r="E33" s="128">
        <v>37.0</v>
      </c>
      <c r="F33" s="129">
        <v>26.0</v>
      </c>
      <c r="G33" s="150">
        <v>36.0</v>
      </c>
      <c r="H33" s="131">
        <v>30.0</v>
      </c>
      <c r="I33" s="131">
        <v>15.0</v>
      </c>
      <c r="J33" s="123">
        <f t="shared" si="1"/>
        <v>1</v>
      </c>
      <c r="K33" s="132"/>
      <c r="L33" s="132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</row>
    <row r="34">
      <c r="A34" s="125">
        <v>25.0</v>
      </c>
      <c r="B34" s="133" t="s">
        <v>72</v>
      </c>
      <c r="C34" s="134" t="s">
        <v>149</v>
      </c>
      <c r="D34" s="127">
        <v>43.0</v>
      </c>
      <c r="E34" s="128">
        <v>50.0</v>
      </c>
      <c r="F34" s="129">
        <v>50.0</v>
      </c>
      <c r="G34" s="150">
        <v>48.0</v>
      </c>
      <c r="H34" s="131">
        <v>43.0</v>
      </c>
      <c r="I34" s="131">
        <v>43.0</v>
      </c>
      <c r="J34" s="123">
        <f t="shared" si="1"/>
        <v>0</v>
      </c>
      <c r="K34" s="132"/>
      <c r="L34" s="132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</row>
    <row r="35">
      <c r="A35" s="125">
        <v>26.0</v>
      </c>
      <c r="B35" s="133" t="s">
        <v>74</v>
      </c>
      <c r="C35" s="59" t="s">
        <v>75</v>
      </c>
      <c r="D35" s="127">
        <v>29.0</v>
      </c>
      <c r="E35" s="128">
        <v>11.0</v>
      </c>
      <c r="F35" s="129">
        <v>36.0</v>
      </c>
      <c r="G35" s="150" t="s">
        <v>111</v>
      </c>
      <c r="H35" s="131">
        <v>22.0</v>
      </c>
      <c r="I35" s="131">
        <v>21.0</v>
      </c>
      <c r="J35" s="123">
        <f t="shared" si="1"/>
        <v>2</v>
      </c>
      <c r="K35" s="132"/>
      <c r="L35" s="132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</row>
    <row r="36">
      <c r="A36" s="125">
        <v>27.0</v>
      </c>
      <c r="B36" s="133" t="s">
        <v>76</v>
      </c>
      <c r="C36" s="59" t="s">
        <v>77</v>
      </c>
      <c r="D36" s="127">
        <v>14.0</v>
      </c>
      <c r="E36" s="128">
        <v>6.0</v>
      </c>
      <c r="F36" s="129">
        <v>23.0</v>
      </c>
      <c r="G36" s="150" t="s">
        <v>111</v>
      </c>
      <c r="H36" s="131">
        <v>25.0</v>
      </c>
      <c r="I36" s="131">
        <v>15.0</v>
      </c>
      <c r="J36" s="123">
        <f t="shared" si="1"/>
        <v>3</v>
      </c>
      <c r="K36" s="132"/>
      <c r="L36" s="132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</row>
    <row r="37">
      <c r="A37" s="125">
        <v>28.0</v>
      </c>
      <c r="B37" s="133" t="s">
        <v>78</v>
      </c>
      <c r="C37" s="59" t="s">
        <v>79</v>
      </c>
      <c r="D37" s="127">
        <v>12.0</v>
      </c>
      <c r="E37" s="128" t="s">
        <v>111</v>
      </c>
      <c r="F37" s="129">
        <v>26.0</v>
      </c>
      <c r="G37" s="150">
        <v>30.0</v>
      </c>
      <c r="H37" s="131">
        <v>34.0</v>
      </c>
      <c r="I37" s="131">
        <v>28.0</v>
      </c>
      <c r="J37" s="123">
        <f t="shared" si="1"/>
        <v>1</v>
      </c>
      <c r="K37" s="132"/>
      <c r="L37" s="132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</row>
    <row r="38">
      <c r="A38" s="125">
        <v>29.0</v>
      </c>
      <c r="B38" s="133" t="s">
        <v>80</v>
      </c>
      <c r="C38" s="59" t="s">
        <v>81</v>
      </c>
      <c r="D38" s="127">
        <v>19.0</v>
      </c>
      <c r="E38" s="128">
        <v>7.0</v>
      </c>
      <c r="F38" s="129">
        <v>17.0</v>
      </c>
      <c r="G38" s="150">
        <v>24.0</v>
      </c>
      <c r="H38" s="131">
        <v>34.0</v>
      </c>
      <c r="I38" s="131">
        <v>13.0</v>
      </c>
      <c r="J38" s="123">
        <f t="shared" si="1"/>
        <v>4</v>
      </c>
      <c r="K38" s="132"/>
      <c r="L38" s="132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</row>
    <row r="39">
      <c r="A39" s="125">
        <v>30.0</v>
      </c>
      <c r="B39" s="133" t="s">
        <v>82</v>
      </c>
      <c r="C39" s="59" t="s">
        <v>83</v>
      </c>
      <c r="D39" s="127" t="s">
        <v>111</v>
      </c>
      <c r="E39" s="128">
        <v>8.0</v>
      </c>
      <c r="F39" s="129">
        <v>16.0</v>
      </c>
      <c r="G39" s="150">
        <v>32.0</v>
      </c>
      <c r="H39" s="131">
        <v>34.0</v>
      </c>
      <c r="I39" s="131">
        <v>26.0</v>
      </c>
      <c r="J39" s="123">
        <f t="shared" si="1"/>
        <v>2</v>
      </c>
      <c r="K39" s="132"/>
      <c r="L39" s="132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</row>
    <row r="40">
      <c r="A40" s="125">
        <v>31.0</v>
      </c>
      <c r="B40" s="65" t="s">
        <v>84</v>
      </c>
      <c r="C40" s="66" t="s">
        <v>85</v>
      </c>
      <c r="D40" s="127">
        <v>10.0</v>
      </c>
      <c r="E40" s="128">
        <v>11.0</v>
      </c>
      <c r="F40" s="129">
        <v>14.0</v>
      </c>
      <c r="G40" s="150">
        <v>20.0</v>
      </c>
      <c r="H40" s="131">
        <v>23.0</v>
      </c>
      <c r="I40" s="131">
        <v>16.0</v>
      </c>
      <c r="J40" s="123">
        <f t="shared" si="1"/>
        <v>5</v>
      </c>
      <c r="K40" s="132"/>
      <c r="L40" s="132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</row>
    <row r="41">
      <c r="A41" s="125">
        <v>32.0</v>
      </c>
      <c r="B41" s="65" t="s">
        <v>86</v>
      </c>
      <c r="C41" s="66" t="s">
        <v>87</v>
      </c>
      <c r="D41" s="127">
        <v>18.0</v>
      </c>
      <c r="E41" s="128">
        <v>9.0</v>
      </c>
      <c r="F41" s="129">
        <v>11.0</v>
      </c>
      <c r="G41" s="150">
        <v>8.0</v>
      </c>
      <c r="H41" s="131">
        <v>23.0</v>
      </c>
      <c r="I41" s="131">
        <v>13.0</v>
      </c>
      <c r="J41" s="123">
        <f t="shared" si="1"/>
        <v>5</v>
      </c>
      <c r="K41" s="132"/>
      <c r="L41" s="132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</row>
    <row r="42">
      <c r="A42" s="125">
        <v>33.0</v>
      </c>
      <c r="B42" s="65" t="s">
        <v>88</v>
      </c>
      <c r="C42" s="66" t="s">
        <v>89</v>
      </c>
      <c r="D42" s="127">
        <v>27.0</v>
      </c>
      <c r="E42" s="128">
        <v>26.0</v>
      </c>
      <c r="F42" s="129">
        <v>20.0</v>
      </c>
      <c r="G42" s="150">
        <v>21.0</v>
      </c>
      <c r="H42" s="131">
        <v>27.0</v>
      </c>
      <c r="I42" s="131">
        <v>6.0</v>
      </c>
      <c r="J42" s="123">
        <f t="shared" si="1"/>
        <v>3</v>
      </c>
      <c r="K42" s="132"/>
      <c r="L42" s="132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</row>
    <row r="43">
      <c r="A43" s="125">
        <v>34.0</v>
      </c>
      <c r="B43" s="65" t="s">
        <v>90</v>
      </c>
      <c r="C43" s="66" t="s">
        <v>91</v>
      </c>
      <c r="D43" s="127">
        <v>16.0</v>
      </c>
      <c r="E43" s="128">
        <v>19.0</v>
      </c>
      <c r="F43" s="129">
        <v>10.0</v>
      </c>
      <c r="G43" s="196">
        <v>10.0</v>
      </c>
      <c r="H43" s="131">
        <v>24.0</v>
      </c>
      <c r="I43" s="131">
        <v>13.0</v>
      </c>
      <c r="J43" s="123">
        <f t="shared" si="1"/>
        <v>5</v>
      </c>
      <c r="K43" s="132"/>
      <c r="L43" s="132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</row>
    <row r="44">
      <c r="A44" s="125">
        <v>35.0</v>
      </c>
      <c r="B44" s="65" t="s">
        <v>92</v>
      </c>
      <c r="C44" s="66" t="s">
        <v>93</v>
      </c>
      <c r="D44" s="127">
        <v>27.0</v>
      </c>
      <c r="E44" s="128">
        <v>11.0</v>
      </c>
      <c r="F44" s="129">
        <v>10.0</v>
      </c>
      <c r="G44" s="150">
        <v>8.0</v>
      </c>
      <c r="H44" s="131">
        <v>23.0</v>
      </c>
      <c r="I44" s="131">
        <v>20.0</v>
      </c>
      <c r="J44" s="123">
        <f t="shared" si="1"/>
        <v>4</v>
      </c>
      <c r="K44" s="132"/>
      <c r="L44" s="132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</row>
    <row r="45">
      <c r="A45" s="125">
        <v>36.0</v>
      </c>
      <c r="B45" s="65" t="s">
        <v>94</v>
      </c>
      <c r="C45" s="66" t="s">
        <v>95</v>
      </c>
      <c r="D45" s="127">
        <v>20.0</v>
      </c>
      <c r="E45" s="128">
        <v>30.0</v>
      </c>
      <c r="F45" s="129">
        <v>31.0</v>
      </c>
      <c r="G45" s="150">
        <v>33.0</v>
      </c>
      <c r="H45" s="131">
        <v>28.0</v>
      </c>
      <c r="I45" s="131">
        <v>21.0</v>
      </c>
      <c r="J45" s="123">
        <f t="shared" si="1"/>
        <v>2</v>
      </c>
      <c r="K45" s="132"/>
      <c r="L45" s="132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</row>
    <row r="46">
      <c r="A46" s="125">
        <v>37.0</v>
      </c>
      <c r="B46" s="65" t="s">
        <v>96</v>
      </c>
      <c r="C46" s="66" t="s">
        <v>97</v>
      </c>
      <c r="D46" s="127">
        <v>0.0</v>
      </c>
      <c r="E46" s="128">
        <v>2.0</v>
      </c>
      <c r="F46" s="129">
        <v>3.0</v>
      </c>
      <c r="G46" s="150">
        <v>6.0</v>
      </c>
      <c r="H46" s="131">
        <v>22.0</v>
      </c>
      <c r="I46" s="131">
        <v>0.0</v>
      </c>
      <c r="J46" s="123">
        <f t="shared" si="1"/>
        <v>5</v>
      </c>
      <c r="K46" s="132"/>
      <c r="L46" s="132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</row>
    <row r="47">
      <c r="A47" s="125">
        <v>38.0</v>
      </c>
      <c r="B47" s="65" t="s">
        <v>98</v>
      </c>
      <c r="C47" s="66" t="s">
        <v>99</v>
      </c>
      <c r="D47" s="127">
        <v>17.0</v>
      </c>
      <c r="E47" s="128">
        <v>8.0</v>
      </c>
      <c r="F47" s="129">
        <v>7.0</v>
      </c>
      <c r="G47" s="150">
        <v>10.0</v>
      </c>
      <c r="H47" s="131">
        <v>19.0</v>
      </c>
      <c r="I47" s="131">
        <v>3.0</v>
      </c>
      <c r="J47" s="123">
        <f t="shared" si="1"/>
        <v>6</v>
      </c>
      <c r="K47" s="132"/>
      <c r="L47" s="132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</row>
    <row r="48">
      <c r="A48" s="125">
        <v>39.0</v>
      </c>
      <c r="B48" s="65" t="s">
        <v>100</v>
      </c>
      <c r="C48" s="66" t="s">
        <v>101</v>
      </c>
      <c r="D48" s="127">
        <v>2.0</v>
      </c>
      <c r="E48" s="128">
        <v>5.0</v>
      </c>
      <c r="F48" s="129">
        <v>4.0</v>
      </c>
      <c r="G48" s="150">
        <v>10.0</v>
      </c>
      <c r="H48" s="131">
        <v>27.0</v>
      </c>
      <c r="I48" s="131">
        <v>6.0</v>
      </c>
      <c r="J48" s="123">
        <f t="shared" si="1"/>
        <v>5</v>
      </c>
      <c r="K48" s="132"/>
      <c r="L48" s="13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</row>
    <row r="49">
      <c r="A49" s="125">
        <v>40.0</v>
      </c>
      <c r="B49" s="65" t="s">
        <v>102</v>
      </c>
      <c r="C49" s="66" t="s">
        <v>103</v>
      </c>
      <c r="D49" s="127">
        <v>10.0</v>
      </c>
      <c r="E49" s="128">
        <v>9.0</v>
      </c>
      <c r="F49" s="129">
        <v>9.0</v>
      </c>
      <c r="G49" s="150">
        <v>19.0</v>
      </c>
      <c r="H49" s="131">
        <v>19.0</v>
      </c>
      <c r="I49" s="131">
        <v>8.0</v>
      </c>
      <c r="J49" s="123">
        <f t="shared" si="1"/>
        <v>6</v>
      </c>
      <c r="K49" s="132"/>
      <c r="L49" s="132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</row>
    <row r="50">
      <c r="A50" s="125">
        <v>41.0</v>
      </c>
      <c r="B50" s="67" t="s">
        <v>104</v>
      </c>
      <c r="C50" s="66" t="s">
        <v>105</v>
      </c>
      <c r="D50" s="127">
        <v>9.0</v>
      </c>
      <c r="E50" s="128">
        <v>15.0</v>
      </c>
      <c r="F50" s="129">
        <v>12.0</v>
      </c>
      <c r="G50" s="150">
        <v>38.0</v>
      </c>
      <c r="H50" s="131">
        <v>28.0</v>
      </c>
      <c r="I50" s="131">
        <v>11.0</v>
      </c>
      <c r="J50" s="123">
        <f t="shared" si="1"/>
        <v>4</v>
      </c>
      <c r="K50" s="132"/>
      <c r="L50" s="132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</row>
    <row r="51">
      <c r="A51" s="125">
        <v>42.0</v>
      </c>
      <c r="B51" s="67" t="s">
        <v>106</v>
      </c>
      <c r="C51" s="68" t="s">
        <v>107</v>
      </c>
      <c r="D51" s="127">
        <v>17.0</v>
      </c>
      <c r="E51" s="128">
        <v>12.0</v>
      </c>
      <c r="F51" s="129">
        <v>9.0</v>
      </c>
      <c r="G51" s="150">
        <v>20.0</v>
      </c>
      <c r="H51" s="131">
        <v>32.0</v>
      </c>
      <c r="I51" s="131">
        <v>6.0</v>
      </c>
      <c r="J51" s="123">
        <f t="shared" si="1"/>
        <v>5</v>
      </c>
      <c r="K51" s="132"/>
      <c r="L51" s="132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</row>
    <row r="52">
      <c r="A52" s="125">
        <v>43.0</v>
      </c>
      <c r="B52" s="67" t="s">
        <v>108</v>
      </c>
      <c r="C52" s="69" t="s">
        <v>109</v>
      </c>
      <c r="D52" s="127">
        <v>27.0</v>
      </c>
      <c r="E52" s="128">
        <v>6.0</v>
      </c>
      <c r="F52" s="129">
        <v>11.0</v>
      </c>
      <c r="G52" s="150">
        <v>6.0</v>
      </c>
      <c r="H52" s="131">
        <v>25.0</v>
      </c>
      <c r="I52" s="122">
        <v>11.0</v>
      </c>
      <c r="J52" s="123">
        <f t="shared" si="1"/>
        <v>4</v>
      </c>
      <c r="K52" s="132"/>
      <c r="L52" s="132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</row>
    <row r="53">
      <c r="A53" s="136"/>
      <c r="B53" s="136"/>
      <c r="C53" s="136"/>
      <c r="D53" s="137"/>
      <c r="E53" s="137"/>
      <c r="F53" s="137"/>
      <c r="G53" s="137"/>
      <c r="H53" s="137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</row>
    <row r="54">
      <c r="A54" s="138" t="s">
        <v>150</v>
      </c>
      <c r="B54" s="5"/>
      <c r="C54" s="6"/>
      <c r="D54" s="122">
        <v>36.0</v>
      </c>
      <c r="E54" s="122">
        <v>37.0</v>
      </c>
      <c r="F54" s="122">
        <v>37.0</v>
      </c>
      <c r="G54" s="122">
        <v>36.0</v>
      </c>
      <c r="H54" s="122">
        <v>41.0</v>
      </c>
      <c r="I54" s="139">
        <v>40.0</v>
      </c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</row>
    <row r="55">
      <c r="A55" s="138" t="s">
        <v>151</v>
      </c>
      <c r="B55" s="5"/>
      <c r="C55" s="6"/>
      <c r="D55" s="122">
        <v>7.0</v>
      </c>
      <c r="E55" s="122">
        <v>6.0</v>
      </c>
      <c r="F55" s="122">
        <v>6.0</v>
      </c>
      <c r="G55" s="122">
        <v>7.0</v>
      </c>
      <c r="H55" s="122">
        <v>2.0</v>
      </c>
      <c r="I55" s="139">
        <v>3.0</v>
      </c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</row>
    <row r="56">
      <c r="A56" s="138" t="s">
        <v>215</v>
      </c>
      <c r="B56" s="5"/>
      <c r="C56" s="6"/>
      <c r="D56" s="122">
        <v>20.0</v>
      </c>
      <c r="E56" s="122">
        <v>22.0</v>
      </c>
      <c r="F56" s="122">
        <v>19.0</v>
      </c>
      <c r="G56" s="122">
        <v>16.0</v>
      </c>
      <c r="H56" s="122">
        <v>6.0</v>
      </c>
      <c r="I56" s="141">
        <v>27.0</v>
      </c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</row>
    <row r="57">
      <c r="A57" s="142" t="s">
        <v>110</v>
      </c>
      <c r="B57" s="5"/>
      <c r="C57" s="6"/>
      <c r="D57" s="122" t="s">
        <v>111</v>
      </c>
      <c r="E57" s="143" t="s">
        <v>153</v>
      </c>
      <c r="F57" s="122" t="s">
        <v>113</v>
      </c>
      <c r="G57" s="122" t="s">
        <v>114</v>
      </c>
      <c r="H57" s="122" t="s">
        <v>115</v>
      </c>
      <c r="I57" s="141" t="s">
        <v>116</v>
      </c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</row>
    <row r="58" ht="16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</row>
    <row r="59" ht="16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</row>
    <row r="60" ht="16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</row>
    <row r="61" ht="16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</row>
    <row r="62" ht="16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</row>
    <row r="63">
      <c r="A63" s="144" t="s">
        <v>155</v>
      </c>
      <c r="B63" s="115"/>
      <c r="C63" s="115"/>
      <c r="D63" s="115"/>
      <c r="E63" s="144" t="s">
        <v>156</v>
      </c>
      <c r="G63" s="115"/>
      <c r="H63" s="144" t="s">
        <v>157</v>
      </c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</row>
    <row r="74">
      <c r="A74" s="144" t="s">
        <v>158</v>
      </c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</row>
  </sheetData>
  <mergeCells count="11">
    <mergeCell ref="A54:C54"/>
    <mergeCell ref="A55:C55"/>
    <mergeCell ref="A56:C56"/>
    <mergeCell ref="A57:C57"/>
    <mergeCell ref="A2:J2"/>
    <mergeCell ref="A3:J3"/>
    <mergeCell ref="A4:J4"/>
    <mergeCell ref="C5:H5"/>
    <mergeCell ref="A8:A9"/>
    <mergeCell ref="B8:B9"/>
    <mergeCell ref="C8:C9"/>
  </mergeCells>
  <hyperlinks>
    <hyperlink r:id="rId1" ref="E57"/>
  </hyperlinks>
  <printOptions gridLines="1" horizontalCentered="1"/>
  <pageMargins bottom="0.75" footer="0.0" header="0.0" left="0.7" right="0.7" top="0.75"/>
  <pageSetup paperSize="9" scale="87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6.25"/>
    <col customWidth="1" min="3" max="3" width="32.25"/>
    <col customWidth="1" min="4" max="4" width="14.25"/>
    <col customWidth="1" min="5" max="5" width="19.63"/>
    <col customWidth="1" min="6" max="6" width="44.38"/>
  </cols>
  <sheetData>
    <row r="1" ht="23.25" customHeight="1">
      <c r="A1" s="197" t="s">
        <v>216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ht="22.5" customHeight="1">
      <c r="A2" s="199" t="s">
        <v>134</v>
      </c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ht="18.0" customHeight="1">
      <c r="A3" s="200" t="s">
        <v>217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ht="15.0" customHeight="1">
      <c r="A4" s="201" t="s">
        <v>218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ht="1.5" customHeight="1">
      <c r="A5" s="202"/>
      <c r="B5" s="105"/>
      <c r="C5" s="105"/>
      <c r="D5" s="105"/>
      <c r="E5" s="105"/>
      <c r="F5" s="105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ht="22.5" customHeight="1">
      <c r="A6" s="203" t="s">
        <v>8</v>
      </c>
      <c r="B6" s="203" t="s">
        <v>9</v>
      </c>
      <c r="C6" s="203" t="s">
        <v>21</v>
      </c>
      <c r="D6" s="204" t="s">
        <v>219</v>
      </c>
      <c r="E6" s="205" t="s">
        <v>220</v>
      </c>
      <c r="F6" s="206" t="s">
        <v>221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ht="28.5" customHeight="1">
      <c r="A7" s="207">
        <v>1.0</v>
      </c>
      <c r="B7" s="58" t="s">
        <v>26</v>
      </c>
      <c r="C7" s="59" t="s">
        <v>27</v>
      </c>
      <c r="D7" s="208">
        <v>0.57</v>
      </c>
      <c r="E7" s="209" t="s">
        <v>222</v>
      </c>
      <c r="F7" s="210" t="s">
        <v>223</v>
      </c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ht="27.0" customHeight="1">
      <c r="A8" s="207">
        <v>2.0</v>
      </c>
      <c r="B8" s="58" t="s">
        <v>32</v>
      </c>
      <c r="C8" s="59" t="s">
        <v>33</v>
      </c>
      <c r="D8" s="208">
        <v>0.0</v>
      </c>
      <c r="E8" s="31"/>
      <c r="F8" s="211" t="s">
        <v>224</v>
      </c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ht="25.5" customHeight="1">
      <c r="A9" s="207">
        <v>3.0</v>
      </c>
      <c r="B9" s="58" t="s">
        <v>42</v>
      </c>
      <c r="C9" s="59" t="s">
        <v>43</v>
      </c>
      <c r="D9" s="208">
        <v>0.58</v>
      </c>
      <c r="E9" s="31"/>
      <c r="F9" s="210" t="s">
        <v>225</v>
      </c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ht="27.0" customHeight="1">
      <c r="A10" s="207">
        <v>4.0</v>
      </c>
      <c r="B10" s="58" t="s">
        <v>48</v>
      </c>
      <c r="C10" s="59" t="s">
        <v>49</v>
      </c>
      <c r="D10" s="208">
        <v>0.7</v>
      </c>
      <c r="E10" s="31"/>
      <c r="F10" s="210" t="s">
        <v>226</v>
      </c>
      <c r="G10" s="198"/>
      <c r="H10" s="115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ht="28.5" customHeight="1">
      <c r="A11" s="207">
        <v>5.0</v>
      </c>
      <c r="B11" s="58" t="s">
        <v>52</v>
      </c>
      <c r="C11" s="59" t="s">
        <v>53</v>
      </c>
      <c r="D11" s="208">
        <v>0.7</v>
      </c>
      <c r="E11" s="31"/>
      <c r="F11" s="210" t="s">
        <v>227</v>
      </c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>
      <c r="A12" s="207">
        <v>6.0</v>
      </c>
      <c r="B12" s="58" t="s">
        <v>54</v>
      </c>
      <c r="C12" s="59" t="s">
        <v>55</v>
      </c>
      <c r="D12" s="208">
        <v>0.52</v>
      </c>
      <c r="E12" s="39"/>
      <c r="F12" s="211" t="s">
        <v>228</v>
      </c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>
      <c r="A13" s="207">
        <v>7.0</v>
      </c>
      <c r="B13" s="58" t="s">
        <v>56</v>
      </c>
      <c r="C13" s="59" t="s">
        <v>57</v>
      </c>
      <c r="D13" s="208">
        <v>0.71</v>
      </c>
      <c r="E13" s="209" t="s">
        <v>229</v>
      </c>
      <c r="F13" s="211" t="s">
        <v>230</v>
      </c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ht="16.5" customHeight="1">
      <c r="A14" s="207">
        <v>8.0</v>
      </c>
      <c r="B14" s="58" t="s">
        <v>58</v>
      </c>
      <c r="C14" s="59" t="s">
        <v>59</v>
      </c>
      <c r="D14" s="208">
        <v>0.35</v>
      </c>
      <c r="E14" s="31"/>
      <c r="F14" s="211" t="s">
        <v>231</v>
      </c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>
      <c r="A15" s="207">
        <v>9.0</v>
      </c>
      <c r="B15" s="58" t="s">
        <v>60</v>
      </c>
      <c r="C15" s="59" t="s">
        <v>61</v>
      </c>
      <c r="D15" s="212">
        <v>0.58</v>
      </c>
      <c r="E15" s="31"/>
      <c r="F15" s="213" t="s">
        <v>232</v>
      </c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>
      <c r="A16" s="207">
        <v>10.0</v>
      </c>
      <c r="B16" s="58" t="s">
        <v>64</v>
      </c>
      <c r="C16" s="59" t="s">
        <v>65</v>
      </c>
      <c r="D16" s="212">
        <v>0.35</v>
      </c>
      <c r="E16" s="31"/>
      <c r="F16" s="213" t="s">
        <v>233</v>
      </c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>
      <c r="A17" s="207">
        <v>11.0</v>
      </c>
      <c r="B17" s="58" t="s">
        <v>80</v>
      </c>
      <c r="C17" s="59" t="s">
        <v>81</v>
      </c>
      <c r="D17" s="212">
        <v>0.46</v>
      </c>
      <c r="E17" s="31"/>
      <c r="F17" s="213" t="s">
        <v>234</v>
      </c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>
      <c r="A18" s="207">
        <v>12.0</v>
      </c>
      <c r="B18" s="58" t="s">
        <v>82</v>
      </c>
      <c r="C18" s="59" t="s">
        <v>83</v>
      </c>
      <c r="D18" s="212">
        <v>0.68</v>
      </c>
      <c r="E18" s="39"/>
      <c r="F18" s="213" t="s">
        <v>233</v>
      </c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>
      <c r="A19" s="207">
        <v>13.0</v>
      </c>
      <c r="B19" s="65" t="s">
        <v>84</v>
      </c>
      <c r="C19" s="66" t="s">
        <v>85</v>
      </c>
      <c r="D19" s="212">
        <v>0.68</v>
      </c>
      <c r="E19" s="209" t="s">
        <v>185</v>
      </c>
      <c r="F19" s="213" t="s">
        <v>232</v>
      </c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>
      <c r="A20" s="207">
        <v>14.0</v>
      </c>
      <c r="B20" s="65" t="s">
        <v>86</v>
      </c>
      <c r="C20" s="66" t="s">
        <v>87</v>
      </c>
      <c r="D20" s="212">
        <v>0.16</v>
      </c>
      <c r="E20" s="31"/>
      <c r="F20" s="213" t="s">
        <v>233</v>
      </c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>
      <c r="A21" s="207">
        <v>15.0</v>
      </c>
      <c r="B21" s="65" t="s">
        <v>94</v>
      </c>
      <c r="C21" s="66" t="s">
        <v>95</v>
      </c>
      <c r="D21" s="212">
        <v>0.61</v>
      </c>
      <c r="E21" s="31"/>
      <c r="F21" s="213" t="s">
        <v>232</v>
      </c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>
      <c r="A22" s="214">
        <v>16.0</v>
      </c>
      <c r="B22" s="65" t="s">
        <v>96</v>
      </c>
      <c r="C22" s="66" t="s">
        <v>97</v>
      </c>
      <c r="D22" s="212">
        <v>0.64</v>
      </c>
      <c r="E22" s="31"/>
      <c r="F22" s="213" t="s">
        <v>235</v>
      </c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>
      <c r="A23" s="207">
        <v>17.0</v>
      </c>
      <c r="B23" s="65" t="s">
        <v>98</v>
      </c>
      <c r="C23" s="66" t="s">
        <v>99</v>
      </c>
      <c r="D23" s="212">
        <v>0.41</v>
      </c>
      <c r="E23" s="31"/>
      <c r="F23" s="213" t="s">
        <v>236</v>
      </c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>
      <c r="A24" s="214">
        <v>18.0</v>
      </c>
      <c r="B24" s="65" t="s">
        <v>100</v>
      </c>
      <c r="C24" s="66" t="s">
        <v>101</v>
      </c>
      <c r="D24" s="212">
        <v>0.65</v>
      </c>
      <c r="E24" s="31"/>
      <c r="F24" s="213" t="s">
        <v>237</v>
      </c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>
      <c r="A25" s="207">
        <v>19.0</v>
      </c>
      <c r="B25" s="65" t="s">
        <v>102</v>
      </c>
      <c r="C25" s="66" t="s">
        <v>103</v>
      </c>
      <c r="D25" s="212">
        <v>0.71</v>
      </c>
      <c r="E25" s="31"/>
      <c r="F25" s="213" t="s">
        <v>238</v>
      </c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>
      <c r="A26" s="214">
        <v>20.0</v>
      </c>
      <c r="B26" s="67" t="s">
        <v>104</v>
      </c>
      <c r="C26" s="66" t="s">
        <v>105</v>
      </c>
      <c r="D26" s="212">
        <v>0.51</v>
      </c>
      <c r="E26" s="31"/>
      <c r="F26" s="213" t="s">
        <v>239</v>
      </c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>
      <c r="A27" s="207">
        <v>21.0</v>
      </c>
      <c r="B27" s="67" t="s">
        <v>108</v>
      </c>
      <c r="C27" s="69" t="s">
        <v>109</v>
      </c>
      <c r="D27" s="212">
        <v>0.34</v>
      </c>
      <c r="E27" s="39"/>
      <c r="F27" s="215" t="s">
        <v>240</v>
      </c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>
      <c r="A29" s="198"/>
      <c r="B29" s="216" t="s">
        <v>241</v>
      </c>
      <c r="C29" s="198"/>
      <c r="D29" s="198"/>
      <c r="E29" s="198"/>
      <c r="F29" s="216" t="s">
        <v>205</v>
      </c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  <row r="975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</row>
  </sheetData>
  <mergeCells count="8">
    <mergeCell ref="A1:F1"/>
    <mergeCell ref="A2:F2"/>
    <mergeCell ref="A3:F3"/>
    <mergeCell ref="A4:F4"/>
    <mergeCell ref="A5:F5"/>
    <mergeCell ref="E7:E12"/>
    <mergeCell ref="E13:E18"/>
    <mergeCell ref="E19:E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6.25"/>
    <col customWidth="1" min="3" max="3" width="32.25"/>
    <col customWidth="1" min="4" max="4" width="14.25"/>
    <col customWidth="1" min="5" max="5" width="19.63"/>
    <col customWidth="1" min="6" max="6" width="47.5"/>
  </cols>
  <sheetData>
    <row r="1" ht="23.25" customHeight="1">
      <c r="A1" s="197" t="s">
        <v>216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</row>
    <row r="2" ht="22.5" customHeight="1">
      <c r="A2" s="199" t="s">
        <v>134</v>
      </c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ht="18.0" customHeight="1">
      <c r="A3" s="201" t="s">
        <v>242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</row>
    <row r="4" ht="15.0" customHeight="1">
      <c r="A4" s="201" t="s">
        <v>218</v>
      </c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</row>
    <row r="5" ht="1.5" customHeight="1">
      <c r="A5" s="202"/>
      <c r="B5" s="105"/>
      <c r="C5" s="105"/>
      <c r="D5" s="105"/>
      <c r="E5" s="105"/>
      <c r="F5" s="105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</row>
    <row r="6" ht="22.5" customHeight="1">
      <c r="A6" s="203" t="s">
        <v>8</v>
      </c>
      <c r="B6" s="203" t="s">
        <v>9</v>
      </c>
      <c r="C6" s="203" t="s">
        <v>21</v>
      </c>
      <c r="D6" s="204" t="s">
        <v>219</v>
      </c>
      <c r="E6" s="205" t="s">
        <v>220</v>
      </c>
      <c r="F6" s="206" t="s">
        <v>221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</row>
    <row r="7" ht="29.25" customHeight="1">
      <c r="A7" s="207">
        <v>1.0</v>
      </c>
      <c r="B7" s="58" t="s">
        <v>26</v>
      </c>
      <c r="C7" s="59" t="s">
        <v>27</v>
      </c>
      <c r="D7" s="208">
        <v>0.69</v>
      </c>
      <c r="E7" s="209" t="s">
        <v>222</v>
      </c>
      <c r="F7" s="210" t="s">
        <v>243</v>
      </c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ht="24.75" customHeight="1">
      <c r="A8" s="207">
        <v>2.0</v>
      </c>
      <c r="B8" s="58" t="s">
        <v>32</v>
      </c>
      <c r="C8" s="59" t="s">
        <v>33</v>
      </c>
      <c r="D8" s="208">
        <v>0.17</v>
      </c>
      <c r="E8" s="31"/>
      <c r="F8" s="210" t="s">
        <v>244</v>
      </c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</row>
    <row r="9" ht="27.0" customHeight="1">
      <c r="A9" s="207">
        <v>3.0</v>
      </c>
      <c r="B9" s="58" t="s">
        <v>34</v>
      </c>
      <c r="C9" s="59" t="s">
        <v>35</v>
      </c>
      <c r="D9" s="208">
        <v>0.74</v>
      </c>
      <c r="E9" s="31"/>
      <c r="F9" s="210" t="s">
        <v>245</v>
      </c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</row>
    <row r="10" ht="20.25" customHeight="1">
      <c r="A10" s="207">
        <v>4.0</v>
      </c>
      <c r="B10" s="58" t="s">
        <v>48</v>
      </c>
      <c r="C10" s="59" t="s">
        <v>49</v>
      </c>
      <c r="D10" s="208">
        <v>0.58</v>
      </c>
      <c r="E10" s="31"/>
      <c r="F10" s="210" t="s">
        <v>246</v>
      </c>
      <c r="G10" s="198"/>
      <c r="H10" s="115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</row>
    <row r="11" ht="18.0" customHeight="1">
      <c r="A11" s="207">
        <v>5.0</v>
      </c>
      <c r="B11" s="58" t="s">
        <v>36</v>
      </c>
      <c r="C11" s="59" t="s">
        <v>37</v>
      </c>
      <c r="D11" s="208">
        <v>0.64</v>
      </c>
      <c r="E11" s="31"/>
      <c r="F11" s="210" t="s">
        <v>247</v>
      </c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</row>
    <row r="12">
      <c r="A12" s="207">
        <v>6.0</v>
      </c>
      <c r="B12" s="58" t="s">
        <v>52</v>
      </c>
      <c r="C12" s="59" t="s">
        <v>53</v>
      </c>
      <c r="D12" s="208">
        <v>0.74</v>
      </c>
      <c r="E12" s="39"/>
      <c r="F12" s="211" t="s">
        <v>248</v>
      </c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>
      <c r="A13" s="207">
        <v>7.0</v>
      </c>
      <c r="B13" s="58" t="s">
        <v>56</v>
      </c>
      <c r="C13" s="59" t="s">
        <v>57</v>
      </c>
      <c r="D13" s="208">
        <v>0.64</v>
      </c>
      <c r="E13" s="209" t="s">
        <v>229</v>
      </c>
      <c r="F13" s="213" t="s">
        <v>249</v>
      </c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ht="16.5" customHeight="1">
      <c r="A14" s="207">
        <v>8.0</v>
      </c>
      <c r="B14" s="58" t="s">
        <v>58</v>
      </c>
      <c r="C14" s="59" t="s">
        <v>59</v>
      </c>
      <c r="D14" s="208">
        <v>0.55</v>
      </c>
      <c r="E14" s="31"/>
      <c r="F14" s="213" t="s">
        <v>249</v>
      </c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>
      <c r="A15" s="207">
        <v>9.0</v>
      </c>
      <c r="B15" s="58" t="s">
        <v>60</v>
      </c>
      <c r="C15" s="59" t="s">
        <v>61</v>
      </c>
      <c r="D15" s="212">
        <v>0.64</v>
      </c>
      <c r="E15" s="31"/>
      <c r="F15" s="213" t="s">
        <v>249</v>
      </c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>
      <c r="A16" s="207">
        <v>10.0</v>
      </c>
      <c r="B16" s="58" t="s">
        <v>64</v>
      </c>
      <c r="C16" s="59" t="s">
        <v>65</v>
      </c>
      <c r="D16" s="212">
        <v>0.27</v>
      </c>
      <c r="E16" s="31"/>
      <c r="F16" s="213" t="s">
        <v>250</v>
      </c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>
      <c r="A17" s="207">
        <v>11.0</v>
      </c>
      <c r="B17" s="58" t="s">
        <v>74</v>
      </c>
      <c r="C17" s="59" t="s">
        <v>75</v>
      </c>
      <c r="D17" s="212">
        <v>0.74</v>
      </c>
      <c r="E17" s="31"/>
      <c r="F17" s="213" t="s">
        <v>251</v>
      </c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>
      <c r="A18" s="207">
        <v>12.0</v>
      </c>
      <c r="B18" s="58" t="s">
        <v>80</v>
      </c>
      <c r="C18" s="59" t="s">
        <v>81</v>
      </c>
      <c r="D18" s="212">
        <v>0.67</v>
      </c>
      <c r="E18" s="31"/>
      <c r="F18" s="213" t="s">
        <v>251</v>
      </c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>
      <c r="A19" s="207">
        <v>13.0</v>
      </c>
      <c r="B19" s="58" t="s">
        <v>82</v>
      </c>
      <c r="C19" s="59" t="s">
        <v>83</v>
      </c>
      <c r="D19" s="212">
        <v>0.7</v>
      </c>
      <c r="E19" s="39"/>
      <c r="F19" s="213" t="s">
        <v>251</v>
      </c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>
      <c r="A20" s="207">
        <v>14.0</v>
      </c>
      <c r="B20" s="65" t="s">
        <v>84</v>
      </c>
      <c r="C20" s="66" t="s">
        <v>85</v>
      </c>
      <c r="D20" s="212">
        <v>0.71</v>
      </c>
      <c r="E20" s="217"/>
      <c r="F20" s="218" t="s">
        <v>249</v>
      </c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>
      <c r="A21" s="207">
        <v>15.0</v>
      </c>
      <c r="B21" s="65" t="s">
        <v>86</v>
      </c>
      <c r="C21" s="66" t="s">
        <v>87</v>
      </c>
      <c r="D21" s="212">
        <v>0.4</v>
      </c>
      <c r="E21" s="217" t="s">
        <v>185</v>
      </c>
      <c r="F21" s="213" t="s">
        <v>251</v>
      </c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</row>
    <row r="22">
      <c r="A22" s="207">
        <v>16.0</v>
      </c>
      <c r="B22" s="65" t="s">
        <v>96</v>
      </c>
      <c r="C22" s="66" t="s">
        <v>97</v>
      </c>
      <c r="D22" s="212">
        <v>0.65</v>
      </c>
      <c r="E22" s="217"/>
      <c r="F22" s="213" t="s">
        <v>252</v>
      </c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</row>
    <row r="23">
      <c r="A23" s="207">
        <v>17.0</v>
      </c>
      <c r="B23" s="65" t="s">
        <v>98</v>
      </c>
      <c r="C23" s="66" t="s">
        <v>99</v>
      </c>
      <c r="D23" s="212">
        <v>0.53</v>
      </c>
      <c r="E23" s="217"/>
      <c r="F23" s="213" t="s">
        <v>253</v>
      </c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</row>
    <row r="24">
      <c r="A24" s="207">
        <v>18.0</v>
      </c>
      <c r="B24" s="65" t="s">
        <v>100</v>
      </c>
      <c r="C24" s="66" t="s">
        <v>101</v>
      </c>
      <c r="D24" s="212">
        <v>0.65</v>
      </c>
      <c r="E24" s="217"/>
      <c r="F24" s="213" t="s">
        <v>249</v>
      </c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</row>
    <row r="25">
      <c r="A25" s="207">
        <v>19.0</v>
      </c>
      <c r="B25" s="67" t="s">
        <v>104</v>
      </c>
      <c r="C25" s="66" t="s">
        <v>105</v>
      </c>
      <c r="D25" s="212">
        <v>0.53</v>
      </c>
      <c r="E25" s="217"/>
      <c r="F25" s="213" t="s">
        <v>254</v>
      </c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</row>
    <row r="26">
      <c r="A26" s="207">
        <v>20.0</v>
      </c>
      <c r="B26" s="67" t="s">
        <v>108</v>
      </c>
      <c r="C26" s="69" t="s">
        <v>109</v>
      </c>
      <c r="D26" s="212">
        <v>0.56</v>
      </c>
      <c r="E26" s="219"/>
      <c r="F26" s="213" t="s">
        <v>250</v>
      </c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</row>
    <row r="27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</row>
    <row r="28">
      <c r="A28" s="198"/>
      <c r="B28" s="216" t="s">
        <v>241</v>
      </c>
      <c r="C28" s="198"/>
      <c r="D28" s="198"/>
      <c r="E28" s="198"/>
      <c r="F28" s="216" t="s">
        <v>205</v>
      </c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</row>
    <row r="36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</row>
    <row r="38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</row>
    <row r="39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</row>
    <row r="40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</row>
    <row r="41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</row>
    <row r="42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</row>
    <row r="48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</row>
    <row r="49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</row>
    <row r="50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</row>
    <row r="51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</row>
    <row r="52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</row>
    <row r="53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</row>
    <row r="54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</row>
    <row r="5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</row>
    <row r="56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</row>
    <row r="57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</row>
    <row r="58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</row>
    <row r="60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</row>
    <row r="61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</row>
    <row r="62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</row>
    <row r="63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</row>
    <row r="64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</row>
    <row r="65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</row>
    <row r="66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</row>
    <row r="67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</row>
    <row r="68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</row>
    <row r="69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</row>
    <row r="70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</row>
    <row r="7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</row>
    <row r="72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</row>
    <row r="73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</row>
    <row r="74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</row>
    <row r="75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</row>
    <row r="76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</row>
    <row r="77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</row>
    <row r="8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</row>
    <row r="82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</row>
    <row r="83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</row>
    <row r="84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</row>
    <row r="85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</row>
    <row r="86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</row>
    <row r="87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</row>
    <row r="88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</row>
    <row r="89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</row>
    <row r="90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</row>
    <row r="9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</row>
    <row r="92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</row>
    <row r="93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</row>
    <row r="94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</row>
    <row r="9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</row>
    <row r="96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</row>
    <row r="97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</row>
    <row r="98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</row>
    <row r="99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</row>
    <row r="100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</row>
    <row r="101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</row>
    <row r="102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</row>
    <row r="103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</row>
    <row r="104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</row>
    <row r="10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</row>
    <row r="106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</row>
    <row r="107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</row>
    <row r="108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</row>
    <row r="109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</row>
    <row r="110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</row>
    <row r="111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</row>
    <row r="112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</row>
    <row r="113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</row>
    <row r="114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</row>
    <row r="1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</row>
    <row r="116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</row>
    <row r="117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</row>
    <row r="118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</row>
    <row r="119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</row>
    <row r="120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</row>
    <row r="121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</row>
    <row r="122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</row>
    <row r="123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</row>
    <row r="124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</row>
    <row r="125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</row>
    <row r="126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</row>
    <row r="127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</row>
    <row r="128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</row>
    <row r="129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</row>
    <row r="130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</row>
    <row r="131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</row>
    <row r="132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</row>
    <row r="133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</row>
    <row r="134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</row>
    <row r="13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</row>
    <row r="136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</row>
    <row r="137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</row>
    <row r="138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</row>
    <row r="139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</row>
    <row r="140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</row>
    <row r="141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</row>
    <row r="142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</row>
    <row r="143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</row>
    <row r="144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</row>
    <row r="145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</row>
    <row r="146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</row>
    <row r="147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</row>
    <row r="148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</row>
    <row r="149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</row>
    <row r="150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</row>
    <row r="151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</row>
    <row r="152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</row>
    <row r="153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</row>
    <row r="154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</row>
    <row r="155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</row>
    <row r="156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</row>
    <row r="157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</row>
    <row r="158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</row>
    <row r="159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</row>
    <row r="160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</row>
    <row r="161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</row>
    <row r="162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</row>
    <row r="163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</row>
    <row r="164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</row>
    <row r="16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</row>
    <row r="166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</row>
    <row r="167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</row>
    <row r="168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</row>
    <row r="169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</row>
    <row r="170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</row>
    <row r="171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</row>
    <row r="172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</row>
    <row r="173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</row>
    <row r="174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</row>
    <row r="175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</row>
    <row r="176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</row>
    <row r="177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</row>
    <row r="178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</row>
    <row r="179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</row>
    <row r="180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</row>
    <row r="181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</row>
    <row r="182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</row>
    <row r="183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</row>
    <row r="184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</row>
    <row r="185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</row>
    <row r="186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</row>
    <row r="187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</row>
    <row r="188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</row>
    <row r="189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</row>
    <row r="190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</row>
    <row r="191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</row>
    <row r="192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</row>
    <row r="193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</row>
    <row r="194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</row>
    <row r="19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</row>
    <row r="196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</row>
    <row r="197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</row>
    <row r="198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</row>
    <row r="199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</row>
    <row r="200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</row>
    <row r="201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</row>
    <row r="202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</row>
    <row r="203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</row>
    <row r="204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</row>
    <row r="205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</row>
    <row r="206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</row>
    <row r="207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</row>
    <row r="208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</row>
    <row r="209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</row>
    <row r="210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</row>
    <row r="211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</row>
    <row r="212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</row>
    <row r="213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</row>
    <row r="214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</row>
    <row r="215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</row>
    <row r="216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</row>
    <row r="217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</row>
    <row r="218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</row>
    <row r="219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</row>
    <row r="220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</row>
    <row r="221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</row>
    <row r="222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</row>
    <row r="223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</row>
    <row r="224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</row>
    <row r="22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</row>
    <row r="226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</row>
    <row r="227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</row>
    <row r="228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</row>
    <row r="229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</row>
    <row r="230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</row>
    <row r="231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</row>
    <row r="232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</row>
    <row r="233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</row>
    <row r="234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</row>
    <row r="235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</row>
    <row r="236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</row>
    <row r="237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</row>
    <row r="238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</row>
    <row r="239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</row>
    <row r="240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</row>
    <row r="241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</row>
    <row r="242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</row>
    <row r="243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</row>
    <row r="244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</row>
    <row r="245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</row>
    <row r="246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</row>
    <row r="247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</row>
    <row r="248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</row>
    <row r="249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</row>
    <row r="250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</row>
    <row r="251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</row>
    <row r="252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</row>
    <row r="253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</row>
    <row r="254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</row>
    <row r="25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</row>
    <row r="256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</row>
    <row r="257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</row>
    <row r="258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</row>
    <row r="259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</row>
    <row r="260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</row>
    <row r="261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</row>
    <row r="262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</row>
    <row r="263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</row>
    <row r="264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</row>
    <row r="265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</row>
    <row r="266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</row>
    <row r="267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</row>
    <row r="268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</row>
    <row r="269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</row>
    <row r="270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</row>
    <row r="271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</row>
    <row r="272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</row>
    <row r="273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</row>
    <row r="274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</row>
    <row r="27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</row>
    <row r="276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</row>
    <row r="277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</row>
    <row r="278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</row>
    <row r="279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</row>
    <row r="280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</row>
    <row r="281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</row>
    <row r="282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</row>
    <row r="283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</row>
    <row r="284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</row>
    <row r="285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</row>
    <row r="286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</row>
    <row r="287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</row>
    <row r="288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</row>
    <row r="289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</row>
    <row r="290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</row>
    <row r="291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</row>
    <row r="292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</row>
    <row r="293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</row>
    <row r="294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</row>
    <row r="29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</row>
    <row r="296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</row>
    <row r="297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</row>
    <row r="298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</row>
    <row r="299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</row>
    <row r="300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</row>
    <row r="301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</row>
    <row r="302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</row>
    <row r="303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</row>
    <row r="304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</row>
    <row r="305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</row>
    <row r="306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</row>
    <row r="307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</row>
    <row r="308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</row>
    <row r="309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</row>
    <row r="310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</row>
    <row r="311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</row>
    <row r="312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</row>
    <row r="313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</row>
    <row r="314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</row>
    <row r="315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</row>
    <row r="316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</row>
    <row r="317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</row>
    <row r="319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</row>
    <row r="320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</row>
    <row r="321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</row>
    <row r="322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</row>
    <row r="323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</row>
    <row r="324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</row>
    <row r="32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</row>
    <row r="326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</row>
    <row r="327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</row>
    <row r="328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</row>
    <row r="329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</row>
    <row r="330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</row>
    <row r="331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</row>
    <row r="332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</row>
    <row r="333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</row>
    <row r="334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</row>
    <row r="33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</row>
    <row r="336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</row>
    <row r="337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</row>
    <row r="338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</row>
    <row r="339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</row>
    <row r="340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</row>
    <row r="341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</row>
    <row r="342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</row>
    <row r="343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</row>
    <row r="344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</row>
    <row r="34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</row>
    <row r="346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</row>
    <row r="347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</row>
    <row r="348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</row>
    <row r="349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</row>
    <row r="350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</row>
    <row r="351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</row>
    <row r="352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</row>
    <row r="353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</row>
    <row r="354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</row>
    <row r="35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</row>
    <row r="356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</row>
    <row r="357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</row>
    <row r="358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</row>
    <row r="359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</row>
    <row r="360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</row>
    <row r="361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</row>
    <row r="362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</row>
    <row r="363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</row>
    <row r="364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</row>
    <row r="36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</row>
    <row r="366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</row>
    <row r="367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</row>
    <row r="368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</row>
    <row r="369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</row>
    <row r="370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</row>
    <row r="371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</row>
    <row r="372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</row>
    <row r="373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</row>
    <row r="374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</row>
    <row r="37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</row>
    <row r="376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</row>
    <row r="377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</row>
    <row r="378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</row>
    <row r="379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</row>
    <row r="380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</row>
    <row r="381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</row>
    <row r="382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</row>
    <row r="383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</row>
    <row r="384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</row>
    <row r="38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</row>
    <row r="386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</row>
    <row r="387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</row>
    <row r="388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</row>
    <row r="389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</row>
    <row r="390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</row>
    <row r="391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</row>
    <row r="392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</row>
    <row r="393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</row>
    <row r="394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</row>
    <row r="39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</row>
    <row r="396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</row>
    <row r="397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</row>
    <row r="398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</row>
    <row r="399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</row>
    <row r="400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</row>
    <row r="401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</row>
    <row r="402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</row>
    <row r="403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</row>
    <row r="404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</row>
    <row r="40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</row>
    <row r="406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</row>
    <row r="407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</row>
    <row r="408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</row>
    <row r="409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</row>
    <row r="410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</row>
    <row r="411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</row>
    <row r="412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</row>
    <row r="413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</row>
    <row r="414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</row>
    <row r="41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</row>
    <row r="416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</row>
    <row r="417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</row>
    <row r="418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</row>
    <row r="419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</row>
    <row r="420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</row>
    <row r="421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</row>
    <row r="422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</row>
    <row r="423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</row>
    <row r="424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</row>
    <row r="42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</row>
    <row r="426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</row>
    <row r="427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</row>
    <row r="428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</row>
    <row r="429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</row>
    <row r="430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</row>
    <row r="431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</row>
    <row r="432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</row>
    <row r="433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</row>
    <row r="434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</row>
    <row r="43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</row>
    <row r="436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</row>
    <row r="437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</row>
    <row r="438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</row>
    <row r="439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</row>
    <row r="440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</row>
    <row r="441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</row>
    <row r="442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</row>
    <row r="443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</row>
    <row r="444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</row>
    <row r="44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</row>
    <row r="446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</row>
    <row r="447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</row>
    <row r="448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</row>
    <row r="449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</row>
    <row r="450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</row>
    <row r="451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</row>
    <row r="452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</row>
    <row r="453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</row>
    <row r="454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</row>
    <row r="45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</row>
    <row r="456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</row>
    <row r="457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</row>
    <row r="458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</row>
    <row r="459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</row>
    <row r="460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</row>
    <row r="461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</row>
    <row r="462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</row>
    <row r="463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</row>
    <row r="464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</row>
    <row r="46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</row>
    <row r="466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</row>
    <row r="467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</row>
    <row r="468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</row>
    <row r="469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</row>
    <row r="470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</row>
    <row r="471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</row>
    <row r="472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</row>
    <row r="473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</row>
    <row r="474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</row>
    <row r="47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</row>
    <row r="476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</row>
    <row r="477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</row>
    <row r="478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</row>
    <row r="479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</row>
    <row r="480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</row>
    <row r="481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</row>
    <row r="482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</row>
    <row r="483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</row>
    <row r="484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</row>
    <row r="48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</row>
    <row r="486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</row>
    <row r="487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</row>
    <row r="488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</row>
    <row r="489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</row>
    <row r="490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</row>
    <row r="491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</row>
    <row r="492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</row>
    <row r="493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</row>
    <row r="494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</row>
    <row r="49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</row>
    <row r="496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</row>
    <row r="497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</row>
    <row r="498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</row>
    <row r="499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</row>
    <row r="500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</row>
    <row r="501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</row>
    <row r="502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</row>
    <row r="503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</row>
    <row r="504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</row>
    <row r="50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</row>
    <row r="506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</row>
    <row r="507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</row>
    <row r="508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</row>
    <row r="509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</row>
    <row r="510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</row>
    <row r="511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</row>
    <row r="512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</row>
    <row r="513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</row>
    <row r="514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</row>
    <row r="51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</row>
    <row r="516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</row>
    <row r="517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</row>
    <row r="518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</row>
    <row r="519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</row>
    <row r="520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</row>
    <row r="521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</row>
    <row r="522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</row>
    <row r="523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</row>
    <row r="524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</row>
    <row r="52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</row>
    <row r="526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</row>
    <row r="527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</row>
    <row r="528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</row>
    <row r="529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</row>
    <row r="530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</row>
    <row r="531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</row>
    <row r="532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</row>
    <row r="533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</row>
    <row r="534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</row>
    <row r="53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</row>
    <row r="536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</row>
    <row r="537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</row>
    <row r="538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</row>
    <row r="539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</row>
    <row r="540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</row>
    <row r="541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</row>
    <row r="542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</row>
    <row r="543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</row>
    <row r="544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</row>
    <row r="54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</row>
    <row r="546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</row>
    <row r="547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</row>
    <row r="548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</row>
    <row r="549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</row>
    <row r="550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</row>
    <row r="551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</row>
    <row r="552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</row>
    <row r="553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</row>
    <row r="554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</row>
    <row r="55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</row>
    <row r="556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</row>
    <row r="557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</row>
    <row r="558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</row>
    <row r="559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</row>
    <row r="560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</row>
    <row r="561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</row>
    <row r="562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</row>
    <row r="563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</row>
    <row r="564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</row>
    <row r="56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</row>
    <row r="566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</row>
    <row r="567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</row>
    <row r="568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</row>
    <row r="569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</row>
    <row r="570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</row>
    <row r="571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</row>
    <row r="572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</row>
    <row r="573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</row>
    <row r="574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</row>
    <row r="57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</row>
    <row r="576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</row>
    <row r="577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</row>
    <row r="578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</row>
    <row r="579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</row>
    <row r="580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</row>
    <row r="581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</row>
    <row r="582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</row>
    <row r="583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</row>
    <row r="584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</row>
    <row r="58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</row>
    <row r="586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</row>
    <row r="587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</row>
    <row r="588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</row>
    <row r="589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</row>
    <row r="590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</row>
    <row r="591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</row>
    <row r="592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</row>
    <row r="593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</row>
    <row r="594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</row>
    <row r="59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</row>
    <row r="596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</row>
    <row r="597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</row>
    <row r="598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</row>
    <row r="599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</row>
    <row r="600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</row>
    <row r="601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</row>
    <row r="602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</row>
    <row r="603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</row>
    <row r="604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</row>
    <row r="60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</row>
    <row r="606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</row>
    <row r="607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</row>
    <row r="608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</row>
    <row r="609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</row>
    <row r="610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</row>
    <row r="611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</row>
    <row r="612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</row>
    <row r="613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</row>
    <row r="614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</row>
    <row r="61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</row>
    <row r="616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</row>
    <row r="617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</row>
    <row r="618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</row>
    <row r="619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</row>
    <row r="620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</row>
    <row r="621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</row>
    <row r="622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</row>
    <row r="623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</row>
    <row r="624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</row>
    <row r="62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</row>
    <row r="626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</row>
    <row r="627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</row>
    <row r="628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</row>
    <row r="629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</row>
    <row r="630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</row>
    <row r="631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</row>
    <row r="632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</row>
    <row r="633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</row>
    <row r="634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</row>
    <row r="63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</row>
    <row r="636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</row>
    <row r="637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</row>
    <row r="638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</row>
    <row r="639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</row>
    <row r="640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</row>
    <row r="641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</row>
    <row r="642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</row>
    <row r="643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</row>
    <row r="644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</row>
    <row r="64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</row>
    <row r="646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</row>
    <row r="647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</row>
    <row r="648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</row>
    <row r="649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</row>
    <row r="650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</row>
    <row r="651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</row>
    <row r="652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</row>
    <row r="653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</row>
    <row r="654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</row>
    <row r="65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</row>
    <row r="656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</row>
    <row r="657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</row>
    <row r="658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</row>
    <row r="659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</row>
    <row r="660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</row>
    <row r="661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</row>
    <row r="662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</row>
    <row r="663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</row>
    <row r="664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</row>
    <row r="66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</row>
    <row r="666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</row>
    <row r="667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</row>
    <row r="668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</row>
    <row r="669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</row>
    <row r="670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</row>
    <row r="671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</row>
    <row r="672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</row>
    <row r="673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</row>
    <row r="674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</row>
    <row r="67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</row>
    <row r="676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</row>
    <row r="677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</row>
    <row r="678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</row>
    <row r="679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</row>
    <row r="680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</row>
    <row r="681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</row>
    <row r="682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</row>
    <row r="683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</row>
    <row r="684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</row>
    <row r="68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</row>
    <row r="686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</row>
    <row r="687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</row>
    <row r="688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</row>
    <row r="689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</row>
    <row r="690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</row>
    <row r="691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</row>
    <row r="692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</row>
    <row r="693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</row>
    <row r="694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</row>
    <row r="69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</row>
    <row r="696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</row>
    <row r="697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</row>
    <row r="698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</row>
    <row r="699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</row>
    <row r="700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</row>
    <row r="701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</row>
    <row r="702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</row>
    <row r="703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</row>
    <row r="704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</row>
    <row r="70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</row>
    <row r="706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</row>
    <row r="707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</row>
    <row r="708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</row>
    <row r="709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</row>
    <row r="710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</row>
    <row r="711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</row>
    <row r="712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</row>
    <row r="713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</row>
    <row r="714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</row>
    <row r="71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</row>
    <row r="716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</row>
    <row r="717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</row>
    <row r="718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</row>
    <row r="719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</row>
    <row r="720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</row>
    <row r="721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</row>
    <row r="722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</row>
    <row r="723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</row>
    <row r="724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</row>
    <row r="72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</row>
    <row r="726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</row>
    <row r="727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</row>
    <row r="728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</row>
    <row r="729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</row>
    <row r="730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</row>
    <row r="731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</row>
    <row r="732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</row>
    <row r="733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</row>
    <row r="734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</row>
    <row r="73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</row>
    <row r="736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</row>
    <row r="737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</row>
    <row r="738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</row>
    <row r="739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</row>
    <row r="740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</row>
    <row r="741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</row>
    <row r="742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</row>
    <row r="743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</row>
    <row r="744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</row>
    <row r="74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</row>
    <row r="746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</row>
    <row r="747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</row>
    <row r="748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</row>
    <row r="749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</row>
    <row r="750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</row>
    <row r="751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</row>
    <row r="752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</row>
    <row r="753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</row>
    <row r="754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</row>
    <row r="75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</row>
    <row r="756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</row>
    <row r="757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</row>
    <row r="758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</row>
    <row r="759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</row>
    <row r="760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</row>
    <row r="761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</row>
    <row r="762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</row>
    <row r="763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</row>
    <row r="764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</row>
    <row r="76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</row>
    <row r="766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</row>
    <row r="767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</row>
    <row r="768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</row>
    <row r="769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</row>
    <row r="770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</row>
    <row r="771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</row>
    <row r="772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</row>
    <row r="773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</row>
    <row r="774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</row>
    <row r="77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</row>
    <row r="776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</row>
    <row r="777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</row>
    <row r="778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</row>
    <row r="779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</row>
    <row r="780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</row>
    <row r="781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</row>
    <row r="782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</row>
    <row r="783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</row>
    <row r="784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</row>
    <row r="78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</row>
    <row r="786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</row>
    <row r="787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</row>
    <row r="788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</row>
    <row r="789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</row>
    <row r="790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</row>
    <row r="791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</row>
    <row r="792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</row>
    <row r="793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</row>
    <row r="794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</row>
    <row r="79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</row>
    <row r="796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</row>
    <row r="797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</row>
    <row r="798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</row>
    <row r="799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</row>
    <row r="800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</row>
    <row r="801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</row>
    <row r="802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</row>
    <row r="803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</row>
    <row r="804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</row>
    <row r="80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</row>
    <row r="806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</row>
    <row r="807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</row>
    <row r="808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</row>
    <row r="809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</row>
    <row r="810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</row>
    <row r="811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</row>
    <row r="812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</row>
    <row r="813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</row>
    <row r="814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</row>
    <row r="81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</row>
    <row r="816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</row>
    <row r="817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</row>
    <row r="818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</row>
    <row r="819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</row>
    <row r="820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</row>
    <row r="821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</row>
    <row r="822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</row>
    <row r="823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</row>
    <row r="824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</row>
    <row r="82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</row>
    <row r="826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</row>
    <row r="827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</row>
    <row r="828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</row>
    <row r="829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</row>
    <row r="830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</row>
    <row r="831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</row>
    <row r="832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</row>
    <row r="833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</row>
    <row r="834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</row>
    <row r="83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</row>
    <row r="836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</row>
    <row r="837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</row>
    <row r="838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</row>
    <row r="839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</row>
    <row r="840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</row>
    <row r="841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</row>
    <row r="842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</row>
    <row r="843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</row>
    <row r="844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</row>
    <row r="84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</row>
    <row r="846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</row>
    <row r="847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</row>
    <row r="848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</row>
    <row r="849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</row>
    <row r="850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</row>
    <row r="851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</row>
    <row r="852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</row>
    <row r="853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</row>
    <row r="854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</row>
    <row r="85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</row>
    <row r="856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</row>
    <row r="857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</row>
    <row r="858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</row>
    <row r="859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</row>
    <row r="860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</row>
    <row r="861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</row>
    <row r="862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</row>
    <row r="863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</row>
    <row r="864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</row>
    <row r="86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</row>
    <row r="866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</row>
    <row r="867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</row>
    <row r="868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</row>
    <row r="869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</row>
    <row r="870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</row>
    <row r="871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</row>
    <row r="872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</row>
    <row r="873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</row>
    <row r="874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</row>
    <row r="87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</row>
    <row r="876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</row>
    <row r="877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</row>
    <row r="878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</row>
    <row r="879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</row>
    <row r="880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</row>
    <row r="881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</row>
    <row r="882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</row>
    <row r="883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</row>
    <row r="884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</row>
    <row r="88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</row>
    <row r="886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</row>
    <row r="887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</row>
    <row r="888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</row>
    <row r="889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</row>
    <row r="890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</row>
    <row r="891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</row>
    <row r="892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</row>
    <row r="893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</row>
    <row r="894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</row>
    <row r="89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</row>
    <row r="896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</row>
    <row r="897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</row>
    <row r="898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</row>
    <row r="899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</row>
    <row r="900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</row>
    <row r="901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</row>
    <row r="902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</row>
    <row r="903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</row>
    <row r="904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</row>
    <row r="90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</row>
    <row r="906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</row>
    <row r="907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</row>
    <row r="908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</row>
    <row r="909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</row>
    <row r="910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</row>
    <row r="911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</row>
    <row r="912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</row>
    <row r="913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</row>
    <row r="914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</row>
    <row r="91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</row>
    <row r="916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</row>
    <row r="917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</row>
    <row r="918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</row>
    <row r="919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</row>
    <row r="920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</row>
    <row r="921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</row>
    <row r="922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</row>
    <row r="923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</row>
    <row r="924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</row>
    <row r="92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</row>
    <row r="926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</row>
    <row r="927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</row>
    <row r="928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</row>
    <row r="929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</row>
    <row r="930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</row>
    <row r="931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</row>
    <row r="932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</row>
    <row r="933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</row>
    <row r="934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</row>
    <row r="93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</row>
    <row r="936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</row>
    <row r="937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</row>
    <row r="938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</row>
    <row r="939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</row>
    <row r="940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</row>
    <row r="941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</row>
    <row r="942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</row>
    <row r="943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</row>
    <row r="944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</row>
    <row r="94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</row>
    <row r="946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</row>
    <row r="947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</row>
    <row r="948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</row>
    <row r="949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</row>
    <row r="950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</row>
    <row r="951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</row>
    <row r="952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</row>
    <row r="953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</row>
    <row r="954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</row>
    <row r="95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</row>
    <row r="956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</row>
    <row r="957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</row>
    <row r="958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</row>
    <row r="959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</row>
    <row r="960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</row>
    <row r="961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</row>
    <row r="962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</row>
    <row r="963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</row>
    <row r="964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</row>
    <row r="965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</row>
    <row r="966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</row>
    <row r="967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</row>
    <row r="968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</row>
    <row r="969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</row>
    <row r="970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</row>
    <row r="971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</row>
    <row r="972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</row>
    <row r="973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</row>
    <row r="974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</row>
  </sheetData>
  <mergeCells count="7">
    <mergeCell ref="A1:F1"/>
    <mergeCell ref="A2:F2"/>
    <mergeCell ref="A3:F3"/>
    <mergeCell ref="A4:F4"/>
    <mergeCell ref="A5:F5"/>
    <mergeCell ref="E7:E12"/>
    <mergeCell ref="E13:E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1.63"/>
    <col customWidth="1" min="4" max="4" width="33.13"/>
    <col customWidth="1" min="5" max="5" width="15.75"/>
  </cols>
  <sheetData>
    <row r="3">
      <c r="A3" s="220" t="s">
        <v>9</v>
      </c>
      <c r="B3" s="220" t="s">
        <v>255</v>
      </c>
      <c r="C3" s="220" t="s">
        <v>221</v>
      </c>
      <c r="D3" s="220" t="s">
        <v>256</v>
      </c>
      <c r="E3" s="220" t="s">
        <v>257</v>
      </c>
    </row>
    <row r="4">
      <c r="A4" s="218" t="s">
        <v>40</v>
      </c>
      <c r="B4" s="218" t="s">
        <v>258</v>
      </c>
      <c r="C4" s="218" t="s">
        <v>259</v>
      </c>
      <c r="D4" s="218" t="s">
        <v>260</v>
      </c>
      <c r="E4" s="218" t="s">
        <v>261</v>
      </c>
    </row>
    <row r="5">
      <c r="A5" s="218" t="s">
        <v>72</v>
      </c>
      <c r="B5" s="218" t="s">
        <v>262</v>
      </c>
      <c r="C5" s="218" t="s">
        <v>259</v>
      </c>
      <c r="D5" s="221"/>
      <c r="E5" s="221"/>
    </row>
    <row r="6">
      <c r="A6" s="218" t="s">
        <v>62</v>
      </c>
      <c r="B6" s="218" t="s">
        <v>263</v>
      </c>
      <c r="C6" s="218" t="s">
        <v>259</v>
      </c>
      <c r="D6" s="221"/>
      <c r="E6" s="221"/>
    </row>
    <row r="7">
      <c r="A7" s="222"/>
      <c r="B7" s="222"/>
      <c r="C7" s="222"/>
      <c r="D7" s="222"/>
      <c r="E7" s="222"/>
    </row>
    <row r="8">
      <c r="A8" s="218" t="s">
        <v>52</v>
      </c>
      <c r="B8" s="218" t="s">
        <v>264</v>
      </c>
      <c r="C8" s="218" t="s">
        <v>265</v>
      </c>
      <c r="D8" s="218" t="s">
        <v>266</v>
      </c>
      <c r="E8" s="221"/>
    </row>
    <row r="9">
      <c r="A9" s="221"/>
      <c r="B9" s="221"/>
      <c r="C9" s="218" t="s">
        <v>267</v>
      </c>
      <c r="D9" s="218" t="s">
        <v>268</v>
      </c>
      <c r="E9" s="221"/>
    </row>
    <row r="10">
      <c r="A10" s="222"/>
      <c r="B10" s="222"/>
      <c r="C10" s="222"/>
      <c r="D10" s="222"/>
      <c r="E10" s="222"/>
    </row>
    <row r="11">
      <c r="A11" s="65" t="s">
        <v>98</v>
      </c>
      <c r="B11" s="218" t="s">
        <v>269</v>
      </c>
      <c r="C11" s="218" t="s">
        <v>270</v>
      </c>
      <c r="D11" s="218" t="s">
        <v>271</v>
      </c>
      <c r="E11" s="221"/>
    </row>
    <row r="12">
      <c r="A12" s="223"/>
      <c r="B12" s="223"/>
      <c r="C12" s="223"/>
      <c r="D12" s="223"/>
      <c r="E12" s="223"/>
    </row>
    <row r="13">
      <c r="A13" s="220" t="s">
        <v>272</v>
      </c>
      <c r="B13" s="221"/>
      <c r="C13" s="221"/>
      <c r="D13" s="221"/>
      <c r="E13" s="221"/>
    </row>
    <row r="14">
      <c r="A14" s="218" t="s">
        <v>26</v>
      </c>
      <c r="B14" s="218" t="s">
        <v>273</v>
      </c>
      <c r="C14" s="224" t="s">
        <v>274</v>
      </c>
      <c r="D14" s="224" t="s">
        <v>275</v>
      </c>
      <c r="E14" s="221"/>
    </row>
    <row r="15">
      <c r="A15" s="218" t="s">
        <v>28</v>
      </c>
      <c r="B15" s="218" t="s">
        <v>276</v>
      </c>
      <c r="C15" s="31"/>
      <c r="D15" s="31"/>
      <c r="E15" s="221"/>
    </row>
    <row r="16">
      <c r="A16" s="218" t="s">
        <v>84</v>
      </c>
      <c r="B16" s="218" t="s">
        <v>277</v>
      </c>
      <c r="C16" s="39"/>
      <c r="D16" s="39"/>
      <c r="E16" s="221"/>
    </row>
    <row r="17">
      <c r="A17" s="222"/>
      <c r="B17" s="222"/>
      <c r="C17" s="222"/>
      <c r="D17" s="222"/>
      <c r="E17" s="222"/>
    </row>
    <row r="18">
      <c r="A18" s="218" t="s">
        <v>84</v>
      </c>
      <c r="B18" s="218" t="s">
        <v>278</v>
      </c>
      <c r="C18" s="218" t="s">
        <v>279</v>
      </c>
      <c r="D18" s="218" t="s">
        <v>280</v>
      </c>
      <c r="E18" s="221"/>
    </row>
    <row r="19">
      <c r="A19" s="222"/>
      <c r="B19" s="222"/>
      <c r="C19" s="222"/>
      <c r="D19" s="222"/>
      <c r="E19" s="222"/>
    </row>
    <row r="20">
      <c r="A20" s="218" t="s">
        <v>78</v>
      </c>
      <c r="B20" s="218" t="s">
        <v>281</v>
      </c>
      <c r="C20" s="218" t="s">
        <v>282</v>
      </c>
      <c r="D20" s="218" t="s">
        <v>283</v>
      </c>
      <c r="E20" s="221"/>
    </row>
    <row r="21">
      <c r="A21" s="221"/>
      <c r="B21" s="221"/>
      <c r="C21" s="218" t="s">
        <v>282</v>
      </c>
      <c r="D21" s="218" t="s">
        <v>284</v>
      </c>
      <c r="E21" s="221"/>
    </row>
    <row r="22">
      <c r="A22" s="222"/>
      <c r="B22" s="222"/>
      <c r="C22" s="222"/>
      <c r="D22" s="222"/>
      <c r="E22" s="222"/>
    </row>
    <row r="23">
      <c r="A23" s="218" t="s">
        <v>82</v>
      </c>
      <c r="B23" s="218" t="s">
        <v>285</v>
      </c>
      <c r="C23" s="218" t="s">
        <v>282</v>
      </c>
      <c r="D23" s="218" t="s">
        <v>286</v>
      </c>
      <c r="E23" s="221"/>
    </row>
    <row r="24">
      <c r="A24" s="221"/>
      <c r="B24" s="221"/>
      <c r="C24" s="218" t="s">
        <v>282</v>
      </c>
      <c r="D24" s="218" t="s">
        <v>287</v>
      </c>
      <c r="E24" s="221"/>
    </row>
    <row r="25">
      <c r="A25" s="222"/>
      <c r="B25" s="222"/>
      <c r="C25" s="222"/>
      <c r="D25" s="222"/>
      <c r="E25" s="222"/>
    </row>
    <row r="26">
      <c r="A26" s="218" t="s">
        <v>46</v>
      </c>
      <c r="B26" s="218" t="s">
        <v>288</v>
      </c>
      <c r="C26" s="218" t="s">
        <v>282</v>
      </c>
      <c r="D26" s="218" t="s">
        <v>289</v>
      </c>
      <c r="E26" s="221"/>
    </row>
    <row r="27">
      <c r="A27" s="222"/>
      <c r="B27" s="222"/>
      <c r="C27" s="222"/>
      <c r="D27" s="222"/>
      <c r="E27" s="222"/>
    </row>
    <row r="28">
      <c r="A28" s="218" t="s">
        <v>48</v>
      </c>
      <c r="B28" s="218" t="s">
        <v>290</v>
      </c>
      <c r="C28" s="218" t="s">
        <v>270</v>
      </c>
      <c r="D28" s="218" t="s">
        <v>291</v>
      </c>
      <c r="E28" s="221"/>
    </row>
    <row r="29">
      <c r="A29" s="225"/>
      <c r="B29" s="225"/>
      <c r="C29" s="225"/>
      <c r="D29" s="225"/>
      <c r="E29" s="225"/>
    </row>
    <row r="30">
      <c r="A30" s="218" t="s">
        <v>52</v>
      </c>
      <c r="B30" s="218" t="s">
        <v>264</v>
      </c>
      <c r="C30" s="218" t="s">
        <v>292</v>
      </c>
      <c r="D30" s="218" t="s">
        <v>293</v>
      </c>
      <c r="E30" s="221"/>
    </row>
    <row r="31">
      <c r="A31" s="222"/>
      <c r="B31" s="222"/>
      <c r="C31" s="222"/>
      <c r="D31" s="222"/>
      <c r="E31" s="222"/>
    </row>
    <row r="32">
      <c r="A32" s="218" t="s">
        <v>88</v>
      </c>
      <c r="B32" s="218" t="s">
        <v>294</v>
      </c>
      <c r="C32" s="218" t="s">
        <v>282</v>
      </c>
      <c r="D32" s="218" t="s">
        <v>295</v>
      </c>
      <c r="E32" s="221"/>
    </row>
    <row r="33">
      <c r="A33" s="222"/>
      <c r="B33" s="222"/>
      <c r="C33" s="222"/>
      <c r="D33" s="222"/>
      <c r="E33" s="222"/>
    </row>
    <row r="34">
      <c r="A34" s="218" t="s">
        <v>58</v>
      </c>
      <c r="B34" s="218" t="s">
        <v>296</v>
      </c>
      <c r="C34" s="218" t="s">
        <v>297</v>
      </c>
      <c r="D34" s="218" t="s">
        <v>298</v>
      </c>
      <c r="E34" s="221"/>
    </row>
    <row r="35">
      <c r="A35" s="222"/>
      <c r="B35" s="222"/>
      <c r="C35" s="222"/>
      <c r="D35" s="222"/>
      <c r="E35" s="222"/>
    </row>
    <row r="36">
      <c r="A36" s="218" t="s">
        <v>299</v>
      </c>
      <c r="B36" s="218" t="s">
        <v>300</v>
      </c>
      <c r="C36" s="218" t="s">
        <v>297</v>
      </c>
      <c r="D36" s="218" t="s">
        <v>301</v>
      </c>
      <c r="E36" s="221"/>
    </row>
    <row r="37">
      <c r="A37" s="222"/>
      <c r="B37" s="222"/>
      <c r="C37" s="222"/>
      <c r="D37" s="222"/>
      <c r="E37" s="222"/>
    </row>
    <row r="38">
      <c r="A38" s="218" t="s">
        <v>80</v>
      </c>
      <c r="B38" s="218" t="s">
        <v>302</v>
      </c>
      <c r="C38" s="218" t="s">
        <v>282</v>
      </c>
      <c r="D38" s="218" t="s">
        <v>289</v>
      </c>
      <c r="E38" s="221"/>
    </row>
  </sheetData>
  <mergeCells count="2">
    <mergeCell ref="C14:C16"/>
    <mergeCell ref="D14:D1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</cp:coreProperties>
</file>