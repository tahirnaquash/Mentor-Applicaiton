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Sheet1!$E$9:$J$65</definedName>
  </definedNames>
  <calcPr/>
</workbook>
</file>

<file path=xl/sharedStrings.xml><?xml version="1.0" encoding="utf-8"?>
<sst xmlns="http://schemas.openxmlformats.org/spreadsheetml/2006/main" count="178" uniqueCount="134">
  <si>
    <r>
      <rPr>
        <rFont val="Book Antiqua"/>
        <b/>
        <color rgb="FF000000"/>
        <sz val="19.0"/>
      </rPr>
      <t xml:space="preserve">HKBK College of Engineering
</t>
    </r>
    <r>
      <rPr>
        <rFont val="Book Antiqua"/>
        <b val="0"/>
        <color rgb="FF000000"/>
        <sz val="19.0"/>
      </rPr>
      <t xml:space="preserve">Nagawara, Bengaluru-560045
</t>
    </r>
    <r>
      <rPr>
        <rFont val="Book Antiqua"/>
        <b/>
        <color rgb="FF000000"/>
        <sz val="19.0"/>
      </rPr>
      <t>Department of Computer Science and Engineering</t>
    </r>
  </si>
  <si>
    <t>HKBK/TL/022/2025-26</t>
  </si>
  <si>
    <t>AY-2025-26                                             CONSOLIDATED STATEMENT OF FIRST IA MARKS                                    EVEN  Semester</t>
  </si>
  <si>
    <t>Semester:4                                                                        Section: A                                                                        Date: 23.04.2026</t>
  </si>
  <si>
    <t>Sl#</t>
  </si>
  <si>
    <t>USN</t>
  </si>
  <si>
    <t>NAME</t>
  </si>
  <si>
    <t xml:space="preserve">BCS401
Analysis &amp; Design of Algorithms </t>
  </si>
  <si>
    <t xml:space="preserve">BCS402
Microcontrollers </t>
  </si>
  <si>
    <t xml:space="preserve">BCS403
Database Management Systems </t>
  </si>
  <si>
    <t>BCS456C
UI/UX</t>
  </si>
  <si>
    <t xml:space="preserve">BCS405A 
Discrete Mathematical Structures </t>
  </si>
  <si>
    <t xml:space="preserve">BBOC407 
Biology For Computer Engineers </t>
  </si>
  <si>
    <t>BUHK408
 Universal human values course</t>
  </si>
  <si>
    <t>Sub &lt;50%</t>
  </si>
  <si>
    <t>Student Sign</t>
  </si>
  <si>
    <t>1HK23CS140</t>
  </si>
  <si>
    <t>SANTOSH</t>
  </si>
  <si>
    <t>AB</t>
  </si>
  <si>
    <t>1HK24CS001</t>
  </si>
  <si>
    <t>AADARSHA CHAUDHARY</t>
  </si>
  <si>
    <t>1HK24CS002</t>
  </si>
  <si>
    <t>AAIZ TARIQ SHAH QURASHI</t>
  </si>
  <si>
    <t>1HK24CS003</t>
  </si>
  <si>
    <t>ABDUL ALEEM KHAN</t>
  </si>
  <si>
    <t>1HK24CS004</t>
  </si>
  <si>
    <t>ABDUL FAHAD MUSALMAN</t>
  </si>
  <si>
    <t>1HK24CS005</t>
  </si>
  <si>
    <t>ABHISHEK</t>
  </si>
  <si>
    <t>1HK24CS006</t>
  </si>
  <si>
    <t>ABU BAKAR SIDDIQ S R</t>
  </si>
  <si>
    <t>1HK24CS007</t>
  </si>
  <si>
    <t>ADESH S PRADEEP</t>
  </si>
  <si>
    <t>1HK24CS008</t>
  </si>
  <si>
    <t>ADIL NAWAZ</t>
  </si>
  <si>
    <t>1HK24CS009</t>
  </si>
  <si>
    <t>ADITYA DWIVEDI</t>
  </si>
  <si>
    <t>1HK24CS010</t>
  </si>
  <si>
    <t>ADITYA RANA</t>
  </si>
  <si>
    <t>1HK24CS011</t>
  </si>
  <si>
    <t>AFAN PASHA K</t>
  </si>
  <si>
    <t>1HK24CS012</t>
  </si>
  <si>
    <t>AFSHANA P R</t>
  </si>
  <si>
    <t>1HK24CS013</t>
  </si>
  <si>
    <t>AISHWARYA B</t>
  </si>
  <si>
    <t>1HK24CS014</t>
  </si>
  <si>
    <t>AISHWARYA M</t>
  </si>
  <si>
    <t>1HK24CS015</t>
  </si>
  <si>
    <t>AJAY KUMAR TELI</t>
  </si>
  <si>
    <t>1HK24CS016</t>
  </si>
  <si>
    <t>AJJAYYA B N</t>
  </si>
  <si>
    <t>1HK24CS017</t>
  </si>
  <si>
    <t>AKASH DAS</t>
  </si>
  <si>
    <t>1HK24CS018</t>
  </si>
  <si>
    <t>AKASH K L</t>
  </si>
  <si>
    <t>1HK24CS019</t>
  </si>
  <si>
    <t>AKSHYA KUMAR KUSHWAHA</t>
  </si>
  <si>
    <t>1HK24CS020</t>
  </si>
  <si>
    <t>ALISHA R</t>
  </si>
  <si>
    <t>1HK24CS021</t>
  </si>
  <si>
    <t>AMRUTHA K</t>
  </si>
  <si>
    <t>1HK24CS022</t>
  </si>
  <si>
    <t>ANAND BILEMBAGI</t>
  </si>
  <si>
    <t>1HK24CS023</t>
  </si>
  <si>
    <t>ANANTAMMA</t>
  </si>
  <si>
    <t>1HK24CS024</t>
  </si>
  <si>
    <t>ANANYA MADEV MOGER</t>
  </si>
  <si>
    <t>1HK24CS025</t>
  </si>
  <si>
    <t>ANJALI ARYA</t>
  </si>
  <si>
    <t>1HK24CS026</t>
  </si>
  <si>
    <t>ANNS AHMAD BHAT</t>
  </si>
  <si>
    <t>1HK24CS027</t>
  </si>
  <si>
    <t>ANTONY MITHUN</t>
  </si>
  <si>
    <t>1HK24CS028</t>
  </si>
  <si>
    <t>AQSA BANU</t>
  </si>
  <si>
    <t>1HK24CS029</t>
  </si>
  <si>
    <t>ARFA I KHAN</t>
  </si>
  <si>
    <t>1HK24CS030</t>
  </si>
  <si>
    <t>ARJUN B K THAPA</t>
  </si>
  <si>
    <t>1HK24CS031</t>
  </si>
  <si>
    <t>ARUN PRASAD PATEL</t>
  </si>
  <si>
    <t>1HK24CS032</t>
  </si>
  <si>
    <t>ARUN YADAV</t>
  </si>
  <si>
    <t>1HK24CS033</t>
  </si>
  <si>
    <t>ASJAD RAZA</t>
  </si>
  <si>
    <t>1HK24CS034</t>
  </si>
  <si>
    <t>ASRAR AHMED K</t>
  </si>
  <si>
    <t>1HK24CS035</t>
  </si>
  <si>
    <t>ATHIYA KOUSAR</t>
  </si>
  <si>
    <t>1HK24CS036</t>
  </si>
  <si>
    <t>ATHMEEYA B S</t>
  </si>
  <si>
    <t>1HK24CS037</t>
  </si>
  <si>
    <t>ATIYA AFSHAN</t>
  </si>
  <si>
    <t>1HK24CS038</t>
  </si>
  <si>
    <t>AVINASHA AMMAN KERI</t>
  </si>
  <si>
    <t>1HK24CS039</t>
  </si>
  <si>
    <t>AYESHA MUSKAAN</t>
  </si>
  <si>
    <t>1HK24CS040</t>
  </si>
  <si>
    <t>AYUSH KUMAR</t>
  </si>
  <si>
    <t>1HK24CS041</t>
  </si>
  <si>
    <t>B A JUNAID</t>
  </si>
  <si>
    <t>1HK24CS042</t>
  </si>
  <si>
    <t>B SADIYA</t>
  </si>
  <si>
    <t>1HK24CS043</t>
  </si>
  <si>
    <t>B YASHWINI</t>
  </si>
  <si>
    <t>1HK24CS044</t>
  </si>
  <si>
    <t>BANASHANKAR</t>
  </si>
  <si>
    <t>1HK24CS045</t>
  </si>
  <si>
    <t>BATTULA SAI SHREE HARSHA</t>
  </si>
  <si>
    <t>1HK24CS046</t>
  </si>
  <si>
    <t>BHAGAMMA</t>
  </si>
  <si>
    <t>1HK24CS047</t>
  </si>
  <si>
    <t>BHANUSHREE T U</t>
  </si>
  <si>
    <t>1HK24CS048</t>
  </si>
  <si>
    <t>BHAVESH KHADGA</t>
  </si>
  <si>
    <t>1HK24CS050</t>
  </si>
  <si>
    <t>BIBI FATHIMA</t>
  </si>
  <si>
    <t>1HK24CS051</t>
  </si>
  <si>
    <t>BINDU B</t>
  </si>
  <si>
    <t>1HK24CS053</t>
  </si>
  <si>
    <t>C K KAVYA</t>
  </si>
  <si>
    <t>1HK24CS054</t>
  </si>
  <si>
    <t>CETNA D T</t>
  </si>
  <si>
    <t>1HK24CS055</t>
  </si>
  <si>
    <t>CHANDANA GOWDA N</t>
  </si>
  <si>
    <t>Number of Students Present</t>
  </si>
  <si>
    <t>-</t>
  </si>
  <si>
    <t>Number of Students Absent</t>
  </si>
  <si>
    <t>Number of Students scored &lt;22</t>
  </si>
  <si>
    <t>Faculty Signatures</t>
  </si>
  <si>
    <t xml:space="preserve">Signature of Class Teacher    </t>
  </si>
  <si>
    <t xml:space="preserve">Signature of HOD </t>
  </si>
  <si>
    <t>Signature of Principal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</si>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</sst>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6.0"/>
      <color rgb="FF000000"/>
      <name val="Book Antiqua"/>
    </font>
    <font>
      <b/>
      <sz val="17.0"/>
      <color rgb="FF000000"/>
      <name val="Book Antiqua"/>
    </font>
    <font>
      <color theme="1"/>
      <name val="Book Antiqua"/>
    </font>
    <font>
      <b/>
      <sz val="19.0"/>
      <color rgb="FF000000"/>
      <name val="Book Antiqua"/>
    </font>
    <font/>
    <font>
      <sz val="2.0"/>
      <color rgb="FF000000"/>
      <name val="Book Antiqua"/>
    </font>
    <font>
      <sz val="17.0"/>
      <color rgb="FF000000"/>
      <name val="Book Antiqua"/>
    </font>
    <font>
      <b/>
      <sz val="17.0"/>
      <color theme="1"/>
      <name val="Book Antiqua"/>
    </font>
    <font>
      <sz val="19.0"/>
      <color rgb="FF000000"/>
      <name val="Book Antiqua"/>
    </font>
    <font>
      <sz val="19.0"/>
      <color theme="1"/>
      <name val="Book Antiqua"/>
    </font>
    <font>
      <b/>
      <color rgb="FF000000"/>
      <name val="Book Antiqua"/>
    </font>
    <font>
      <b/>
      <sz val="12.0"/>
      <color rgb="FF000000"/>
      <name val="Book Antiqua"/>
    </font>
    <font>
      <sz val="12.0"/>
      <color theme="1"/>
      <name val="Book Antiqua"/>
    </font>
    <font>
      <sz val="12.0"/>
      <color rgb="FF000000"/>
      <name val="Book Antiqua"/>
    </font>
    <font>
      <sz val="17.0"/>
      <color theme="1"/>
      <name val="Book Antiqua"/>
    </font>
    <font>
      <b/>
      <sz val="18.0"/>
      <color theme="1"/>
      <name val="Book Antiqua"/>
    </font>
    <font>
      <b/>
      <sz val="18.0"/>
      <color rgb="FF000000"/>
      <name val="Book Antiqua"/>
    </font>
    <font>
      <b/>
      <sz val="18.0"/>
      <color rgb="FF1F1F1F"/>
      <name val="Book Antiqua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" xfId="0" applyAlignment="1" applyFont="1" applyNumberFormat="1">
      <alignment horizontal="center" readingOrder="0" shrinkToFit="0" wrapText="1"/>
    </xf>
    <xf borderId="0" fillId="0" fontId="3" numFmtId="0" xfId="0" applyFont="1"/>
    <xf borderId="1" fillId="0" fontId="4" numFmtId="0" xfId="0" applyAlignment="1" applyBorder="1" applyFont="1">
      <alignment horizontal="center" readingOrder="0" shrinkToFit="0" wrapText="1"/>
    </xf>
    <xf borderId="2" fillId="0" fontId="5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horizontal="center" readingOrder="0"/>
    </xf>
    <xf borderId="0" fillId="0" fontId="10" numFmtId="0" xfId="0" applyFont="1"/>
    <xf borderId="0" fillId="0" fontId="11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1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13" numFmtId="0" xfId="0" applyAlignment="1" applyFont="1">
      <alignment horizontal="center"/>
    </xf>
    <xf borderId="6" fillId="0" fontId="5" numFmtId="0" xfId="0" applyBorder="1" applyFont="1"/>
    <xf borderId="0" fillId="0" fontId="13" numFmtId="0" xfId="0" applyFont="1"/>
    <xf borderId="0" fillId="0" fontId="14" numFmtId="0" xfId="0" applyAlignment="1" applyFont="1">
      <alignment horizontal="left" shrinkToFit="0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left" readingOrder="0" shrinkToFit="0" vertical="center" wrapText="1"/>
    </xf>
    <xf borderId="5" fillId="0" fontId="15" numFmtId="1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vertical="center"/>
    </xf>
    <xf borderId="5" fillId="0" fontId="15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15" numFmtId="1" xfId="0" applyAlignment="1" applyBorder="1" applyFont="1" applyNumberFormat="1">
      <alignment horizontal="center" shrinkToFit="0" vertical="center" wrapText="1"/>
    </xf>
    <xf borderId="7" fillId="0" fontId="15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vertical="center"/>
    </xf>
    <xf borderId="7" fillId="2" fontId="15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left" readingOrder="0" shrinkToFit="0" wrapText="1"/>
    </xf>
    <xf borderId="5" fillId="0" fontId="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1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17" numFmtId="0" xfId="0" applyAlignment="1" applyFont="1">
      <alignment horizontal="right" readingOrder="0" shrinkToFit="0" vertical="center" wrapText="1"/>
    </xf>
    <xf borderId="0" fillId="3" fontId="18" numFmtId="0" xfId="0" applyAlignment="1" applyFill="1" applyFont="1">
      <alignment horizontal="right" readingOrder="0" shrinkToFit="0" vertical="center" wrapText="1"/>
    </xf>
    <xf borderId="0" fillId="0" fontId="11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38100</xdr:rowOff>
    </xdr:from>
    <xdr:ext cx="752475" cy="752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4.13"/>
    <col customWidth="1" min="3" max="3" width="18.0"/>
    <col customWidth="1" min="4" max="4" width="35.13"/>
    <col customWidth="1" min="5" max="5" width="26.5"/>
    <col customWidth="1" min="6" max="6" width="24.88"/>
    <col customWidth="1" min="7" max="7" width="29.75"/>
    <col customWidth="1" min="8" max="8" width="14.25"/>
    <col customWidth="1" min="9" max="9" width="32.63"/>
    <col customWidth="1" min="10" max="10" width="29.38"/>
    <col customWidth="1" hidden="1" min="11" max="11" width="24.25"/>
    <col customWidth="1" min="12" max="12" width="9.25"/>
    <col customWidth="1" min="13" max="13" width="20.38"/>
  </cols>
  <sheetData>
    <row r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71.25" customHeight="1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7" t="s">
        <v>1</v>
      </c>
      <c r="M2" s="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.5" customHeight="1">
      <c r="A3" s="9"/>
      <c r="B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9.25" customHeight="1">
      <c r="A4" s="11"/>
      <c r="B4" s="11" t="s">
        <v>2</v>
      </c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ht="29.25" customHeight="1">
      <c r="A5" s="14"/>
      <c r="B5" s="14" t="s">
        <v>3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ht="1.5" customHeight="1">
      <c r="A6" s="16"/>
      <c r="B6" s="2"/>
      <c r="C6" s="2"/>
      <c r="D6" s="2"/>
      <c r="E6" s="2"/>
      <c r="F6" s="3"/>
      <c r="G6" s="2"/>
      <c r="H6" s="2"/>
      <c r="I6" s="2"/>
      <c r="J6" s="2"/>
      <c r="K6" s="2"/>
      <c r="L6" s="2"/>
      <c r="M6" s="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78.0" customHeight="1">
      <c r="A7" s="17"/>
      <c r="B7" s="18" t="s">
        <v>4</v>
      </c>
      <c r="C7" s="18" t="s">
        <v>5</v>
      </c>
      <c r="D7" s="18" t="s">
        <v>6</v>
      </c>
      <c r="E7" s="19" t="s">
        <v>7</v>
      </c>
      <c r="F7" s="20" t="s">
        <v>8</v>
      </c>
      <c r="G7" s="19" t="s">
        <v>9</v>
      </c>
      <c r="H7" s="19" t="s">
        <v>10</v>
      </c>
      <c r="I7" s="19" t="s">
        <v>11</v>
      </c>
      <c r="J7" s="19" t="s">
        <v>12</v>
      </c>
      <c r="K7" s="19" t="s">
        <v>13</v>
      </c>
      <c r="L7" s="18" t="s">
        <v>14</v>
      </c>
      <c r="M7" s="18" t="s">
        <v>15</v>
      </c>
      <c r="N7" s="21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ht="23.25" customHeight="1">
      <c r="A8" s="17"/>
      <c r="B8" s="23"/>
      <c r="C8" s="23"/>
      <c r="D8" s="23"/>
      <c r="E8" s="19">
        <v>50.0</v>
      </c>
      <c r="F8" s="20">
        <v>50.0</v>
      </c>
      <c r="G8" s="19">
        <v>50.0</v>
      </c>
      <c r="H8" s="19">
        <v>50.0</v>
      </c>
      <c r="I8" s="19">
        <v>50.0</v>
      </c>
      <c r="J8" s="19">
        <v>50.0</v>
      </c>
      <c r="K8" s="19">
        <v>50.0</v>
      </c>
      <c r="L8" s="23"/>
      <c r="M8" s="2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</row>
    <row r="9" ht="27.75" customHeight="1">
      <c r="A9" s="25"/>
      <c r="B9" s="26">
        <v>1.0</v>
      </c>
      <c r="C9" s="26" t="s">
        <v>16</v>
      </c>
      <c r="D9" s="27" t="s">
        <v>17</v>
      </c>
      <c r="E9" s="26">
        <v>12.0</v>
      </c>
      <c r="F9" s="28" t="s">
        <v>18</v>
      </c>
      <c r="G9" s="29">
        <v>10.0</v>
      </c>
      <c r="H9" s="30">
        <v>37.0</v>
      </c>
      <c r="I9" s="26" t="s">
        <v>18</v>
      </c>
      <c r="J9" s="31">
        <v>21.0</v>
      </c>
      <c r="K9" s="31"/>
      <c r="L9" s="32">
        <v>5.0</v>
      </c>
      <c r="M9" s="33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27.75" customHeight="1">
      <c r="A10" s="25"/>
      <c r="B10" s="26">
        <v>2.0</v>
      </c>
      <c r="C10" s="26" t="s">
        <v>19</v>
      </c>
      <c r="D10" s="27" t="s">
        <v>20</v>
      </c>
      <c r="E10" s="26">
        <v>30.0</v>
      </c>
      <c r="F10" s="34">
        <v>25.5</v>
      </c>
      <c r="G10" s="35">
        <v>39.0</v>
      </c>
      <c r="H10" s="30">
        <v>49.0</v>
      </c>
      <c r="I10" s="36">
        <v>29.0</v>
      </c>
      <c r="J10" s="37">
        <v>35.0</v>
      </c>
      <c r="K10" s="37"/>
      <c r="L10" s="32">
        <v>0.0</v>
      </c>
      <c r="M10" s="33"/>
      <c r="N10" s="24"/>
      <c r="O10" s="24"/>
      <c r="P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27.75" customHeight="1">
      <c r="A11" s="25"/>
      <c r="B11" s="26">
        <v>3.0</v>
      </c>
      <c r="C11" s="26" t="s">
        <v>21</v>
      </c>
      <c r="D11" s="27" t="s">
        <v>22</v>
      </c>
      <c r="E11" s="26">
        <v>16.0</v>
      </c>
      <c r="F11" s="34">
        <v>12.5</v>
      </c>
      <c r="G11" s="28">
        <v>23.0</v>
      </c>
      <c r="H11" s="26">
        <v>23.0</v>
      </c>
      <c r="I11" s="36">
        <v>8.0</v>
      </c>
      <c r="J11" s="37">
        <v>21.0</v>
      </c>
      <c r="K11" s="37"/>
      <c r="L11" s="32">
        <v>6.0</v>
      </c>
      <c r="M11" s="33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27.75" customHeight="1">
      <c r="A12" s="25"/>
      <c r="B12" s="26">
        <v>4.0</v>
      </c>
      <c r="C12" s="26" t="s">
        <v>23</v>
      </c>
      <c r="D12" s="27" t="s">
        <v>24</v>
      </c>
      <c r="E12" s="26">
        <v>27.0</v>
      </c>
      <c r="F12" s="34">
        <v>18.5</v>
      </c>
      <c r="G12" s="28">
        <v>31.0</v>
      </c>
      <c r="H12" s="26">
        <v>30.0</v>
      </c>
      <c r="I12" s="36">
        <v>13.0</v>
      </c>
      <c r="J12" s="37">
        <v>19.0</v>
      </c>
      <c r="K12" s="37"/>
      <c r="L12" s="32">
        <v>3.0</v>
      </c>
      <c r="M12" s="33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27.75" customHeight="1">
      <c r="A13" s="25"/>
      <c r="B13" s="26">
        <v>5.0</v>
      </c>
      <c r="C13" s="26" t="s">
        <v>25</v>
      </c>
      <c r="D13" s="27" t="s">
        <v>26</v>
      </c>
      <c r="E13" s="26">
        <v>48.0</v>
      </c>
      <c r="F13" s="34">
        <v>12.0</v>
      </c>
      <c r="G13" s="35">
        <v>32.0</v>
      </c>
      <c r="H13" s="26">
        <v>30.0</v>
      </c>
      <c r="I13" s="36">
        <v>23.0</v>
      </c>
      <c r="J13" s="37">
        <v>23.0</v>
      </c>
      <c r="K13" s="37"/>
      <c r="L13" s="32">
        <v>3.0</v>
      </c>
      <c r="M13" s="33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27.75" customHeight="1">
      <c r="A14" s="25"/>
      <c r="B14" s="26">
        <v>6.0</v>
      </c>
      <c r="C14" s="26" t="s">
        <v>27</v>
      </c>
      <c r="D14" s="27" t="s">
        <v>28</v>
      </c>
      <c r="E14" s="26">
        <v>46.0</v>
      </c>
      <c r="F14" s="34">
        <v>33.0</v>
      </c>
      <c r="G14" s="35">
        <v>23.0</v>
      </c>
      <c r="H14" s="26">
        <v>43.0</v>
      </c>
      <c r="I14" s="36">
        <v>29.0</v>
      </c>
      <c r="J14" s="37">
        <v>36.0</v>
      </c>
      <c r="K14" s="37"/>
      <c r="L14" s="32">
        <v>1.0</v>
      </c>
      <c r="M14" s="33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27.75" customHeight="1">
      <c r="A15" s="25"/>
      <c r="B15" s="26">
        <v>7.0</v>
      </c>
      <c r="C15" s="26" t="s">
        <v>29</v>
      </c>
      <c r="D15" s="27" t="s">
        <v>30</v>
      </c>
      <c r="E15" s="26" t="s">
        <v>18</v>
      </c>
      <c r="F15" s="28" t="s">
        <v>18</v>
      </c>
      <c r="G15" s="35" t="s">
        <v>18</v>
      </c>
      <c r="H15" s="26" t="s">
        <v>18</v>
      </c>
      <c r="I15" s="26" t="s">
        <v>18</v>
      </c>
      <c r="J15" s="31" t="s">
        <v>18</v>
      </c>
      <c r="K15" s="31"/>
      <c r="L15" s="32">
        <v>0.0</v>
      </c>
      <c r="M15" s="33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27.75" customHeight="1">
      <c r="A16" s="25"/>
      <c r="B16" s="26">
        <v>8.0</v>
      </c>
      <c r="C16" s="26" t="s">
        <v>31</v>
      </c>
      <c r="D16" s="27" t="s">
        <v>32</v>
      </c>
      <c r="E16" s="26" t="s">
        <v>18</v>
      </c>
      <c r="F16" s="34">
        <v>16.5</v>
      </c>
      <c r="G16" s="28">
        <v>6.0</v>
      </c>
      <c r="H16" s="26">
        <v>33.0</v>
      </c>
      <c r="I16" s="26">
        <v>17.0</v>
      </c>
      <c r="J16" s="31">
        <v>19.0</v>
      </c>
      <c r="K16" s="31"/>
      <c r="L16" s="32">
        <v>4.0</v>
      </c>
      <c r="M16" s="33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27.75" customHeight="1">
      <c r="A17" s="25"/>
      <c r="B17" s="26">
        <v>9.0</v>
      </c>
      <c r="C17" s="26" t="s">
        <v>33</v>
      </c>
      <c r="D17" s="27" t="s">
        <v>34</v>
      </c>
      <c r="E17" s="26" t="s">
        <v>18</v>
      </c>
      <c r="F17" s="34">
        <v>25.0</v>
      </c>
      <c r="G17" s="28">
        <v>29.0</v>
      </c>
      <c r="H17" s="26">
        <v>37.0</v>
      </c>
      <c r="I17" s="26">
        <v>13.0</v>
      </c>
      <c r="J17" s="31">
        <v>28.0</v>
      </c>
      <c r="K17" s="31"/>
      <c r="L17" s="32">
        <v>1.0</v>
      </c>
      <c r="M17" s="33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27.75" customHeight="1">
      <c r="A18" s="25"/>
      <c r="B18" s="26">
        <v>10.0</v>
      </c>
      <c r="C18" s="26" t="s">
        <v>35</v>
      </c>
      <c r="D18" s="27" t="s">
        <v>36</v>
      </c>
      <c r="E18" s="26">
        <v>35.0</v>
      </c>
      <c r="F18" s="34">
        <v>16.0</v>
      </c>
      <c r="G18" s="28">
        <v>26.0</v>
      </c>
      <c r="H18" s="26">
        <v>32.0</v>
      </c>
      <c r="I18" s="36">
        <v>10.0</v>
      </c>
      <c r="J18" s="37">
        <v>22.0</v>
      </c>
      <c r="K18" s="37"/>
      <c r="L18" s="32">
        <v>3.0</v>
      </c>
      <c r="M18" s="33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27.75" customHeight="1">
      <c r="A19" s="25"/>
      <c r="B19" s="26">
        <v>11.0</v>
      </c>
      <c r="C19" s="26" t="s">
        <v>37</v>
      </c>
      <c r="D19" s="27" t="s">
        <v>38</v>
      </c>
      <c r="E19" s="26" t="s">
        <v>18</v>
      </c>
      <c r="F19" s="34">
        <v>21.0</v>
      </c>
      <c r="G19" s="28">
        <v>30.0</v>
      </c>
      <c r="H19" s="26">
        <v>28.0</v>
      </c>
      <c r="I19" s="26">
        <v>21.0</v>
      </c>
      <c r="J19" s="31">
        <v>23.0</v>
      </c>
      <c r="K19" s="31"/>
      <c r="L19" s="32">
        <v>3.0</v>
      </c>
      <c r="M19" s="33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27.75" customHeight="1">
      <c r="A20" s="25"/>
      <c r="B20" s="26">
        <v>12.0</v>
      </c>
      <c r="C20" s="26" t="s">
        <v>39</v>
      </c>
      <c r="D20" s="27" t="s">
        <v>40</v>
      </c>
      <c r="E20" s="26">
        <v>20.0</v>
      </c>
      <c r="F20" s="34">
        <v>18.5</v>
      </c>
      <c r="G20" s="28">
        <v>19.0</v>
      </c>
      <c r="H20" s="26">
        <v>28.0</v>
      </c>
      <c r="I20" s="26">
        <v>12.0</v>
      </c>
      <c r="J20" s="31">
        <v>12.0</v>
      </c>
      <c r="K20" s="31"/>
      <c r="L20" s="32">
        <v>5.0</v>
      </c>
      <c r="M20" s="33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</row>
    <row r="21" ht="27.75" customHeight="1">
      <c r="A21" s="25"/>
      <c r="B21" s="26">
        <v>13.0</v>
      </c>
      <c r="C21" s="26" t="s">
        <v>41</v>
      </c>
      <c r="D21" s="27" t="s">
        <v>42</v>
      </c>
      <c r="E21" s="26">
        <v>38.0</v>
      </c>
      <c r="F21" s="34">
        <v>19.0</v>
      </c>
      <c r="G21" s="28">
        <v>22.0</v>
      </c>
      <c r="H21" s="26">
        <v>45.0</v>
      </c>
      <c r="I21" s="26">
        <v>19.0</v>
      </c>
      <c r="J21" s="31">
        <v>21.0</v>
      </c>
      <c r="K21" s="31"/>
      <c r="L21" s="32">
        <v>4.0</v>
      </c>
      <c r="M21" s="33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ht="27.75" customHeight="1">
      <c r="A22" s="25"/>
      <c r="B22" s="26">
        <v>14.0</v>
      </c>
      <c r="C22" s="26" t="s">
        <v>43</v>
      </c>
      <c r="D22" s="27" t="s">
        <v>44</v>
      </c>
      <c r="E22" s="26">
        <v>30.0</v>
      </c>
      <c r="F22" s="28" t="s">
        <v>18</v>
      </c>
      <c r="G22" s="35" t="s">
        <v>18</v>
      </c>
      <c r="H22" s="26">
        <v>44.0</v>
      </c>
      <c r="I22" s="26" t="s">
        <v>18</v>
      </c>
      <c r="J22" s="37">
        <v>21.0</v>
      </c>
      <c r="K22" s="37"/>
      <c r="L22" s="32">
        <v>1.0</v>
      </c>
      <c r="M22" s="33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ht="27.75" customHeight="1">
      <c r="A23" s="25"/>
      <c r="B23" s="26">
        <v>15.0</v>
      </c>
      <c r="C23" s="26" t="s">
        <v>45</v>
      </c>
      <c r="D23" s="27" t="s">
        <v>46</v>
      </c>
      <c r="E23" s="26">
        <v>34.0</v>
      </c>
      <c r="F23" s="34">
        <v>41.5</v>
      </c>
      <c r="G23" s="28">
        <v>24.0</v>
      </c>
      <c r="H23" s="26">
        <v>47.0</v>
      </c>
      <c r="I23" s="26">
        <v>21.0</v>
      </c>
      <c r="J23" s="31">
        <v>37.0</v>
      </c>
      <c r="K23" s="31"/>
      <c r="L23" s="32">
        <v>2.0</v>
      </c>
      <c r="M23" s="33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ht="27.75" customHeight="1">
      <c r="A24" s="25"/>
      <c r="B24" s="26">
        <v>16.0</v>
      </c>
      <c r="C24" s="26" t="s">
        <v>47</v>
      </c>
      <c r="D24" s="27" t="s">
        <v>48</v>
      </c>
      <c r="E24" s="26">
        <v>38.0</v>
      </c>
      <c r="F24" s="34">
        <v>26.0</v>
      </c>
      <c r="G24" s="28">
        <v>37.0</v>
      </c>
      <c r="H24" s="26">
        <v>49.0</v>
      </c>
      <c r="I24" s="26">
        <v>17.0</v>
      </c>
      <c r="J24" s="31">
        <v>25.0</v>
      </c>
      <c r="K24" s="31"/>
      <c r="L24" s="32">
        <v>1.0</v>
      </c>
      <c r="M24" s="33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ht="27.75" customHeight="1">
      <c r="A25" s="25"/>
      <c r="B25" s="26">
        <v>17.0</v>
      </c>
      <c r="C25" s="26" t="s">
        <v>49</v>
      </c>
      <c r="D25" s="27" t="s">
        <v>50</v>
      </c>
      <c r="E25" s="26">
        <v>36.0</v>
      </c>
      <c r="F25" s="34">
        <v>29.5</v>
      </c>
      <c r="G25" s="28">
        <v>32.0</v>
      </c>
      <c r="H25" s="26">
        <v>40.0</v>
      </c>
      <c r="I25" s="26">
        <v>29.0</v>
      </c>
      <c r="J25" s="31">
        <v>22.0</v>
      </c>
      <c r="K25" s="31"/>
      <c r="L25" s="32">
        <v>1.0</v>
      </c>
      <c r="M25" s="33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ht="27.75" customHeight="1">
      <c r="A26" s="25"/>
      <c r="B26" s="26">
        <v>18.0</v>
      </c>
      <c r="C26" s="26" t="s">
        <v>51</v>
      </c>
      <c r="D26" s="27" t="s">
        <v>52</v>
      </c>
      <c r="E26" s="26">
        <v>41.0</v>
      </c>
      <c r="F26" s="34">
        <v>45.0</v>
      </c>
      <c r="G26" s="35">
        <v>43.0</v>
      </c>
      <c r="H26" s="26">
        <v>39.0</v>
      </c>
      <c r="I26" s="26">
        <v>32.0</v>
      </c>
      <c r="J26" s="31">
        <v>26.0</v>
      </c>
      <c r="K26" s="31"/>
      <c r="L26" s="32">
        <v>0.0</v>
      </c>
      <c r="M26" s="33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ht="27.75" customHeight="1">
      <c r="A27" s="25"/>
      <c r="B27" s="26">
        <v>19.0</v>
      </c>
      <c r="C27" s="26" t="s">
        <v>53</v>
      </c>
      <c r="D27" s="27" t="s">
        <v>54</v>
      </c>
      <c r="E27" s="26">
        <v>20.0</v>
      </c>
      <c r="F27" s="34">
        <v>11.0</v>
      </c>
      <c r="G27" s="28">
        <v>27.0</v>
      </c>
      <c r="H27" s="26">
        <v>11.0</v>
      </c>
      <c r="I27" s="26">
        <v>20.0</v>
      </c>
      <c r="J27" s="31">
        <v>2.0</v>
      </c>
      <c r="K27" s="31"/>
      <c r="L27" s="32">
        <v>5.0</v>
      </c>
      <c r="M27" s="33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ht="27.75" customHeight="1">
      <c r="A28" s="25"/>
      <c r="B28" s="26">
        <v>20.0</v>
      </c>
      <c r="C28" s="26" t="s">
        <v>55</v>
      </c>
      <c r="D28" s="27" t="s">
        <v>56</v>
      </c>
      <c r="E28" s="26">
        <v>30.0</v>
      </c>
      <c r="F28" s="34">
        <v>36.0</v>
      </c>
      <c r="G28" s="28">
        <v>42.0</v>
      </c>
      <c r="H28" s="26">
        <v>36.0</v>
      </c>
      <c r="I28" s="26">
        <v>26.0</v>
      </c>
      <c r="J28" s="31">
        <v>15.0</v>
      </c>
      <c r="K28" s="31"/>
      <c r="L28" s="32">
        <v>1.0</v>
      </c>
      <c r="M28" s="33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ht="27.75" customHeight="1">
      <c r="A29" s="25"/>
      <c r="B29" s="26">
        <v>21.0</v>
      </c>
      <c r="C29" s="26" t="s">
        <v>57</v>
      </c>
      <c r="D29" s="27" t="s">
        <v>58</v>
      </c>
      <c r="E29" s="26">
        <v>48.0</v>
      </c>
      <c r="F29" s="34">
        <v>44.5</v>
      </c>
      <c r="G29" s="28">
        <v>50.0</v>
      </c>
      <c r="H29" s="26">
        <v>50.0</v>
      </c>
      <c r="I29" s="26">
        <v>43.0</v>
      </c>
      <c r="J29" s="31">
        <v>40.0</v>
      </c>
      <c r="K29" s="31"/>
      <c r="L29" s="32">
        <v>0.0</v>
      </c>
      <c r="M29" s="33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ht="27.75" customHeight="1">
      <c r="A30" s="25"/>
      <c r="B30" s="26">
        <v>22.0</v>
      </c>
      <c r="C30" s="26" t="s">
        <v>59</v>
      </c>
      <c r="D30" s="27" t="s">
        <v>60</v>
      </c>
      <c r="E30" s="26">
        <v>36.0</v>
      </c>
      <c r="F30" s="34">
        <v>31.0</v>
      </c>
      <c r="G30" s="28">
        <v>30.0</v>
      </c>
      <c r="H30" s="26">
        <v>28.0</v>
      </c>
      <c r="I30" s="26">
        <v>4.0</v>
      </c>
      <c r="J30" s="31">
        <v>25.0</v>
      </c>
      <c r="K30" s="31"/>
      <c r="L30" s="32">
        <v>1.0</v>
      </c>
      <c r="M30" s="33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ht="27.75" customHeight="1">
      <c r="A31" s="25"/>
      <c r="B31" s="26">
        <v>23.0</v>
      </c>
      <c r="C31" s="26" t="s">
        <v>61</v>
      </c>
      <c r="D31" s="27" t="s">
        <v>62</v>
      </c>
      <c r="E31" s="26">
        <v>36.0</v>
      </c>
      <c r="F31" s="34">
        <v>22.5</v>
      </c>
      <c r="G31" s="38">
        <v>37.0</v>
      </c>
      <c r="H31" s="26">
        <v>27.0</v>
      </c>
      <c r="I31" s="36">
        <v>14.0</v>
      </c>
      <c r="J31" s="37">
        <v>12.0</v>
      </c>
      <c r="K31" s="37"/>
      <c r="L31" s="32">
        <v>3.0</v>
      </c>
      <c r="M31" s="33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ht="27.75" customHeight="1">
      <c r="A32" s="25"/>
      <c r="B32" s="26">
        <v>24.0</v>
      </c>
      <c r="C32" s="26" t="s">
        <v>63</v>
      </c>
      <c r="D32" s="27" t="s">
        <v>64</v>
      </c>
      <c r="E32" s="26">
        <v>41.0</v>
      </c>
      <c r="F32" s="34">
        <v>23.5</v>
      </c>
      <c r="G32" s="28">
        <v>24.0</v>
      </c>
      <c r="H32" s="26">
        <v>26.0</v>
      </c>
      <c r="I32" s="26">
        <v>17.0</v>
      </c>
      <c r="J32" s="31">
        <v>19.0</v>
      </c>
      <c r="K32" s="31"/>
      <c r="L32" s="32">
        <v>4.0</v>
      </c>
      <c r="M32" s="33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ht="27.75" customHeight="1">
      <c r="A33" s="25"/>
      <c r="B33" s="26">
        <v>25.0</v>
      </c>
      <c r="C33" s="26" t="s">
        <v>65</v>
      </c>
      <c r="D33" s="27" t="s">
        <v>66</v>
      </c>
      <c r="E33" s="26">
        <v>18.0</v>
      </c>
      <c r="F33" s="28" t="s">
        <v>18</v>
      </c>
      <c r="G33" s="28">
        <v>19.0</v>
      </c>
      <c r="H33" s="26">
        <v>29.0</v>
      </c>
      <c r="I33" s="26">
        <v>26.0</v>
      </c>
      <c r="J33" s="31">
        <v>22.0</v>
      </c>
      <c r="K33" s="31"/>
      <c r="L33" s="32">
        <v>3.0</v>
      </c>
      <c r="M33" s="33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ht="27.75" customHeight="1">
      <c r="A34" s="25"/>
      <c r="B34" s="26">
        <v>26.0</v>
      </c>
      <c r="C34" s="26" t="s">
        <v>67</v>
      </c>
      <c r="D34" s="27" t="s">
        <v>68</v>
      </c>
      <c r="E34" s="26">
        <v>33.0</v>
      </c>
      <c r="F34" s="34">
        <v>40.0</v>
      </c>
      <c r="G34" s="35">
        <v>34.0</v>
      </c>
      <c r="H34" s="26">
        <v>40.0</v>
      </c>
      <c r="I34" s="36">
        <v>28.0</v>
      </c>
      <c r="J34" s="37">
        <v>32.0</v>
      </c>
      <c r="K34" s="37"/>
      <c r="L34" s="32">
        <v>0.0</v>
      </c>
      <c r="M34" s="33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ht="27.75" customHeight="1">
      <c r="A35" s="25"/>
      <c r="B35" s="26">
        <v>27.0</v>
      </c>
      <c r="C35" s="26" t="s">
        <v>69</v>
      </c>
      <c r="D35" s="27" t="s">
        <v>70</v>
      </c>
      <c r="E35" s="26">
        <v>19.0</v>
      </c>
      <c r="F35" s="34">
        <v>18.0</v>
      </c>
      <c r="G35" s="28" t="s">
        <v>18</v>
      </c>
      <c r="H35" s="26" t="s">
        <v>18</v>
      </c>
      <c r="I35" s="26">
        <v>19.0</v>
      </c>
      <c r="J35" s="31">
        <v>18.0</v>
      </c>
      <c r="K35" s="31"/>
      <c r="L35" s="32">
        <v>4.0</v>
      </c>
      <c r="M35" s="33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ht="27.75" customHeight="1">
      <c r="A36" s="25"/>
      <c r="B36" s="26">
        <v>28.0</v>
      </c>
      <c r="C36" s="26" t="s">
        <v>71</v>
      </c>
      <c r="D36" s="27" t="s">
        <v>72</v>
      </c>
      <c r="E36" s="26">
        <v>22.0</v>
      </c>
      <c r="F36" s="34">
        <v>13.5</v>
      </c>
      <c r="G36" s="28" t="s">
        <v>18</v>
      </c>
      <c r="H36" s="26">
        <v>42.0</v>
      </c>
      <c r="I36" s="26">
        <v>15.0</v>
      </c>
      <c r="J36" s="31">
        <v>18.0</v>
      </c>
      <c r="K36" s="31"/>
      <c r="L36" s="32">
        <v>4.0</v>
      </c>
      <c r="M36" s="33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ht="27.75" customHeight="1">
      <c r="A37" s="25"/>
      <c r="B37" s="26">
        <v>29.0</v>
      </c>
      <c r="C37" s="26" t="s">
        <v>73</v>
      </c>
      <c r="D37" s="27" t="s">
        <v>74</v>
      </c>
      <c r="E37" s="26">
        <v>44.0</v>
      </c>
      <c r="F37" s="34">
        <v>36.0</v>
      </c>
      <c r="G37" s="28">
        <v>49.0</v>
      </c>
      <c r="H37" s="26">
        <v>42.0</v>
      </c>
      <c r="I37" s="26">
        <v>32.0</v>
      </c>
      <c r="J37" s="31">
        <v>34.0</v>
      </c>
      <c r="K37" s="31"/>
      <c r="L37" s="32">
        <v>0.0</v>
      </c>
      <c r="M37" s="33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ht="27.75" customHeight="1">
      <c r="A38" s="25"/>
      <c r="B38" s="26">
        <v>30.0</v>
      </c>
      <c r="C38" s="26" t="s">
        <v>75</v>
      </c>
      <c r="D38" s="27" t="s">
        <v>76</v>
      </c>
      <c r="E38" s="26">
        <v>38.0</v>
      </c>
      <c r="F38" s="34">
        <v>36.5</v>
      </c>
      <c r="G38" s="28">
        <v>39.0</v>
      </c>
      <c r="H38" s="26">
        <v>46.0</v>
      </c>
      <c r="I38" s="36">
        <v>21.0</v>
      </c>
      <c r="J38" s="37">
        <v>49.0</v>
      </c>
      <c r="K38" s="37"/>
      <c r="L38" s="32">
        <v>1.0</v>
      </c>
      <c r="M38" s="33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ht="27.75" customHeight="1">
      <c r="A39" s="25"/>
      <c r="B39" s="26">
        <v>31.0</v>
      </c>
      <c r="C39" s="26" t="s">
        <v>77</v>
      </c>
      <c r="D39" s="27" t="s">
        <v>78</v>
      </c>
      <c r="E39" s="26" t="s">
        <v>18</v>
      </c>
      <c r="F39" s="28" t="s">
        <v>18</v>
      </c>
      <c r="G39" s="35" t="s">
        <v>18</v>
      </c>
      <c r="H39" s="26" t="s">
        <v>18</v>
      </c>
      <c r="I39" s="26" t="s">
        <v>18</v>
      </c>
      <c r="J39" s="31">
        <v>28.0</v>
      </c>
      <c r="K39" s="31"/>
      <c r="L39" s="32">
        <v>0.0</v>
      </c>
      <c r="M39" s="33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</row>
    <row r="40" ht="27.75" customHeight="1">
      <c r="A40" s="25"/>
      <c r="B40" s="26">
        <v>32.0</v>
      </c>
      <c r="C40" s="26" t="s">
        <v>79</v>
      </c>
      <c r="D40" s="27" t="s">
        <v>80</v>
      </c>
      <c r="E40" s="26">
        <v>38.0</v>
      </c>
      <c r="F40" s="34">
        <v>39.0</v>
      </c>
      <c r="G40" s="28">
        <v>38.0</v>
      </c>
      <c r="H40" s="26">
        <v>28.0</v>
      </c>
      <c r="I40" s="36">
        <v>33.0</v>
      </c>
      <c r="J40" s="37">
        <v>30.0</v>
      </c>
      <c r="K40" s="37"/>
      <c r="L40" s="32">
        <v>0.0</v>
      </c>
      <c r="M40" s="33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</row>
    <row r="41" ht="27.75" customHeight="1">
      <c r="A41" s="25"/>
      <c r="B41" s="26">
        <v>33.0</v>
      </c>
      <c r="C41" s="26" t="s">
        <v>81</v>
      </c>
      <c r="D41" s="27" t="s">
        <v>82</v>
      </c>
      <c r="E41" s="26">
        <v>40.0</v>
      </c>
      <c r="F41" s="34">
        <v>38.5</v>
      </c>
      <c r="G41" s="28">
        <v>43.0</v>
      </c>
      <c r="H41" s="26">
        <v>46.0</v>
      </c>
      <c r="I41" s="26">
        <v>34.0</v>
      </c>
      <c r="J41" s="31">
        <v>28.0</v>
      </c>
      <c r="K41" s="31"/>
      <c r="L41" s="32">
        <v>0.0</v>
      </c>
      <c r="M41" s="33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</row>
    <row r="42" ht="27.75" customHeight="1">
      <c r="A42" s="25"/>
      <c r="B42" s="26">
        <v>34.0</v>
      </c>
      <c r="C42" s="26" t="s">
        <v>83</v>
      </c>
      <c r="D42" s="27" t="s">
        <v>84</v>
      </c>
      <c r="E42" s="26">
        <v>36.0</v>
      </c>
      <c r="F42" s="34">
        <v>30.5</v>
      </c>
      <c r="G42" s="28">
        <v>35.0</v>
      </c>
      <c r="H42" s="26">
        <v>37.0</v>
      </c>
      <c r="I42" s="26">
        <v>13.0</v>
      </c>
      <c r="J42" s="31">
        <v>18.0</v>
      </c>
      <c r="K42" s="31"/>
      <c r="L42" s="32">
        <v>2.0</v>
      </c>
      <c r="M42" s="33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</row>
    <row r="43" ht="27.75" customHeight="1">
      <c r="A43" s="25"/>
      <c r="B43" s="26">
        <v>35.0</v>
      </c>
      <c r="C43" s="26" t="s">
        <v>85</v>
      </c>
      <c r="D43" s="27" t="s">
        <v>86</v>
      </c>
      <c r="E43" s="26">
        <v>40.0</v>
      </c>
      <c r="F43" s="34">
        <v>23.0</v>
      </c>
      <c r="G43" s="28">
        <v>25.0</v>
      </c>
      <c r="H43" s="26">
        <v>28.0</v>
      </c>
      <c r="I43" s="26">
        <v>13.0</v>
      </c>
      <c r="J43" s="31">
        <v>27.0</v>
      </c>
      <c r="K43" s="31"/>
      <c r="L43" s="32">
        <v>2.0</v>
      </c>
      <c r="M43" s="33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</row>
    <row r="44" ht="27.75" customHeight="1">
      <c r="A44" s="25"/>
      <c r="B44" s="26">
        <v>36.0</v>
      </c>
      <c r="C44" s="26" t="s">
        <v>87</v>
      </c>
      <c r="D44" s="27" t="s">
        <v>88</v>
      </c>
      <c r="E44" s="26" t="s">
        <v>18</v>
      </c>
      <c r="F44" s="28" t="s">
        <v>18</v>
      </c>
      <c r="G44" s="35">
        <v>46.0</v>
      </c>
      <c r="H44" s="26">
        <v>38.0</v>
      </c>
      <c r="I44" s="26" t="s">
        <v>18</v>
      </c>
      <c r="J44" s="31" t="s">
        <v>18</v>
      </c>
      <c r="K44" s="31"/>
      <c r="L44" s="32">
        <v>0.0</v>
      </c>
      <c r="M44" s="33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</row>
    <row r="45" ht="27.75" customHeight="1">
      <c r="A45" s="25"/>
      <c r="B45" s="26">
        <v>37.0</v>
      </c>
      <c r="C45" s="26" t="s">
        <v>89</v>
      </c>
      <c r="D45" s="27" t="s">
        <v>90</v>
      </c>
      <c r="E45" s="26">
        <v>33.0</v>
      </c>
      <c r="F45" s="34">
        <v>26.5</v>
      </c>
      <c r="G45" s="35">
        <v>29.0</v>
      </c>
      <c r="H45" s="26">
        <v>42.0</v>
      </c>
      <c r="I45" s="36">
        <v>12.0</v>
      </c>
      <c r="J45" s="37">
        <v>21.0</v>
      </c>
      <c r="K45" s="37"/>
      <c r="L45" s="32">
        <v>2.0</v>
      </c>
      <c r="M45" s="33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</row>
    <row r="46" ht="27.75" customHeight="1">
      <c r="A46" s="25"/>
      <c r="B46" s="26">
        <v>38.0</v>
      </c>
      <c r="C46" s="26" t="s">
        <v>91</v>
      </c>
      <c r="D46" s="27" t="s">
        <v>92</v>
      </c>
      <c r="E46" s="26">
        <v>13.0</v>
      </c>
      <c r="F46" s="34">
        <v>12.0</v>
      </c>
      <c r="G46" s="35" t="s">
        <v>18</v>
      </c>
      <c r="H46" s="30">
        <v>32.0</v>
      </c>
      <c r="I46" s="26" t="s">
        <v>18</v>
      </c>
      <c r="J46" s="31">
        <v>18.0</v>
      </c>
      <c r="K46" s="31"/>
      <c r="L46" s="32">
        <v>3.0</v>
      </c>
      <c r="M46" s="33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</row>
    <row r="47" ht="27.75" customHeight="1">
      <c r="A47" s="25"/>
      <c r="B47" s="26">
        <v>39.0</v>
      </c>
      <c r="C47" s="26" t="s">
        <v>93</v>
      </c>
      <c r="D47" s="27" t="s">
        <v>94</v>
      </c>
      <c r="E47" s="26">
        <v>11.0</v>
      </c>
      <c r="F47" s="34">
        <v>16.5</v>
      </c>
      <c r="G47" s="28">
        <v>21.0</v>
      </c>
      <c r="H47" s="26">
        <v>27.0</v>
      </c>
      <c r="I47" s="26">
        <v>11.0</v>
      </c>
      <c r="J47" s="31">
        <v>19.0</v>
      </c>
      <c r="K47" s="31"/>
      <c r="L47" s="32">
        <v>5.0</v>
      </c>
      <c r="M47" s="33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</row>
    <row r="48" ht="27.75" customHeight="1">
      <c r="A48" s="25"/>
      <c r="B48" s="26">
        <v>40.0</v>
      </c>
      <c r="C48" s="26" t="s">
        <v>95</v>
      </c>
      <c r="D48" s="27" t="s">
        <v>96</v>
      </c>
      <c r="E48" s="26">
        <v>23.0</v>
      </c>
      <c r="F48" s="34">
        <v>25.0</v>
      </c>
      <c r="G48" s="28" t="s">
        <v>18</v>
      </c>
      <c r="H48" s="26" t="s">
        <v>18</v>
      </c>
      <c r="I48" s="36">
        <v>17.0</v>
      </c>
      <c r="J48" s="37">
        <v>22.0</v>
      </c>
      <c r="K48" s="37"/>
      <c r="L48" s="32">
        <v>3.0</v>
      </c>
      <c r="M48" s="33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</row>
    <row r="49" ht="27.75" customHeight="1">
      <c r="A49" s="25"/>
      <c r="B49" s="26">
        <v>41.0</v>
      </c>
      <c r="C49" s="26" t="s">
        <v>97</v>
      </c>
      <c r="D49" s="27" t="s">
        <v>98</v>
      </c>
      <c r="E49" s="26">
        <v>48.0</v>
      </c>
      <c r="F49" s="34">
        <v>42.0</v>
      </c>
      <c r="G49" s="35">
        <v>44.0</v>
      </c>
      <c r="H49" s="26">
        <v>41.0</v>
      </c>
      <c r="I49" s="26">
        <v>27.0</v>
      </c>
      <c r="J49" s="31">
        <v>37.0</v>
      </c>
      <c r="K49" s="31"/>
      <c r="L49" s="32">
        <v>0.0</v>
      </c>
      <c r="M49" s="33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</row>
    <row r="50" ht="27.75" customHeight="1">
      <c r="A50" s="25"/>
      <c r="B50" s="26">
        <v>42.0</v>
      </c>
      <c r="C50" s="26" t="s">
        <v>99</v>
      </c>
      <c r="D50" s="27" t="s">
        <v>100</v>
      </c>
      <c r="E50" s="26">
        <v>31.0</v>
      </c>
      <c r="F50" s="34">
        <v>26.0</v>
      </c>
      <c r="G50" s="35">
        <v>10.0</v>
      </c>
      <c r="H50" s="26">
        <v>23.0</v>
      </c>
      <c r="I50" s="26">
        <v>15.0</v>
      </c>
      <c r="J50" s="31">
        <v>13.0</v>
      </c>
      <c r="K50" s="31"/>
      <c r="L50" s="32">
        <v>4.0</v>
      </c>
      <c r="M50" s="33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</row>
    <row r="51" ht="27.75" customHeight="1">
      <c r="A51" s="25"/>
      <c r="B51" s="26">
        <v>43.0</v>
      </c>
      <c r="C51" s="26" t="s">
        <v>101</v>
      </c>
      <c r="D51" s="27" t="s">
        <v>102</v>
      </c>
      <c r="E51" s="26">
        <v>40.0</v>
      </c>
      <c r="F51" s="34">
        <v>42.5</v>
      </c>
      <c r="G51" s="28">
        <v>42.0</v>
      </c>
      <c r="H51" s="26">
        <v>43.0</v>
      </c>
      <c r="I51" s="36">
        <v>34.0</v>
      </c>
      <c r="J51" s="37">
        <v>35.0</v>
      </c>
      <c r="K51" s="37"/>
      <c r="L51" s="32">
        <v>0.0</v>
      </c>
      <c r="M51" s="33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</row>
    <row r="52" ht="27.75" customHeight="1">
      <c r="A52" s="25"/>
      <c r="B52" s="26">
        <v>44.0</v>
      </c>
      <c r="C52" s="26" t="s">
        <v>103</v>
      </c>
      <c r="D52" s="27" t="s">
        <v>104</v>
      </c>
      <c r="E52" s="26">
        <v>26.0</v>
      </c>
      <c r="F52" s="34">
        <v>17.5</v>
      </c>
      <c r="G52" s="28">
        <v>22.0</v>
      </c>
      <c r="H52" s="26">
        <v>19.0</v>
      </c>
      <c r="I52" s="26">
        <v>19.0</v>
      </c>
      <c r="J52" s="31">
        <v>13.0</v>
      </c>
      <c r="K52" s="31"/>
      <c r="L52" s="32">
        <v>5.0</v>
      </c>
      <c r="M52" s="33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</row>
    <row r="53" ht="27.75" customHeight="1">
      <c r="A53" s="25"/>
      <c r="B53" s="26">
        <v>45.0</v>
      </c>
      <c r="C53" s="26" t="s">
        <v>105</v>
      </c>
      <c r="D53" s="27" t="s">
        <v>106</v>
      </c>
      <c r="E53" s="26">
        <v>27.0</v>
      </c>
      <c r="F53" s="34">
        <v>35.0</v>
      </c>
      <c r="G53" s="28">
        <v>25.0</v>
      </c>
      <c r="H53" s="26">
        <v>34.0</v>
      </c>
      <c r="I53" s="36">
        <v>5.0</v>
      </c>
      <c r="J53" s="37">
        <v>23.0</v>
      </c>
      <c r="K53" s="31"/>
      <c r="L53" s="32">
        <v>2.0</v>
      </c>
      <c r="M53" s="33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ht="27.75" customHeight="1">
      <c r="A54" s="25"/>
      <c r="B54" s="26">
        <v>46.0</v>
      </c>
      <c r="C54" s="26" t="s">
        <v>107</v>
      </c>
      <c r="D54" s="27" t="s">
        <v>108</v>
      </c>
      <c r="E54" s="26">
        <v>22.0</v>
      </c>
      <c r="F54" s="34">
        <v>9.0</v>
      </c>
      <c r="G54" s="28">
        <v>20.0</v>
      </c>
      <c r="H54" s="26">
        <v>37.0</v>
      </c>
      <c r="I54" s="36">
        <v>21.0</v>
      </c>
      <c r="J54" s="37">
        <v>11.0</v>
      </c>
      <c r="K54" s="31"/>
      <c r="L54" s="32">
        <v>5.0</v>
      </c>
      <c r="M54" s="33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ht="27.75" customHeight="1">
      <c r="A55" s="25"/>
      <c r="B55" s="26">
        <v>47.0</v>
      </c>
      <c r="C55" s="26" t="s">
        <v>109</v>
      </c>
      <c r="D55" s="27" t="s">
        <v>110</v>
      </c>
      <c r="E55" s="26">
        <v>41.0</v>
      </c>
      <c r="F55" s="34">
        <v>40.5</v>
      </c>
      <c r="G55" s="35">
        <v>37.0</v>
      </c>
      <c r="H55" s="26">
        <v>35.0</v>
      </c>
      <c r="I55" s="26">
        <v>12.0</v>
      </c>
      <c r="J55" s="31">
        <v>18.0</v>
      </c>
      <c r="K55" s="31"/>
      <c r="L55" s="32">
        <v>2.0</v>
      </c>
      <c r="M55" s="33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ht="27.75" customHeight="1">
      <c r="A56" s="25"/>
      <c r="B56" s="26">
        <v>48.0</v>
      </c>
      <c r="C56" s="26" t="s">
        <v>111</v>
      </c>
      <c r="D56" s="27" t="s">
        <v>112</v>
      </c>
      <c r="E56" s="26">
        <v>44.0</v>
      </c>
      <c r="F56" s="34">
        <v>44.5</v>
      </c>
      <c r="G56" s="28">
        <v>41.0</v>
      </c>
      <c r="H56" s="26">
        <v>35.0</v>
      </c>
      <c r="I56" s="26">
        <v>40.0</v>
      </c>
      <c r="J56" s="31">
        <v>34.0</v>
      </c>
      <c r="K56" s="31"/>
      <c r="L56" s="32">
        <v>0.0</v>
      </c>
      <c r="M56" s="33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ht="27.75" customHeight="1">
      <c r="A57" s="25"/>
      <c r="B57" s="26">
        <v>49.0</v>
      </c>
      <c r="C57" s="26" t="s">
        <v>113</v>
      </c>
      <c r="D57" s="27" t="s">
        <v>114</v>
      </c>
      <c r="E57" s="26" t="s">
        <v>18</v>
      </c>
      <c r="F57" s="34">
        <v>25.5</v>
      </c>
      <c r="G57" s="35">
        <v>28.0</v>
      </c>
      <c r="H57" s="26">
        <v>37.0</v>
      </c>
      <c r="I57" s="36">
        <v>24.0</v>
      </c>
      <c r="J57" s="37">
        <v>28.0</v>
      </c>
      <c r="K57" s="37"/>
      <c r="L57" s="32">
        <v>1.0</v>
      </c>
      <c r="M57" s="33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ht="27.75" customHeight="1">
      <c r="A58" s="25"/>
      <c r="B58" s="26">
        <v>50.0</v>
      </c>
      <c r="C58" s="26" t="s">
        <v>115</v>
      </c>
      <c r="D58" s="27" t="s">
        <v>116</v>
      </c>
      <c r="E58" s="26">
        <v>29.0</v>
      </c>
      <c r="F58" s="28" t="s">
        <v>18</v>
      </c>
      <c r="G58" s="35" t="s">
        <v>18</v>
      </c>
      <c r="H58" s="26" t="s">
        <v>18</v>
      </c>
      <c r="I58" s="26" t="s">
        <v>18</v>
      </c>
      <c r="J58" s="37">
        <v>29.0</v>
      </c>
      <c r="K58" s="37"/>
      <c r="L58" s="32">
        <v>0.0</v>
      </c>
      <c r="M58" s="33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</row>
    <row r="59" ht="27.75" customHeight="1">
      <c r="A59" s="25"/>
      <c r="B59" s="26">
        <v>51.0</v>
      </c>
      <c r="C59" s="26" t="s">
        <v>117</v>
      </c>
      <c r="D59" s="27" t="s">
        <v>118</v>
      </c>
      <c r="E59" s="26">
        <v>43.0</v>
      </c>
      <c r="F59" s="34">
        <v>41.5</v>
      </c>
      <c r="G59" s="28">
        <v>47.0</v>
      </c>
      <c r="H59" s="26">
        <v>41.0</v>
      </c>
      <c r="I59" s="26">
        <v>33.0</v>
      </c>
      <c r="J59" s="31">
        <v>27.0</v>
      </c>
      <c r="K59" s="31"/>
      <c r="L59" s="32">
        <v>0.0</v>
      </c>
      <c r="M59" s="33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</row>
    <row r="60" ht="27.75" customHeight="1">
      <c r="A60" s="25"/>
      <c r="B60" s="26">
        <v>52.0</v>
      </c>
      <c r="C60" s="26" t="s">
        <v>119</v>
      </c>
      <c r="D60" s="27" t="s">
        <v>120</v>
      </c>
      <c r="E60" s="26">
        <v>39.0</v>
      </c>
      <c r="F60" s="34">
        <v>21.5</v>
      </c>
      <c r="G60" s="28">
        <v>22.0</v>
      </c>
      <c r="H60" s="26">
        <v>27.0</v>
      </c>
      <c r="I60" s="36">
        <v>41.0</v>
      </c>
      <c r="J60" s="37">
        <v>10.0</v>
      </c>
      <c r="K60" s="37"/>
      <c r="L60" s="32">
        <v>3.0</v>
      </c>
      <c r="M60" s="33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</row>
    <row r="61" ht="27.75" customHeight="1">
      <c r="A61" s="25"/>
      <c r="B61" s="26">
        <v>53.0</v>
      </c>
      <c r="C61" s="26" t="s">
        <v>121</v>
      </c>
      <c r="D61" s="27" t="s">
        <v>122</v>
      </c>
      <c r="E61" s="26">
        <v>31.0</v>
      </c>
      <c r="F61" s="28" t="s">
        <v>18</v>
      </c>
      <c r="G61" s="28" t="s">
        <v>18</v>
      </c>
      <c r="H61" s="26" t="s">
        <v>18</v>
      </c>
      <c r="I61" s="26" t="s">
        <v>18</v>
      </c>
      <c r="J61" s="31" t="s">
        <v>18</v>
      </c>
      <c r="K61" s="31"/>
      <c r="L61" s="32">
        <v>5.0</v>
      </c>
      <c r="M61" s="33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</row>
    <row r="62" ht="27.75" customHeight="1">
      <c r="A62" s="25"/>
      <c r="B62" s="26">
        <v>54.0</v>
      </c>
      <c r="C62" s="26" t="s">
        <v>123</v>
      </c>
      <c r="D62" s="27" t="s">
        <v>124</v>
      </c>
      <c r="E62" s="26">
        <v>25.0</v>
      </c>
      <c r="F62" s="34">
        <v>27.5</v>
      </c>
      <c r="G62" s="28">
        <v>31.0</v>
      </c>
      <c r="H62" s="26">
        <v>35.0</v>
      </c>
      <c r="I62" s="26" t="s">
        <v>18</v>
      </c>
      <c r="J62" s="31">
        <v>24.0</v>
      </c>
      <c r="K62" s="31"/>
      <c r="L62" s="32">
        <v>2.0</v>
      </c>
      <c r="M62" s="33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</row>
    <row r="63" ht="27.75" customHeight="1">
      <c r="A63" s="39"/>
      <c r="B63" s="7" t="s">
        <v>125</v>
      </c>
      <c r="C63" s="6"/>
      <c r="D63" s="8"/>
      <c r="E63" s="40">
        <f t="shared" ref="E63:F63" si="1">count(E9:E62)</f>
        <v>47</v>
      </c>
      <c r="F63" s="40">
        <f t="shared" si="1"/>
        <v>46</v>
      </c>
      <c r="G63" s="40">
        <v>45.0</v>
      </c>
      <c r="H63" s="19">
        <v>48.0</v>
      </c>
      <c r="I63" s="19">
        <v>45.0</v>
      </c>
      <c r="J63" s="40">
        <v>51.0</v>
      </c>
      <c r="K63" s="40"/>
      <c r="L63" s="19" t="s">
        <v>126</v>
      </c>
      <c r="M63" s="41">
        <f t="shared" ref="M63:M66" si="3">countif(E63:I63,"AB")</f>
        <v>0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</row>
    <row r="64" ht="27.75" customHeight="1">
      <c r="A64" s="39"/>
      <c r="B64" s="7" t="s">
        <v>127</v>
      </c>
      <c r="C64" s="6"/>
      <c r="D64" s="8"/>
      <c r="E64" s="40">
        <f t="shared" ref="E64:F64" si="2">countif(E9:E62,"AB")</f>
        <v>7</v>
      </c>
      <c r="F64" s="40">
        <f t="shared" si="2"/>
        <v>8</v>
      </c>
      <c r="G64" s="40">
        <v>9.0</v>
      </c>
      <c r="H64" s="19">
        <v>6.0</v>
      </c>
      <c r="I64" s="19">
        <v>9.0</v>
      </c>
      <c r="J64" s="40">
        <v>3.0</v>
      </c>
      <c r="K64" s="40"/>
      <c r="L64" s="19" t="s">
        <v>126</v>
      </c>
      <c r="M64" s="41">
        <f t="shared" si="3"/>
        <v>0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</row>
    <row r="65" ht="27.75" customHeight="1">
      <c r="A65" s="39"/>
      <c r="B65" s="7" t="s">
        <v>128</v>
      </c>
      <c r="C65" s="6"/>
      <c r="D65" s="8"/>
      <c r="E65" s="40">
        <v>9.0</v>
      </c>
      <c r="F65" s="40">
        <v>14.0</v>
      </c>
      <c r="G65" s="40">
        <v>7.0</v>
      </c>
      <c r="H65" s="19">
        <v>2.0</v>
      </c>
      <c r="I65" s="19">
        <v>29.0</v>
      </c>
      <c r="J65" s="40">
        <v>22.0</v>
      </c>
      <c r="K65" s="40"/>
      <c r="L65" s="19" t="s">
        <v>126</v>
      </c>
      <c r="M65" s="41">
        <f t="shared" si="3"/>
        <v>0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</row>
    <row r="66" ht="27.75" customHeight="1">
      <c r="A66" s="39"/>
      <c r="B66" s="7" t="s">
        <v>129</v>
      </c>
      <c r="C66" s="6"/>
      <c r="D66" s="8"/>
      <c r="E66" s="19"/>
      <c r="F66" s="20"/>
      <c r="G66" s="19"/>
      <c r="H66" s="26"/>
      <c r="I66" s="26"/>
      <c r="J66" s="19"/>
      <c r="K66" s="19"/>
      <c r="L66" s="19" t="s">
        <v>126</v>
      </c>
      <c r="M66" s="33">
        <f t="shared" si="3"/>
        <v>0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</row>
    <row r="67">
      <c r="A67" s="24"/>
      <c r="B67" s="42"/>
      <c r="C67" s="42"/>
      <c r="D67" s="42"/>
      <c r="E67" s="42"/>
      <c r="F67" s="43"/>
      <c r="G67" s="42"/>
      <c r="H67" s="42"/>
      <c r="I67" s="42"/>
      <c r="J67" s="42"/>
      <c r="K67" s="42"/>
      <c r="L67" s="42"/>
      <c r="M67" s="42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>
      <c r="A68" s="4"/>
      <c r="B68" s="44"/>
      <c r="C68" s="44"/>
      <c r="D68" s="44"/>
      <c r="E68" s="44"/>
      <c r="F68" s="45"/>
      <c r="G68" s="44"/>
      <c r="H68" s="44"/>
      <c r="I68" s="44"/>
      <c r="J68" s="44"/>
      <c r="K68" s="44"/>
      <c r="L68" s="44"/>
      <c r="M68" s="4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6"/>
      <c r="B69" s="47" t="s">
        <v>130</v>
      </c>
      <c r="E69" s="48" t="s">
        <v>131</v>
      </c>
      <c r="I69" s="48" t="s">
        <v>132</v>
      </c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</row>
    <row r="70">
      <c r="A70" s="4"/>
      <c r="B70" s="49"/>
      <c r="C70" s="44"/>
      <c r="D70" s="44"/>
      <c r="E70" s="44"/>
      <c r="F70" s="45"/>
      <c r="G70" s="44"/>
      <c r="H70" s="44"/>
      <c r="I70" s="44"/>
      <c r="J70" s="44"/>
      <c r="K70" s="44"/>
      <c r="L70" s="44"/>
      <c r="M70" s="4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4"/>
      <c r="C71" s="44"/>
      <c r="D71" s="44"/>
      <c r="E71" s="44"/>
      <c r="F71" s="45"/>
      <c r="G71" s="44"/>
      <c r="H71" s="44"/>
      <c r="I71" s="44"/>
      <c r="J71" s="44"/>
      <c r="K71" s="44"/>
      <c r="L71" s="44"/>
      <c r="M71" s="4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4"/>
      <c r="C72" s="44"/>
      <c r="D72" s="44"/>
      <c r="E72" s="44"/>
      <c r="F72" s="45"/>
      <c r="G72" s="44"/>
      <c r="H72" s="44"/>
      <c r="I72" s="44"/>
      <c r="J72" s="44"/>
      <c r="K72" s="44"/>
      <c r="L72" s="44"/>
      <c r="M72" s="4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4"/>
      <c r="C73" s="44"/>
      <c r="D73" s="44"/>
      <c r="E73" s="44"/>
      <c r="F73" s="45"/>
      <c r="G73" s="44"/>
      <c r="H73" s="44"/>
      <c r="I73" s="44"/>
      <c r="J73" s="44"/>
      <c r="K73" s="44"/>
      <c r="L73" s="50"/>
      <c r="M73" s="50"/>
      <c r="N73" s="51"/>
      <c r="O73" s="51"/>
      <c r="P73" s="51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4"/>
      <c r="C74" s="44"/>
      <c r="D74" s="44"/>
      <c r="E74" s="44"/>
      <c r="F74" s="45"/>
      <c r="G74" s="44"/>
      <c r="H74" s="44"/>
      <c r="I74" s="44"/>
      <c r="J74" s="44"/>
      <c r="K74" s="44"/>
      <c r="L74" s="44"/>
      <c r="M74" s="4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4"/>
      <c r="C75" s="44"/>
      <c r="D75" s="44"/>
      <c r="E75" s="44"/>
      <c r="F75" s="45"/>
      <c r="G75" s="44"/>
      <c r="H75" s="50" t="s">
        <v>133</v>
      </c>
      <c r="I75" s="44"/>
      <c r="J75" s="44"/>
      <c r="K75" s="44"/>
      <c r="L75" s="44"/>
      <c r="M75" s="4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4"/>
      <c r="C76" s="44"/>
      <c r="D76" s="44"/>
      <c r="E76" s="44"/>
      <c r="F76" s="45"/>
      <c r="G76" s="44"/>
      <c r="H76" s="44"/>
      <c r="I76" s="44"/>
      <c r="J76" s="44"/>
      <c r="K76" s="44"/>
      <c r="L76" s="44"/>
      <c r="M76" s="4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4"/>
      <c r="C77" s="44"/>
      <c r="D77" s="44"/>
      <c r="E77" s="44"/>
      <c r="F77" s="45"/>
      <c r="G77" s="44"/>
      <c r="H77" s="44"/>
      <c r="I77" s="44"/>
      <c r="J77" s="44"/>
      <c r="K77" s="44"/>
      <c r="L77" s="44"/>
      <c r="M77" s="4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5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5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5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5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5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5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5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5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5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5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5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5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5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5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5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5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5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5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5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5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5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5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5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5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5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5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5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5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5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5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5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5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5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5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5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5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5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5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5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5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5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5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5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5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5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5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5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5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5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5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5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5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5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5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5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5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5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5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5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5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5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5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5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5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5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5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5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5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5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5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5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5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5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5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5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5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5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5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5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5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5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5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5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5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5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5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5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5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5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5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5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5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5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5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5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5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5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5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5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5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5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5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5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5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5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5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5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5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5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5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5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5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5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5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5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5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5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5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5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5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5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5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5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5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5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5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5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5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5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5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5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5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5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5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5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5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5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5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5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5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5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5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5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5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5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5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5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5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5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5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5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5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5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5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5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5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5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5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5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5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5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5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5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5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5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5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5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5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5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5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5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5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5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5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5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5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5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5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5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5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5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5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5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5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5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5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5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5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5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5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52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52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52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52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52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52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52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52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52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52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52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52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52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52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52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52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52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52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52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52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52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52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52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52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52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52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52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52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52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52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52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52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52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52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52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52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52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52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52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52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52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52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52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52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52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52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52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52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5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52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52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52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52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52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52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52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52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52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52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52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52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52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52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52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52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52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52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52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52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52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52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52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52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52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52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52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52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52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52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52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52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52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52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52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52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52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52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52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52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52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52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52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52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52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52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52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52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52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52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52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52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52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52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52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52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52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52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52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52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52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52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52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52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52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52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52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52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52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52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52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52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52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52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52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52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52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52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52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52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52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52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52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52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52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52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52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52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52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52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52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52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52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52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52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52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52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52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52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52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52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52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52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52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52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52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52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52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52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52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52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52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52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52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52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52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52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52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52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52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52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52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52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52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52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52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52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52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52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52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52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52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52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52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52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52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52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52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52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52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52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52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52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52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52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52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52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52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52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52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5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5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5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5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5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5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5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52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52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52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52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52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52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52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52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52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52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52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52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52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52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52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52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52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52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52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52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52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52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52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52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52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52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52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52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52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52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52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52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52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52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52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52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52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52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52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52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52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52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52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52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52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52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52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52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52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52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52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52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52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52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52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52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52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52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52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52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52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52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52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52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52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52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52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5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5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5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5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5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5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5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5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5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5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5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5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5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5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5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5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5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5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5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5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5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5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5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5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5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5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5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5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5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5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5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5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5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5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5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5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5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5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5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5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5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5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5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5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5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5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5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5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5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5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5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5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5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5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5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5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5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5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5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5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5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52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52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52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5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5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5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5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5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5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5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5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52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52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52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52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5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52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5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5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5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5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5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5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52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52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52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5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5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5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5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5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5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5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5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5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5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5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5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5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52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5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5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5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5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5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5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5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5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5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5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5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5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5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5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5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5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5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5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5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5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5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5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5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5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5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5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5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5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52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52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52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52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52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5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5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5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52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52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52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52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52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52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52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5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5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52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52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5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5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52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52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52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5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52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5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52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52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52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52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52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52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52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52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52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52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52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52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52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52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52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52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52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52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52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52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52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52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52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52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52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52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52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52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52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52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52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52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52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52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52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52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52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52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52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52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52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52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52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52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52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52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52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52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52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52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52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52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52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52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52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52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52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52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52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52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52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52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52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52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52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52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52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52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52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52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52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52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52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52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52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52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52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52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52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52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52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52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52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52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52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52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52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52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52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52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52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52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52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52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52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52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52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52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52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52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52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52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52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52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52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52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52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52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52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52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52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52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52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52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52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52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52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52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52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52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52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52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52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52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52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52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52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52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52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52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52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52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52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52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52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52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52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52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52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52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52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52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52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52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52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52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52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52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52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52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52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52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52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52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52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52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52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52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52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52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52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52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52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52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52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52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52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52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52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52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52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52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52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52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52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52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52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52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52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52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52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52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52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52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52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52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52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52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52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52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52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52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52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52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52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52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52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52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52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52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52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52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52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52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52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52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52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52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52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5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5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52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52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52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52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52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52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52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52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52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52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52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52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52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52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52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52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52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52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52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52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52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52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52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52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52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52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52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52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52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52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52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52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52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52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52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52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52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52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52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52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52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52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52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52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52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52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52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52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52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52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52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52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52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52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52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52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52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52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52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52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52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52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52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52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52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52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52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52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52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52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52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52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52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</sheetData>
  <autoFilter ref="$E$9:$J$65"/>
  <mergeCells count="17">
    <mergeCell ref="L2:M2"/>
    <mergeCell ref="L7:L8"/>
    <mergeCell ref="M7:M8"/>
    <mergeCell ref="B63:D63"/>
    <mergeCell ref="B64:D64"/>
    <mergeCell ref="B65:D65"/>
    <mergeCell ref="B66:D66"/>
    <mergeCell ref="B69:D69"/>
    <mergeCell ref="E69:H69"/>
    <mergeCell ref="I69:M69"/>
    <mergeCell ref="B2:K2"/>
    <mergeCell ref="B3:M3"/>
    <mergeCell ref="B4:M4"/>
    <mergeCell ref="B5:M5"/>
    <mergeCell ref="B7:B8"/>
    <mergeCell ref="C7:C8"/>
    <mergeCell ref="D7:D8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