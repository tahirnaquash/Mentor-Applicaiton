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Sheet1!$AB$12:$AB$66</definedName>
    <definedName hidden="1" localSheetId="0" name="Z_BB92C670_47C8_473E_83F2_14B7DE62924D_.wvu.FilterData">Sheet1!$I$12:$I$65</definedName>
    <definedName hidden="1" localSheetId="0" name="Z_33E97E03_377F_41DD_9B35_C0C4E431E635_.wvu.FilterData">Sheet1!$AB$12:$AB$65</definedName>
  </definedNames>
  <calcPr/>
  <customWorkbookViews>
    <customWorkbookView activeSheetId="0" maximized="1" windowHeight="0" windowWidth="0" guid="{BB92C670-47C8-473E-83F2-14B7DE62924D}" name="Filter 2"/>
    <customWorkbookView activeSheetId="0" maximized="1" windowHeight="0" windowWidth="0" guid="{33E97E03-377F-41DD-9B35-C0C4E431E635}" name="Filter 1"/>
  </customWorkbookViews>
  <extLst>
    <ext uri="GoogleSheetsCustomDataVersion2">
      <go:sheetsCustomData xmlns:go="http://customooxmlschemas.google.com/" r:id="rId5" roundtripDataChecksum="PTPVlQsPHCO7iy8jJBD6zhh2F/3rBNt5f3OcGjgFFmg="/>
    </ext>
  </extLst>
</workbook>
</file>

<file path=xl/sharedStrings.xml><?xml version="1.0" encoding="utf-8"?>
<sst xmlns="http://schemas.openxmlformats.org/spreadsheetml/2006/main" count="167" uniqueCount="145">
  <si>
    <t>HKBK College of Engineering</t>
  </si>
  <si>
    <t>Department of Computer Science and Engineering</t>
  </si>
  <si>
    <t>Final Attendance  with grace</t>
  </si>
  <si>
    <t xml:space="preserve">  Semester: 4</t>
  </si>
  <si>
    <t>Section: A                                                                                                                                            A.Y 2025-26</t>
  </si>
  <si>
    <t>Date: 02.06.2026</t>
  </si>
  <si>
    <t>Sl#</t>
  </si>
  <si>
    <t>USN</t>
  </si>
  <si>
    <t>Subject</t>
  </si>
  <si>
    <t>BCS401</t>
  </si>
  <si>
    <t>BCS402</t>
  </si>
  <si>
    <t>BCS403</t>
  </si>
  <si>
    <t>BCSL404</t>
  </si>
  <si>
    <t>BCS456C</t>
  </si>
  <si>
    <t>BCS405A</t>
  </si>
  <si>
    <t>BBOC407</t>
  </si>
  <si>
    <t>BUHK408</t>
  </si>
  <si>
    <t>BNSK459</t>
  </si>
  <si>
    <t>BCS402 L</t>
  </si>
  <si>
    <t>BCS403L</t>
  </si>
  <si>
    <t>Avg</t>
  </si>
  <si>
    <t>No of classes taken</t>
  </si>
  <si>
    <t>Name of student</t>
  </si>
  <si>
    <t>Atnd</t>
  </si>
  <si>
    <t>%</t>
  </si>
  <si>
    <t>1HK23CS140</t>
  </si>
  <si>
    <t>SANTOSH</t>
  </si>
  <si>
    <t>1HK24CS001</t>
  </si>
  <si>
    <t>AADARSHA CHAUDHARY</t>
  </si>
  <si>
    <t>1HK24CS002</t>
  </si>
  <si>
    <t>AAIZ TARIQ SHAH QURASHI</t>
  </si>
  <si>
    <t>1HK24CS003</t>
  </si>
  <si>
    <t>ABDUL ALEEM KHAN</t>
  </si>
  <si>
    <t>1HK24CS004</t>
  </si>
  <si>
    <t>ABDUL FAHAD MUSALMAN</t>
  </si>
  <si>
    <t>1HK24CS005</t>
  </si>
  <si>
    <t>ABHISHEK</t>
  </si>
  <si>
    <t>1HK24CS006</t>
  </si>
  <si>
    <t>ABU BAKAR SIDDIQ S R</t>
  </si>
  <si>
    <t>1HK24CS007</t>
  </si>
  <si>
    <t>ADESH S PRADEEP</t>
  </si>
  <si>
    <t>1HK24CS008</t>
  </si>
  <si>
    <t>ADIL NAWAZ</t>
  </si>
  <si>
    <t>1HK24CS009</t>
  </si>
  <si>
    <t>ADITYA DWIVEDI</t>
  </si>
  <si>
    <t>1HK24CS010</t>
  </si>
  <si>
    <t>ADITYA RANA</t>
  </si>
  <si>
    <t>1HK24CS011</t>
  </si>
  <si>
    <t>AFAN PASHA K</t>
  </si>
  <si>
    <t>1HK24CS012</t>
  </si>
  <si>
    <t>AFSHANA P R</t>
  </si>
  <si>
    <t>1HK24CS013</t>
  </si>
  <si>
    <t>AISHWARYA B</t>
  </si>
  <si>
    <t>1HK24CS014</t>
  </si>
  <si>
    <t>AISHWARYA M</t>
  </si>
  <si>
    <t>1HK24CS015</t>
  </si>
  <si>
    <t>AJAY KUMAR TELI</t>
  </si>
  <si>
    <t>1HK24CS016</t>
  </si>
  <si>
    <t>AJJAYYA B N</t>
  </si>
  <si>
    <t>1HK24CS017</t>
  </si>
  <si>
    <t>AKASH DAS</t>
  </si>
  <si>
    <t>1HK24CS018</t>
  </si>
  <si>
    <t>AKASH K L</t>
  </si>
  <si>
    <t>1HK24CS019</t>
  </si>
  <si>
    <t>AKSHYA KUMAR KUSHWAHA</t>
  </si>
  <si>
    <t>1HK24CS020</t>
  </si>
  <si>
    <t>ALISHA R</t>
  </si>
  <si>
    <t>1HK24CS021</t>
  </si>
  <si>
    <t>AMRUTHA K</t>
  </si>
  <si>
    <t>1HK24CS022</t>
  </si>
  <si>
    <t>ANAND BILEMBAGI</t>
  </si>
  <si>
    <t>1HK24CS023</t>
  </si>
  <si>
    <t>ANANTAMMA</t>
  </si>
  <si>
    <t>`</t>
  </si>
  <si>
    <t>1HK24CS024</t>
  </si>
  <si>
    <t>ANANYA MADEV MOGER</t>
  </si>
  <si>
    <t>1HK24CS025</t>
  </si>
  <si>
    <t>ANJALI ARYA</t>
  </si>
  <si>
    <t>1HK24CS026</t>
  </si>
  <si>
    <t>ANNS AHMAD BHAT</t>
  </si>
  <si>
    <t>1HK24CS027</t>
  </si>
  <si>
    <t>ANTONY MITHUN</t>
  </si>
  <si>
    <t>1HK24CS028</t>
  </si>
  <si>
    <t>AQSA BANU</t>
  </si>
  <si>
    <t>1HK24CS029</t>
  </si>
  <si>
    <t>ARFA I KHAN</t>
  </si>
  <si>
    <t>1HK24CS030</t>
  </si>
  <si>
    <t>ARJUN B K THAPA</t>
  </si>
  <si>
    <t>1HK24CS031</t>
  </si>
  <si>
    <t>ARUN PRASAD PATEL</t>
  </si>
  <si>
    <t>1HK24CS032</t>
  </si>
  <si>
    <t>ARUN YADAV</t>
  </si>
  <si>
    <t>1HK24CS033</t>
  </si>
  <si>
    <t>ASJAD RAZA</t>
  </si>
  <si>
    <t>1HK24CS034</t>
  </si>
  <si>
    <t>ASRAR AHMED K</t>
  </si>
  <si>
    <t>1HK24CS035</t>
  </si>
  <si>
    <t>ATHIYA KOUSAR</t>
  </si>
  <si>
    <t>1HK24CS036</t>
  </si>
  <si>
    <t>ATHMEEYA B S</t>
  </si>
  <si>
    <t>1HK24CS037</t>
  </si>
  <si>
    <t>ATIYA AFSHAN</t>
  </si>
  <si>
    <t>1HK24CS038</t>
  </si>
  <si>
    <t>AVINASHA AMMAN KERI</t>
  </si>
  <si>
    <t>1HK24CS039</t>
  </si>
  <si>
    <t>AYESHA MUSKAAN</t>
  </si>
  <si>
    <t>1HK24CS040</t>
  </si>
  <si>
    <t>AYUSH KUMAR</t>
  </si>
  <si>
    <t>1HK24CS041</t>
  </si>
  <si>
    <t>B A JUNAID</t>
  </si>
  <si>
    <t>1HK24CS042</t>
  </si>
  <si>
    <t>B SADIYA</t>
  </si>
  <si>
    <t>1HK24CS043</t>
  </si>
  <si>
    <t>B YASHWINI</t>
  </si>
  <si>
    <t>1HK24CS044</t>
  </si>
  <si>
    <t>BANASHANKAR</t>
  </si>
  <si>
    <t>1HK24CS045</t>
  </si>
  <si>
    <t>BATTULA SAI SHREE HARSHA</t>
  </si>
  <si>
    <t>1HK24CS046</t>
  </si>
  <si>
    <t>BHAGAMMA</t>
  </si>
  <si>
    <t>1HK24CS047</t>
  </si>
  <si>
    <t>BHANUSHREE T U</t>
  </si>
  <si>
    <t>1HK24CS048</t>
  </si>
  <si>
    <t>BHAVESH KHADGA</t>
  </si>
  <si>
    <t>1HK24CS050</t>
  </si>
  <si>
    <t>BIBI FATHIMA</t>
  </si>
  <si>
    <t>1HK24CS051</t>
  </si>
  <si>
    <t>BINDU B</t>
  </si>
  <si>
    <t>1HK24CS053</t>
  </si>
  <si>
    <t>C K KAVYA</t>
  </si>
  <si>
    <t>1HK24CS054</t>
  </si>
  <si>
    <t>CETNA D T</t>
  </si>
  <si>
    <t>1HK24CS055</t>
  </si>
  <si>
    <t>CHANDANA GOWDA N</t>
  </si>
  <si>
    <t>Faculty Signatures</t>
  </si>
  <si>
    <t>DE</t>
  </si>
  <si>
    <t>AA</t>
  </si>
  <si>
    <t>SR</t>
  </si>
  <si>
    <t>KM</t>
  </si>
  <si>
    <t>UD</t>
  </si>
  <si>
    <t>SD</t>
  </si>
  <si>
    <t>SS</t>
  </si>
  <si>
    <t>Class Teacher Signature</t>
  </si>
  <si>
    <t>HOD Signature</t>
  </si>
  <si>
    <t>Principal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</si>
</sst>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/d"/>
  </numFmts>
  <fonts count="18">
    <font>
      <sz val="10.0"/>
      <color rgb="FF000000"/>
      <name val="Calibri"/>
      <scheme val="minor"/>
    </font>
    <font>
      <sz val="15.0"/>
      <color theme="1"/>
      <name val="Book Antiqua"/>
    </font>
    <font>
      <sz val="14.0"/>
      <color theme="1"/>
      <name val="Book Antiqua"/>
    </font>
    <font>
      <b/>
      <sz val="15.0"/>
      <color theme="1"/>
      <name val="Book Antiqua"/>
    </font>
    <font>
      <b/>
      <sz val="15.0"/>
      <color rgb="FF000000"/>
      <name val="Book Antiqua"/>
    </font>
    <font>
      <b/>
      <sz val="20.0"/>
      <color rgb="FF000000"/>
      <name val="Book Antiqua"/>
    </font>
    <font/>
    <font>
      <sz val="15.0"/>
      <color rgb="FF000000"/>
      <name val="Book Antiqua"/>
    </font>
    <font>
      <sz val="16.0"/>
      <color rgb="FF000000"/>
      <name val="Book Antiqua"/>
    </font>
    <font>
      <b/>
      <sz val="17.0"/>
      <color theme="1"/>
      <name val="Book Antiqua"/>
    </font>
    <font>
      <b/>
      <sz val="18.0"/>
      <color theme="1"/>
      <name val="Book Antiqua"/>
    </font>
    <font>
      <b/>
      <sz val="14.0"/>
      <color rgb="FF000000"/>
      <name val="Book Antiqua"/>
    </font>
    <font>
      <b/>
      <u/>
      <sz val="15.0"/>
      <color rgb="FF000000"/>
      <name val="Book Antiqua"/>
    </font>
    <font>
      <sz val="15.0"/>
      <color rgb="FF000000"/>
      <name val="&quot;Times New Roman&quot;"/>
    </font>
    <font>
      <sz val="15.0"/>
      <color rgb="FF000000"/>
      <name val="Calibri"/>
    </font>
    <font>
      <sz val="14.0"/>
      <color rgb="FF000000"/>
      <name val="Book Antiqua"/>
    </font>
    <font>
      <b/>
      <sz val="14.0"/>
      <color theme="1"/>
      <name val="Book Antiqua"/>
    </font>
    <font>
      <sz val="18.0"/>
      <color theme="1"/>
      <name val="Book Antiqu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horizontal="left" readingOrder="0" shrinkToFit="0" vertical="top" wrapText="0"/>
    </xf>
    <xf borderId="0" fillId="2" fontId="1" numFmtId="0" xfId="0" applyAlignment="1" applyFill="1" applyFont="1">
      <alignment horizontal="left" vertical="top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top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vertical="top"/>
    </xf>
    <xf borderId="0" fillId="2" fontId="4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left" vertical="top"/>
    </xf>
    <xf borderId="0" fillId="2" fontId="7" numFmtId="0" xfId="0" applyAlignment="1" applyFont="1">
      <alignment horizontal="center" vertical="top"/>
    </xf>
    <xf borderId="0" fillId="2" fontId="7" numFmtId="0" xfId="0" applyAlignment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vertical="top"/>
    </xf>
    <xf borderId="4" fillId="2" fontId="9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left" vertical="top"/>
    </xf>
    <xf borderId="4" fillId="2" fontId="10" numFmtId="164" xfId="0" applyAlignment="1" applyBorder="1" applyFont="1" applyNumberFormat="1">
      <alignment horizontal="center" readingOrder="0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vertical="top"/>
    </xf>
    <xf borderId="7" fillId="2" fontId="4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left" vertical="top"/>
    </xf>
    <xf borderId="0" fillId="2" fontId="4" numFmtId="0" xfId="0" applyAlignment="1" applyFont="1">
      <alignment horizontal="left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6" fillId="0" fontId="4" numFmtId="1" xfId="0" applyAlignment="1" applyBorder="1" applyFont="1" applyNumberFormat="1">
      <alignment horizontal="center" shrinkToFit="0" vertical="center" wrapText="1"/>
    </xf>
    <xf borderId="6" fillId="0" fontId="11" numFmtId="1" xfId="0" applyAlignment="1" applyBorder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horizontal="left" vertical="top"/>
    </xf>
    <xf borderId="11" fillId="2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left" vertical="top"/>
    </xf>
    <xf borderId="12" fillId="2" fontId="11" numFmtId="0" xfId="0" applyAlignment="1" applyBorder="1" applyFont="1">
      <alignment horizontal="center" readingOrder="0" shrinkToFit="0" vertical="center" wrapText="1"/>
    </xf>
    <xf borderId="13" fillId="2" fontId="4" numFmtId="0" xfId="0" applyAlignment="1" applyBorder="1" applyFont="1">
      <alignment horizontal="center" readingOrder="0" shrinkToFit="0" vertical="center" wrapText="1"/>
    </xf>
    <xf borderId="14" fillId="2" fontId="4" numFmtId="0" xfId="0" applyAlignment="1" applyBorder="1" applyFont="1">
      <alignment horizontal="center" readingOrder="0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0" fillId="2" fontId="7" numFmtId="0" xfId="0" applyAlignment="1" applyFont="1">
      <alignment horizontal="left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readingOrder="0" shrinkToFit="0" vertical="top" wrapText="1"/>
    </xf>
    <xf borderId="11" fillId="0" fontId="1" numFmtId="0" xfId="0" applyAlignment="1" applyBorder="1" applyFont="1">
      <alignment horizontal="left" readingOrder="0" shrinkToFit="0" vertical="top" wrapText="1"/>
    </xf>
    <xf borderId="11" fillId="0" fontId="7" numFmtId="1" xfId="0" applyAlignment="1" applyBorder="1" applyFont="1" applyNumberFormat="1">
      <alignment horizontal="center" readingOrder="0" shrinkToFit="0" vertical="center" wrapText="0"/>
    </xf>
    <xf borderId="13" fillId="0" fontId="7" numFmtId="1" xfId="0" applyAlignment="1" applyBorder="1" applyFont="1" applyNumberFormat="1">
      <alignment horizontal="center" shrinkToFit="0" vertical="center" wrapText="0"/>
    </xf>
    <xf borderId="11" fillId="0" fontId="7" numFmtId="1" xfId="0" applyAlignment="1" applyBorder="1" applyFont="1" applyNumberFormat="1">
      <alignment horizontal="center" shrinkToFit="0" vertical="center" wrapText="1"/>
    </xf>
    <xf borderId="11" fillId="2" fontId="2" numFmtId="1" xfId="0" applyAlignment="1" applyBorder="1" applyFont="1" applyNumberFormat="1">
      <alignment horizontal="center" readingOrder="0" shrinkToFit="0" vertical="top" wrapText="1"/>
    </xf>
    <xf borderId="13" fillId="2" fontId="2" numFmtId="1" xfId="0" applyAlignment="1" applyBorder="1" applyFont="1" applyNumberFormat="1">
      <alignment horizontal="center" shrinkToFit="0" vertical="top" wrapText="1"/>
    </xf>
    <xf borderId="11" fillId="2" fontId="7" numFmtId="1" xfId="0" applyAlignment="1" applyBorder="1" applyFont="1" applyNumberFormat="1">
      <alignment horizontal="center" shrinkToFit="0" vertical="center" wrapText="1"/>
    </xf>
    <xf borderId="11" fillId="0" fontId="13" numFmtId="1" xfId="0" applyAlignment="1" applyBorder="1" applyFont="1" applyNumberFormat="1">
      <alignment horizontal="center" readingOrder="0" shrinkToFit="0" vertical="bottom" wrapText="0"/>
    </xf>
    <xf borderId="11" fillId="0" fontId="14" numFmtId="1" xfId="0" applyAlignment="1" applyBorder="1" applyFont="1" applyNumberFormat="1">
      <alignment horizontal="right" readingOrder="0" shrinkToFit="0" vertical="bottom" wrapText="0"/>
    </xf>
    <xf borderId="11" fillId="0" fontId="7" numFmtId="1" xfId="0" applyAlignment="1" applyBorder="1" applyFont="1" applyNumberFormat="1">
      <alignment horizontal="center" readingOrder="0" shrinkToFit="0" vertical="center" wrapText="1"/>
    </xf>
    <xf borderId="13" fillId="0" fontId="7" numFmtId="1" xfId="0" applyAlignment="1" applyBorder="1" applyFont="1" applyNumberForma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3" fillId="0" fontId="7" numFmtId="1" xfId="0" applyAlignment="1" applyBorder="1" applyFont="1" applyNumberFormat="1">
      <alignment horizontal="center" shrinkToFit="0" vertical="center" wrapText="1"/>
    </xf>
    <xf borderId="13" fillId="2" fontId="7" numFmtId="1" xfId="0" applyAlignment="1" applyBorder="1" applyFont="1" applyNumberFormat="1">
      <alignment horizontal="center" readingOrder="0" shrinkToFit="0" vertical="center" wrapText="1"/>
    </xf>
    <xf borderId="13" fillId="2" fontId="7" numFmtId="1" xfId="0" applyAlignment="1" applyBorder="1" applyFont="1" applyNumberFormat="1">
      <alignment horizontal="center" shrinkToFit="0" vertical="center" wrapText="1"/>
    </xf>
    <xf borderId="10" fillId="0" fontId="7" numFmtId="1" xfId="0" applyAlignment="1" applyBorder="1" applyFont="1" applyNumberFormat="1">
      <alignment horizontal="center" readingOrder="0" shrinkToFit="0" vertical="center" wrapText="0"/>
    </xf>
    <xf borderId="8" fillId="0" fontId="7" numFmtId="1" xfId="0" applyAlignment="1" applyBorder="1" applyFont="1" applyNumberFormat="1">
      <alignment horizontal="center" readingOrder="0" shrinkToFit="0" vertical="center" wrapText="1"/>
    </xf>
    <xf borderId="8" fillId="0" fontId="7" numFmtId="1" xfId="0" applyAlignment="1" applyBorder="1" applyFont="1" applyNumberFormat="1">
      <alignment horizontal="center" shrinkToFit="0" vertical="center" wrapText="1"/>
    </xf>
    <xf borderId="8" fillId="2" fontId="7" numFmtId="1" xfId="0" applyAlignment="1" applyBorder="1" applyFont="1" applyNumberFormat="1">
      <alignment horizontal="center" readingOrder="0" shrinkToFit="0" vertical="center" wrapText="1"/>
    </xf>
    <xf borderId="11" fillId="2" fontId="15" numFmtId="1" xfId="0" applyAlignment="1" applyBorder="1" applyFont="1" applyNumberForma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8" fillId="2" fontId="7" numFmtId="1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left" vertical="top"/>
    </xf>
    <xf borderId="6" fillId="2" fontId="4" numFmtId="1" xfId="0" applyAlignment="1" applyBorder="1" applyFont="1" applyNumberForma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14" fillId="2" fontId="4" numFmtId="1" xfId="0" applyAlignment="1" applyBorder="1" applyFont="1" applyNumberFormat="1">
      <alignment horizontal="center" readingOrder="0" shrinkToFit="0" vertical="center" wrapText="1"/>
    </xf>
    <xf borderId="14" fillId="0" fontId="4" numFmtId="1" xfId="0" applyAlignment="1" applyBorder="1" applyFont="1" applyNumberFormat="1">
      <alignment horizontal="center" readingOrder="0" shrinkToFit="0" vertical="center" wrapText="1"/>
    </xf>
    <xf borderId="14" fillId="0" fontId="4" numFmtId="1" xfId="0" applyAlignment="1" applyBorder="1" applyFont="1" applyNumberFormat="1">
      <alignment horizontal="center" shrinkToFit="0" vertical="center" wrapText="1"/>
    </xf>
    <xf borderId="14" fillId="2" fontId="4" numFmtId="1" xfId="0" applyAlignment="1" applyBorder="1" applyFont="1" applyNumberFormat="1">
      <alignment horizontal="center" shrinkToFit="0" vertical="center" wrapText="1"/>
    </xf>
    <xf borderId="6" fillId="2" fontId="4" numFmtId="1" xfId="0" applyAlignment="1" applyBorder="1" applyFont="1" applyNumberFormat="1">
      <alignment horizontal="center" shrinkToFit="0" vertical="center" wrapText="1"/>
    </xf>
    <xf borderId="13" fillId="2" fontId="4" numFmtId="1" xfId="0" applyAlignment="1" applyBorder="1" applyFont="1" applyNumberFormat="1">
      <alignment horizontal="center" shrinkToFit="0" vertical="center" wrapText="1"/>
    </xf>
    <xf borderId="0" fillId="2" fontId="1" numFmtId="1" xfId="0" applyAlignment="1" applyFont="1" applyNumberFormat="1">
      <alignment horizontal="center" shrinkToFit="0" vertical="center" wrapText="1"/>
    </xf>
    <xf borderId="0" fillId="2" fontId="15" numFmtId="1" xfId="0" applyAlignment="1" applyFont="1" applyNumberFormat="1">
      <alignment horizontal="center" shrinkToFit="0" vertical="center" wrapText="1"/>
    </xf>
    <xf borderId="0" fillId="2" fontId="7" numFmtId="1" xfId="0" applyAlignment="1" applyFont="1" applyNumberFormat="1">
      <alignment horizontal="center" shrinkToFit="0" vertical="center" wrapText="1"/>
    </xf>
    <xf borderId="0" fillId="2" fontId="7" numFmtId="0" xfId="0" applyAlignment="1" applyFont="1">
      <alignment horizontal="left" vertical="top"/>
    </xf>
    <xf borderId="0" fillId="2" fontId="3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right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left" vertical="top"/>
    </xf>
    <xf borderId="11" fillId="2" fontId="1" numFmtId="0" xfId="0" applyAlignment="1" applyBorder="1" applyFont="1">
      <alignment horizontal="left" vertical="top"/>
    </xf>
    <xf borderId="0" fillId="0" fontId="17" numFmtId="1" xfId="0" applyAlignment="1" applyFont="1" applyNumberFormat="1">
      <alignment horizontal="center" shrinkToFit="0" vertical="top" wrapText="1"/>
    </xf>
    <xf borderId="0" fillId="2" fontId="2" numFmtId="1" xfId="0" applyAlignment="1" applyFont="1" applyNumberFormat="1">
      <alignment horizontal="right" vertical="top"/>
    </xf>
    <xf borderId="0" fillId="2" fontId="1" numFmtId="1" xfId="0" applyAlignment="1" applyFont="1" applyNumberFormat="1">
      <alignment horizontal="right" vertical="top"/>
    </xf>
    <xf borderId="0" fillId="2" fontId="7" numFmtId="1" xfId="0" applyAlignment="1" applyFont="1" applyNumberFormat="1">
      <alignment horizontal="center" readingOrder="0" shrinkToFit="0" vertical="center" wrapText="1"/>
    </xf>
    <xf borderId="0" fillId="2" fontId="1" numFmtId="1" xfId="0" applyAlignment="1" applyFont="1" applyNumberFormat="1">
      <alignment horizontal="center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2</xdr:row>
      <xdr:rowOff>209550</xdr:rowOff>
    </xdr:from>
    <xdr:ext cx="942975" cy="828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2</xdr:row>
      <xdr:rowOff>285750</xdr:rowOff>
    </xdr:from>
    <xdr:ext cx="2743200" cy="409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" width="3.57"/>
    <col customWidth="1" min="4" max="4" width="19.71"/>
    <col customWidth="1" min="5" max="5" width="35.0"/>
    <col customWidth="1" min="6" max="6" width="9.43"/>
    <col customWidth="1" min="7" max="7" width="8.86"/>
    <col customWidth="1" min="8" max="12" width="9.43"/>
    <col customWidth="1" min="13" max="13" width="8.14"/>
    <col customWidth="1" min="14" max="14" width="8.0"/>
    <col customWidth="1" min="15" max="15" width="6.43"/>
    <col customWidth="1" min="16" max="21" width="9.43"/>
    <col customWidth="1" hidden="1" min="22" max="23" width="9.43"/>
    <col customWidth="1" min="24" max="25" width="9.43"/>
    <col customWidth="1" hidden="1" min="26" max="27" width="9.43"/>
    <col customWidth="1" min="28" max="28" width="12.57"/>
    <col customWidth="1" min="29" max="29" width="10.71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ht="12.75" customHeight="1">
      <c r="A2" s="1"/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  <c r="Q2" s="2"/>
      <c r="R2" s="2"/>
      <c r="S2" s="6"/>
      <c r="AC2" s="5"/>
    </row>
    <row r="3" ht="30.75" customHeight="1">
      <c r="A3" s="7"/>
      <c r="B3" s="8"/>
      <c r="C3" s="9" t="s"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  <c r="AC3" s="7"/>
    </row>
    <row r="4" ht="28.5" customHeight="1">
      <c r="A4" s="12"/>
      <c r="B4" s="13"/>
      <c r="C4" s="14" t="s">
        <v>1</v>
      </c>
      <c r="AB4" s="15"/>
      <c r="AC4" s="12"/>
    </row>
    <row r="5" ht="24.0" customHeight="1">
      <c r="A5" s="1"/>
      <c r="B5" s="2"/>
      <c r="C5" s="16" t="s">
        <v>2</v>
      </c>
      <c r="AB5" s="15"/>
      <c r="AC5" s="1"/>
    </row>
    <row r="6" ht="31.5" customHeight="1">
      <c r="A6" s="17"/>
      <c r="B6" s="4"/>
      <c r="C6" s="18">
        <v>46199.0</v>
      </c>
      <c r="AB6" s="15"/>
      <c r="AC6" s="17"/>
    </row>
    <row r="7" ht="18.0" customHeight="1">
      <c r="A7" s="17"/>
      <c r="B7" s="4"/>
      <c r="C7" s="19" t="s">
        <v>3</v>
      </c>
      <c r="D7" s="20"/>
      <c r="E7" s="21" t="s">
        <v>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 t="s">
        <v>5</v>
      </c>
      <c r="Z7" s="20"/>
      <c r="AA7" s="20"/>
      <c r="AB7" s="22"/>
      <c r="AC7" s="17"/>
    </row>
    <row r="8" ht="24.75" customHeight="1">
      <c r="A8" s="23"/>
      <c r="B8" s="8"/>
      <c r="C8" s="24" t="s">
        <v>6</v>
      </c>
      <c r="D8" s="24" t="s">
        <v>7</v>
      </c>
      <c r="E8" s="25" t="s">
        <v>8</v>
      </c>
      <c r="F8" s="26" t="s">
        <v>9</v>
      </c>
      <c r="G8" s="22"/>
      <c r="H8" s="26" t="s">
        <v>10</v>
      </c>
      <c r="I8" s="22"/>
      <c r="J8" s="27" t="s">
        <v>11</v>
      </c>
      <c r="K8" s="22"/>
      <c r="L8" s="26" t="s">
        <v>12</v>
      </c>
      <c r="M8" s="22"/>
      <c r="N8" s="28" t="s">
        <v>13</v>
      </c>
      <c r="O8" s="22"/>
      <c r="P8" s="28" t="s">
        <v>14</v>
      </c>
      <c r="Q8" s="22"/>
      <c r="R8" s="28" t="s">
        <v>15</v>
      </c>
      <c r="S8" s="22"/>
      <c r="T8" s="28" t="s">
        <v>16</v>
      </c>
      <c r="U8" s="22"/>
      <c r="V8" s="28" t="s">
        <v>17</v>
      </c>
      <c r="W8" s="22"/>
      <c r="X8" s="26" t="s">
        <v>18</v>
      </c>
      <c r="Y8" s="22"/>
      <c r="Z8" s="28" t="s">
        <v>19</v>
      </c>
      <c r="AA8" s="22"/>
      <c r="AB8" s="24" t="s">
        <v>20</v>
      </c>
      <c r="AC8" s="29"/>
    </row>
    <row r="9" ht="19.5" customHeight="1">
      <c r="A9" s="23"/>
      <c r="B9" s="8"/>
      <c r="C9" s="30"/>
      <c r="D9" s="30"/>
      <c r="E9" s="31" t="s">
        <v>21</v>
      </c>
      <c r="F9" s="32">
        <v>39.0</v>
      </c>
      <c r="G9" s="33"/>
      <c r="H9" s="32">
        <v>35.0</v>
      </c>
      <c r="I9" s="33"/>
      <c r="J9" s="34">
        <v>46.0</v>
      </c>
      <c r="K9" s="33"/>
      <c r="L9" s="32">
        <v>15.0</v>
      </c>
      <c r="M9" s="35">
        <v>14.0</v>
      </c>
      <c r="N9" s="32">
        <v>11.0</v>
      </c>
      <c r="O9" s="33"/>
      <c r="P9" s="36">
        <v>48.0</v>
      </c>
      <c r="Q9" s="33"/>
      <c r="R9" s="36">
        <v>26.0</v>
      </c>
      <c r="S9" s="33"/>
      <c r="T9" s="36">
        <v>7.0</v>
      </c>
      <c r="U9" s="33"/>
      <c r="V9" s="37"/>
      <c r="W9" s="33"/>
      <c r="X9" s="38">
        <v>46340.0</v>
      </c>
      <c r="Z9" s="39"/>
      <c r="AA9" s="33"/>
      <c r="AB9" s="30"/>
      <c r="AC9" s="29"/>
    </row>
    <row r="10" ht="18.75" customHeight="1">
      <c r="A10" s="23"/>
      <c r="B10" s="8"/>
      <c r="C10" s="30"/>
      <c r="D10" s="30"/>
      <c r="E10" s="40" t="s">
        <v>22</v>
      </c>
      <c r="F10" s="40" t="s">
        <v>23</v>
      </c>
      <c r="G10" s="41" t="s">
        <v>24</v>
      </c>
      <c r="H10" s="40" t="s">
        <v>23</v>
      </c>
      <c r="I10" s="40" t="s">
        <v>24</v>
      </c>
      <c r="J10" s="42" t="s">
        <v>23</v>
      </c>
      <c r="K10" s="43" t="s">
        <v>24</v>
      </c>
      <c r="L10" s="40" t="s">
        <v>23</v>
      </c>
      <c r="M10" s="40" t="s">
        <v>24</v>
      </c>
      <c r="N10" s="40" t="s">
        <v>23</v>
      </c>
      <c r="O10" s="40" t="s">
        <v>24</v>
      </c>
      <c r="P10" s="40" t="s">
        <v>23</v>
      </c>
      <c r="Q10" s="40" t="s">
        <v>24</v>
      </c>
      <c r="R10" s="40" t="s">
        <v>23</v>
      </c>
      <c r="S10" s="40" t="s">
        <v>24</v>
      </c>
      <c r="T10" s="44" t="s">
        <v>23</v>
      </c>
      <c r="U10" s="40" t="s">
        <v>24</v>
      </c>
      <c r="V10" s="44" t="s">
        <v>23</v>
      </c>
      <c r="W10" s="40" t="s">
        <v>24</v>
      </c>
      <c r="X10" s="40" t="s">
        <v>23</v>
      </c>
      <c r="Y10" s="40" t="s">
        <v>24</v>
      </c>
      <c r="Z10" s="40" t="s">
        <v>23</v>
      </c>
      <c r="AA10" s="40" t="s">
        <v>24</v>
      </c>
      <c r="AB10" s="30"/>
      <c r="AC10" s="29"/>
    </row>
    <row r="11" ht="19.5" customHeight="1">
      <c r="A11" s="23"/>
      <c r="B11" s="8"/>
      <c r="C11" s="45"/>
      <c r="D11" s="45"/>
      <c r="E11" s="45"/>
      <c r="F11" s="30"/>
      <c r="G11" s="46"/>
      <c r="H11" s="30"/>
      <c r="I11" s="30"/>
      <c r="J11" s="15"/>
      <c r="K11" s="30"/>
      <c r="L11" s="30"/>
      <c r="M11" s="30"/>
      <c r="N11" s="45"/>
      <c r="O11" s="45"/>
      <c r="P11" s="45"/>
      <c r="Q11" s="45"/>
      <c r="R11" s="45"/>
      <c r="S11" s="45"/>
      <c r="T11" s="15"/>
      <c r="U11" s="30"/>
      <c r="V11" s="15"/>
      <c r="W11" s="30"/>
      <c r="X11" s="30"/>
      <c r="Y11" s="30"/>
      <c r="Z11" s="30"/>
      <c r="AA11" s="30"/>
      <c r="AB11" s="30"/>
      <c r="AC11" s="29"/>
    </row>
    <row r="12" ht="22.5" customHeight="1">
      <c r="A12" s="47"/>
      <c r="B12" s="13"/>
      <c r="C12" s="48">
        <v>1.0</v>
      </c>
      <c r="D12" s="49" t="s">
        <v>25</v>
      </c>
      <c r="E12" s="50" t="s">
        <v>26</v>
      </c>
      <c r="F12" s="51">
        <v>31.0</v>
      </c>
      <c r="G12" s="52">
        <f t="shared" ref="G12:G65" si="1">(F12/$F$9)*100</f>
        <v>79.48717949</v>
      </c>
      <c r="H12" s="53">
        <v>24.0</v>
      </c>
      <c r="I12" s="53">
        <f t="shared" ref="I12:I65" si="2">H12*100/35</f>
        <v>68.57142857</v>
      </c>
      <c r="J12" s="54">
        <v>32.0</v>
      </c>
      <c r="K12" s="55">
        <f t="shared" ref="K12:K65" si="3">(J12/46)*100</f>
        <v>69.56521739</v>
      </c>
      <c r="L12" s="51">
        <v>11.0</v>
      </c>
      <c r="M12" s="56">
        <f t="shared" ref="M12:M39" si="4">(L12/$L$9)*100</f>
        <v>73.33333333</v>
      </c>
      <c r="N12" s="57">
        <v>8.0</v>
      </c>
      <c r="O12" s="58">
        <v>72.7</v>
      </c>
      <c r="P12" s="59">
        <v>29.0</v>
      </c>
      <c r="Q12" s="60">
        <f t="shared" ref="Q12:Q65" si="5">(P12/48)*100</f>
        <v>60.41666667</v>
      </c>
      <c r="R12" s="61">
        <v>19.0</v>
      </c>
      <c r="S12" s="53">
        <f t="shared" ref="S12:S65" si="6">(R12/26)*100</f>
        <v>73.07692308</v>
      </c>
      <c r="T12" s="60">
        <v>6.0</v>
      </c>
      <c r="U12" s="60">
        <v>86.0</v>
      </c>
      <c r="V12" s="62"/>
      <c r="W12" s="62"/>
      <c r="X12" s="63">
        <v>9.0</v>
      </c>
      <c r="Y12" s="64">
        <f t="shared" ref="Y12:Y38" si="7">X12*100/11</f>
        <v>81.81818182</v>
      </c>
      <c r="Z12" s="64"/>
      <c r="AA12" s="64"/>
      <c r="AB12" s="64">
        <f t="shared" ref="AB12:AB65" si="8">average(G12,I12,K12,M12,O12,Q12,S12,U12,Y12)</f>
        <v>73.88543671</v>
      </c>
      <c r="AC12" s="47"/>
    </row>
    <row r="13" ht="22.5" customHeight="1">
      <c r="A13" s="47"/>
      <c r="B13" s="13"/>
      <c r="C13" s="48">
        <v>2.0</v>
      </c>
      <c r="D13" s="49" t="s">
        <v>27</v>
      </c>
      <c r="E13" s="50" t="s">
        <v>28</v>
      </c>
      <c r="F13" s="65">
        <v>36.0</v>
      </c>
      <c r="G13" s="52">
        <f t="shared" si="1"/>
        <v>92.30769231</v>
      </c>
      <c r="H13" s="53">
        <v>27.0</v>
      </c>
      <c r="I13" s="53">
        <f t="shared" si="2"/>
        <v>77.14285714</v>
      </c>
      <c r="J13" s="54">
        <v>38.0</v>
      </c>
      <c r="K13" s="55">
        <f t="shared" si="3"/>
        <v>82.60869565</v>
      </c>
      <c r="L13" s="51">
        <v>13.0</v>
      </c>
      <c r="M13" s="56">
        <f t="shared" si="4"/>
        <v>86.66666667</v>
      </c>
      <c r="N13" s="57">
        <v>10.0</v>
      </c>
      <c r="O13" s="58">
        <v>90.9</v>
      </c>
      <c r="P13" s="59">
        <v>42.0</v>
      </c>
      <c r="Q13" s="60">
        <f t="shared" si="5"/>
        <v>87.5</v>
      </c>
      <c r="R13" s="61">
        <v>21.0</v>
      </c>
      <c r="S13" s="53">
        <f t="shared" si="6"/>
        <v>80.76923077</v>
      </c>
      <c r="T13" s="66">
        <v>7.0</v>
      </c>
      <c r="U13" s="60">
        <v>100.0</v>
      </c>
      <c r="V13" s="67"/>
      <c r="W13" s="62"/>
      <c r="X13" s="68">
        <v>10.0</v>
      </c>
      <c r="Y13" s="64">
        <f t="shared" si="7"/>
        <v>90.90909091</v>
      </c>
      <c r="Z13" s="64"/>
      <c r="AA13" s="64"/>
      <c r="AB13" s="64">
        <f t="shared" si="8"/>
        <v>87.64491483</v>
      </c>
      <c r="AC13" s="47"/>
    </row>
    <row r="14" ht="22.5" customHeight="1">
      <c r="A14" s="47"/>
      <c r="B14" s="13"/>
      <c r="C14" s="48">
        <v>3.0</v>
      </c>
      <c r="D14" s="49" t="s">
        <v>29</v>
      </c>
      <c r="E14" s="50" t="s">
        <v>30</v>
      </c>
      <c r="F14" s="65">
        <v>38.0</v>
      </c>
      <c r="G14" s="52">
        <f t="shared" si="1"/>
        <v>97.43589744</v>
      </c>
      <c r="H14" s="53">
        <v>30.0</v>
      </c>
      <c r="I14" s="53">
        <f t="shared" si="2"/>
        <v>85.71428571</v>
      </c>
      <c r="J14" s="69">
        <v>41.0</v>
      </c>
      <c r="K14" s="55">
        <f t="shared" si="3"/>
        <v>89.13043478</v>
      </c>
      <c r="L14" s="51">
        <v>15.0</v>
      </c>
      <c r="M14" s="56">
        <f t="shared" si="4"/>
        <v>100</v>
      </c>
      <c r="N14" s="57">
        <v>10.0</v>
      </c>
      <c r="O14" s="58">
        <v>90.9</v>
      </c>
      <c r="P14" s="59">
        <v>37.0</v>
      </c>
      <c r="Q14" s="60">
        <f t="shared" si="5"/>
        <v>77.08333333</v>
      </c>
      <c r="R14" s="61">
        <v>20.0</v>
      </c>
      <c r="S14" s="53">
        <f t="shared" si="6"/>
        <v>76.92307692</v>
      </c>
      <c r="T14" s="66">
        <v>7.0</v>
      </c>
      <c r="U14" s="60">
        <v>100.0</v>
      </c>
      <c r="V14" s="67"/>
      <c r="W14" s="62"/>
      <c r="X14" s="68">
        <v>10.0</v>
      </c>
      <c r="Y14" s="64">
        <f t="shared" si="7"/>
        <v>90.90909091</v>
      </c>
      <c r="Z14" s="64"/>
      <c r="AA14" s="64"/>
      <c r="AB14" s="64">
        <f t="shared" si="8"/>
        <v>89.78845768</v>
      </c>
      <c r="AC14" s="47"/>
    </row>
    <row r="15" ht="22.5" customHeight="1">
      <c r="A15" s="47"/>
      <c r="B15" s="13"/>
      <c r="C15" s="48">
        <v>4.0</v>
      </c>
      <c r="D15" s="49" t="s">
        <v>31</v>
      </c>
      <c r="E15" s="50" t="s">
        <v>32</v>
      </c>
      <c r="F15" s="65">
        <v>21.0</v>
      </c>
      <c r="G15" s="52">
        <f t="shared" si="1"/>
        <v>53.84615385</v>
      </c>
      <c r="H15" s="53">
        <v>17.0</v>
      </c>
      <c r="I15" s="53">
        <f t="shared" si="2"/>
        <v>48.57142857</v>
      </c>
      <c r="J15" s="69">
        <v>29.0</v>
      </c>
      <c r="K15" s="55">
        <f t="shared" si="3"/>
        <v>63.04347826</v>
      </c>
      <c r="L15" s="51">
        <v>9.0</v>
      </c>
      <c r="M15" s="56">
        <f t="shared" si="4"/>
        <v>60</v>
      </c>
      <c r="N15" s="57">
        <v>4.0</v>
      </c>
      <c r="O15" s="58">
        <v>36.3</v>
      </c>
      <c r="P15" s="59">
        <v>29.0</v>
      </c>
      <c r="Q15" s="60">
        <f t="shared" si="5"/>
        <v>60.41666667</v>
      </c>
      <c r="R15" s="61">
        <v>12.0</v>
      </c>
      <c r="S15" s="53">
        <f t="shared" si="6"/>
        <v>46.15384615</v>
      </c>
      <c r="T15" s="66">
        <v>5.0</v>
      </c>
      <c r="U15" s="60">
        <v>71.0</v>
      </c>
      <c r="V15" s="53"/>
      <c r="W15" s="62"/>
      <c r="X15" s="68">
        <v>9.0</v>
      </c>
      <c r="Y15" s="64">
        <f t="shared" si="7"/>
        <v>81.81818182</v>
      </c>
      <c r="Z15" s="64"/>
      <c r="AA15" s="64"/>
      <c r="AB15" s="64">
        <f t="shared" si="8"/>
        <v>57.90552837</v>
      </c>
      <c r="AC15" s="47"/>
    </row>
    <row r="16" ht="22.5" customHeight="1">
      <c r="A16" s="47"/>
      <c r="B16" s="13"/>
      <c r="C16" s="48">
        <v>5.0</v>
      </c>
      <c r="D16" s="49" t="s">
        <v>33</v>
      </c>
      <c r="E16" s="50" t="s">
        <v>34</v>
      </c>
      <c r="F16" s="65">
        <v>35.0</v>
      </c>
      <c r="G16" s="52">
        <f t="shared" si="1"/>
        <v>89.74358974</v>
      </c>
      <c r="H16" s="53">
        <v>27.0</v>
      </c>
      <c r="I16" s="53">
        <f t="shared" si="2"/>
        <v>77.14285714</v>
      </c>
      <c r="J16" s="69">
        <v>38.0</v>
      </c>
      <c r="K16" s="55">
        <f t="shared" si="3"/>
        <v>82.60869565</v>
      </c>
      <c r="L16" s="51">
        <v>14.0</v>
      </c>
      <c r="M16" s="56">
        <f t="shared" si="4"/>
        <v>93.33333333</v>
      </c>
      <c r="N16" s="57">
        <v>6.0</v>
      </c>
      <c r="O16" s="58">
        <v>54.5</v>
      </c>
      <c r="P16" s="59">
        <v>30.0</v>
      </c>
      <c r="Q16" s="60">
        <f t="shared" si="5"/>
        <v>62.5</v>
      </c>
      <c r="R16" s="61">
        <v>21.0</v>
      </c>
      <c r="S16" s="53">
        <f t="shared" si="6"/>
        <v>80.76923077</v>
      </c>
      <c r="T16" s="66">
        <v>4.0</v>
      </c>
      <c r="U16" s="60">
        <v>57.0</v>
      </c>
      <c r="V16" s="67"/>
      <c r="W16" s="62"/>
      <c r="X16" s="68">
        <v>10.0</v>
      </c>
      <c r="Y16" s="64">
        <f t="shared" si="7"/>
        <v>90.90909091</v>
      </c>
      <c r="Z16" s="64"/>
      <c r="AA16" s="64"/>
      <c r="AB16" s="64">
        <f t="shared" si="8"/>
        <v>76.50075528</v>
      </c>
      <c r="AC16" s="47"/>
    </row>
    <row r="17" ht="22.5" customHeight="1">
      <c r="A17" s="47"/>
      <c r="B17" s="13"/>
      <c r="C17" s="48">
        <v>6.0</v>
      </c>
      <c r="D17" s="49" t="s">
        <v>35</v>
      </c>
      <c r="E17" s="50" t="s">
        <v>36</v>
      </c>
      <c r="F17" s="65">
        <v>33.0</v>
      </c>
      <c r="G17" s="52">
        <f t="shared" si="1"/>
        <v>84.61538462</v>
      </c>
      <c r="H17" s="53">
        <v>26.0</v>
      </c>
      <c r="I17" s="53">
        <f t="shared" si="2"/>
        <v>74.28571429</v>
      </c>
      <c r="J17" s="69">
        <v>36.0</v>
      </c>
      <c r="K17" s="55">
        <f t="shared" si="3"/>
        <v>78.26086957</v>
      </c>
      <c r="L17" s="51">
        <v>13.0</v>
      </c>
      <c r="M17" s="56">
        <f t="shared" si="4"/>
        <v>86.66666667</v>
      </c>
      <c r="N17" s="57">
        <v>9.0</v>
      </c>
      <c r="O17" s="58">
        <v>81.8</v>
      </c>
      <c r="P17" s="59">
        <v>43.0</v>
      </c>
      <c r="Q17" s="60">
        <f t="shared" si="5"/>
        <v>89.58333333</v>
      </c>
      <c r="R17" s="61">
        <v>20.0</v>
      </c>
      <c r="S17" s="53">
        <f t="shared" si="6"/>
        <v>76.92307692</v>
      </c>
      <c r="T17" s="66">
        <v>7.0</v>
      </c>
      <c r="U17" s="60">
        <v>100.0</v>
      </c>
      <c r="V17" s="67"/>
      <c r="W17" s="62"/>
      <c r="X17" s="68">
        <v>9.0</v>
      </c>
      <c r="Y17" s="64">
        <f t="shared" si="7"/>
        <v>81.81818182</v>
      </c>
      <c r="Z17" s="64"/>
      <c r="AA17" s="64"/>
      <c r="AB17" s="64">
        <f t="shared" si="8"/>
        <v>83.7725808</v>
      </c>
      <c r="AC17" s="47"/>
    </row>
    <row r="18" ht="22.5" customHeight="1">
      <c r="A18" s="47"/>
      <c r="B18" s="13"/>
      <c r="C18" s="48">
        <v>7.0</v>
      </c>
      <c r="D18" s="49" t="s">
        <v>37</v>
      </c>
      <c r="E18" s="50" t="s">
        <v>38</v>
      </c>
      <c r="F18" s="65">
        <v>21.0</v>
      </c>
      <c r="G18" s="52">
        <f t="shared" si="1"/>
        <v>53.84615385</v>
      </c>
      <c r="H18" s="53">
        <v>12.0</v>
      </c>
      <c r="I18" s="53">
        <f t="shared" si="2"/>
        <v>34.28571429</v>
      </c>
      <c r="J18" s="69">
        <v>26.0</v>
      </c>
      <c r="K18" s="55">
        <f t="shared" si="3"/>
        <v>56.52173913</v>
      </c>
      <c r="L18" s="51">
        <v>10.0</v>
      </c>
      <c r="M18" s="56">
        <f t="shared" si="4"/>
        <v>66.66666667</v>
      </c>
      <c r="N18" s="57">
        <v>6.0</v>
      </c>
      <c r="O18" s="58">
        <v>54.5</v>
      </c>
      <c r="P18" s="59">
        <v>21.0</v>
      </c>
      <c r="Q18" s="60">
        <f t="shared" si="5"/>
        <v>43.75</v>
      </c>
      <c r="R18" s="61">
        <v>8.0</v>
      </c>
      <c r="S18" s="53">
        <f t="shared" si="6"/>
        <v>30.76923077</v>
      </c>
      <c r="T18" s="66">
        <v>4.0</v>
      </c>
      <c r="U18" s="60">
        <v>57.0</v>
      </c>
      <c r="V18" s="67"/>
      <c r="W18" s="62"/>
      <c r="X18" s="68">
        <v>7.0</v>
      </c>
      <c r="Y18" s="64">
        <f t="shared" si="7"/>
        <v>63.63636364</v>
      </c>
      <c r="Z18" s="64"/>
      <c r="AA18" s="64"/>
      <c r="AB18" s="64">
        <f t="shared" si="8"/>
        <v>51.21954093</v>
      </c>
      <c r="AC18" s="47"/>
    </row>
    <row r="19" ht="22.5" customHeight="1">
      <c r="A19" s="47"/>
      <c r="B19" s="13"/>
      <c r="C19" s="48">
        <v>8.0</v>
      </c>
      <c r="D19" s="49" t="s">
        <v>39</v>
      </c>
      <c r="E19" s="50" t="s">
        <v>40</v>
      </c>
      <c r="F19" s="65">
        <v>30.0</v>
      </c>
      <c r="G19" s="52">
        <f t="shared" si="1"/>
        <v>76.92307692</v>
      </c>
      <c r="H19" s="53">
        <v>23.0</v>
      </c>
      <c r="I19" s="53">
        <f t="shared" si="2"/>
        <v>65.71428571</v>
      </c>
      <c r="J19" s="69">
        <v>37.0</v>
      </c>
      <c r="K19" s="55">
        <f t="shared" si="3"/>
        <v>80.43478261</v>
      </c>
      <c r="L19" s="51">
        <v>12.0</v>
      </c>
      <c r="M19" s="56">
        <f t="shared" si="4"/>
        <v>80</v>
      </c>
      <c r="N19" s="57">
        <v>9.0</v>
      </c>
      <c r="O19" s="58">
        <v>81.8</v>
      </c>
      <c r="P19" s="59">
        <v>35.0</v>
      </c>
      <c r="Q19" s="60">
        <f t="shared" si="5"/>
        <v>72.91666667</v>
      </c>
      <c r="R19" s="61">
        <v>22.0</v>
      </c>
      <c r="S19" s="53">
        <f t="shared" si="6"/>
        <v>84.61538462</v>
      </c>
      <c r="T19" s="66">
        <v>6.0</v>
      </c>
      <c r="U19" s="60">
        <v>86.0</v>
      </c>
      <c r="V19" s="67"/>
      <c r="W19" s="62"/>
      <c r="X19" s="68">
        <v>8.0</v>
      </c>
      <c r="Y19" s="64">
        <f t="shared" si="7"/>
        <v>72.72727273</v>
      </c>
      <c r="Z19" s="64"/>
      <c r="AA19" s="64"/>
      <c r="AB19" s="64">
        <f t="shared" si="8"/>
        <v>77.90349658</v>
      </c>
      <c r="AC19" s="47"/>
    </row>
    <row r="20" ht="22.5" customHeight="1">
      <c r="A20" s="47"/>
      <c r="B20" s="13"/>
      <c r="C20" s="48">
        <v>9.0</v>
      </c>
      <c r="D20" s="49" t="s">
        <v>41</v>
      </c>
      <c r="E20" s="50" t="s">
        <v>42</v>
      </c>
      <c r="F20" s="65">
        <v>38.0</v>
      </c>
      <c r="G20" s="52">
        <f t="shared" si="1"/>
        <v>97.43589744</v>
      </c>
      <c r="H20" s="53">
        <v>23.0</v>
      </c>
      <c r="I20" s="53">
        <f t="shared" si="2"/>
        <v>65.71428571</v>
      </c>
      <c r="J20" s="69">
        <v>36.0</v>
      </c>
      <c r="K20" s="55">
        <f t="shared" si="3"/>
        <v>78.26086957</v>
      </c>
      <c r="L20" s="51">
        <v>13.0</v>
      </c>
      <c r="M20" s="56">
        <f t="shared" si="4"/>
        <v>86.66666667</v>
      </c>
      <c r="N20" s="57">
        <v>11.0</v>
      </c>
      <c r="O20" s="58">
        <v>100.0</v>
      </c>
      <c r="P20" s="59">
        <v>37.0</v>
      </c>
      <c r="Q20" s="60">
        <f t="shared" si="5"/>
        <v>77.08333333</v>
      </c>
      <c r="R20" s="61">
        <v>18.0</v>
      </c>
      <c r="S20" s="53">
        <f t="shared" si="6"/>
        <v>69.23076923</v>
      </c>
      <c r="T20" s="66">
        <v>4.0</v>
      </c>
      <c r="U20" s="60">
        <v>57.0</v>
      </c>
      <c r="V20" s="67"/>
      <c r="W20" s="62"/>
      <c r="X20" s="68">
        <v>11.0</v>
      </c>
      <c r="Y20" s="64">
        <f t="shared" si="7"/>
        <v>100</v>
      </c>
      <c r="Z20" s="64"/>
      <c r="AA20" s="64"/>
      <c r="AB20" s="64">
        <f t="shared" si="8"/>
        <v>81.26575799</v>
      </c>
      <c r="AC20" s="47"/>
    </row>
    <row r="21" ht="22.5" customHeight="1">
      <c r="A21" s="47"/>
      <c r="B21" s="13"/>
      <c r="C21" s="48">
        <v>10.0</v>
      </c>
      <c r="D21" s="49" t="s">
        <v>43</v>
      </c>
      <c r="E21" s="50" t="s">
        <v>44</v>
      </c>
      <c r="F21" s="65">
        <v>33.0</v>
      </c>
      <c r="G21" s="52">
        <f t="shared" si="1"/>
        <v>84.61538462</v>
      </c>
      <c r="H21" s="53">
        <v>25.0</v>
      </c>
      <c r="I21" s="53">
        <f t="shared" si="2"/>
        <v>71.42857143</v>
      </c>
      <c r="J21" s="69">
        <v>36.0</v>
      </c>
      <c r="K21" s="55">
        <f t="shared" si="3"/>
        <v>78.26086957</v>
      </c>
      <c r="L21" s="51">
        <v>11.0</v>
      </c>
      <c r="M21" s="56">
        <f t="shared" si="4"/>
        <v>73.33333333</v>
      </c>
      <c r="N21" s="57">
        <v>9.0</v>
      </c>
      <c r="O21" s="58">
        <v>81.8</v>
      </c>
      <c r="P21" s="59">
        <v>41.0</v>
      </c>
      <c r="Q21" s="60">
        <f t="shared" si="5"/>
        <v>85.41666667</v>
      </c>
      <c r="R21" s="61">
        <v>19.0</v>
      </c>
      <c r="S21" s="53">
        <f t="shared" si="6"/>
        <v>73.07692308</v>
      </c>
      <c r="T21" s="66">
        <v>7.0</v>
      </c>
      <c r="U21" s="60">
        <v>100.0</v>
      </c>
      <c r="V21" s="67"/>
      <c r="W21" s="62"/>
      <c r="X21" s="68">
        <v>8.0</v>
      </c>
      <c r="Y21" s="64">
        <f t="shared" si="7"/>
        <v>72.72727273</v>
      </c>
      <c r="Z21" s="64"/>
      <c r="AA21" s="64"/>
      <c r="AB21" s="64">
        <f t="shared" si="8"/>
        <v>80.0732246</v>
      </c>
      <c r="AC21" s="47"/>
    </row>
    <row r="22" ht="22.5" customHeight="1">
      <c r="A22" s="47"/>
      <c r="B22" s="13"/>
      <c r="C22" s="48">
        <v>11.0</v>
      </c>
      <c r="D22" s="49" t="s">
        <v>45</v>
      </c>
      <c r="E22" s="50" t="s">
        <v>46</v>
      </c>
      <c r="F22" s="65">
        <v>30.0</v>
      </c>
      <c r="G22" s="52">
        <f t="shared" si="1"/>
        <v>76.92307692</v>
      </c>
      <c r="H22" s="53">
        <v>22.0</v>
      </c>
      <c r="I22" s="53">
        <f t="shared" si="2"/>
        <v>62.85714286</v>
      </c>
      <c r="J22" s="69">
        <v>36.0</v>
      </c>
      <c r="K22" s="55">
        <f t="shared" si="3"/>
        <v>78.26086957</v>
      </c>
      <c r="L22" s="51">
        <v>14.0</v>
      </c>
      <c r="M22" s="56">
        <f t="shared" si="4"/>
        <v>93.33333333</v>
      </c>
      <c r="N22" s="57">
        <v>9.0</v>
      </c>
      <c r="O22" s="58">
        <v>81.8</v>
      </c>
      <c r="P22" s="59">
        <v>37.0</v>
      </c>
      <c r="Q22" s="60">
        <f t="shared" si="5"/>
        <v>77.08333333</v>
      </c>
      <c r="R22" s="61">
        <v>17.0</v>
      </c>
      <c r="S22" s="53">
        <f t="shared" si="6"/>
        <v>65.38461538</v>
      </c>
      <c r="T22" s="66">
        <v>6.0</v>
      </c>
      <c r="U22" s="60">
        <v>86.0</v>
      </c>
      <c r="V22" s="67"/>
      <c r="W22" s="62"/>
      <c r="X22" s="68">
        <v>9.0</v>
      </c>
      <c r="Y22" s="64">
        <f t="shared" si="7"/>
        <v>81.81818182</v>
      </c>
      <c r="Z22" s="64"/>
      <c r="AA22" s="64"/>
      <c r="AB22" s="64">
        <f t="shared" si="8"/>
        <v>78.16228369</v>
      </c>
      <c r="AC22" s="47"/>
    </row>
    <row r="23" ht="22.5" customHeight="1">
      <c r="A23" s="47"/>
      <c r="B23" s="13"/>
      <c r="C23" s="48">
        <v>12.0</v>
      </c>
      <c r="D23" s="49" t="s">
        <v>47</v>
      </c>
      <c r="E23" s="50" t="s">
        <v>48</v>
      </c>
      <c r="F23" s="65">
        <v>31.0</v>
      </c>
      <c r="G23" s="52">
        <f t="shared" si="1"/>
        <v>79.48717949</v>
      </c>
      <c r="H23" s="53">
        <v>24.0</v>
      </c>
      <c r="I23" s="53">
        <f t="shared" si="2"/>
        <v>68.57142857</v>
      </c>
      <c r="J23" s="69">
        <v>37.0</v>
      </c>
      <c r="K23" s="55">
        <f t="shared" si="3"/>
        <v>80.43478261</v>
      </c>
      <c r="L23" s="51">
        <v>11.0</v>
      </c>
      <c r="M23" s="56">
        <f t="shared" si="4"/>
        <v>73.33333333</v>
      </c>
      <c r="N23" s="57">
        <v>9.0</v>
      </c>
      <c r="O23" s="58">
        <v>81.8</v>
      </c>
      <c r="P23" s="59">
        <v>23.0</v>
      </c>
      <c r="Q23" s="60">
        <f t="shared" si="5"/>
        <v>47.91666667</v>
      </c>
      <c r="R23" s="61">
        <v>16.0</v>
      </c>
      <c r="S23" s="53">
        <f t="shared" si="6"/>
        <v>61.53846154</v>
      </c>
      <c r="T23" s="66">
        <v>6.0</v>
      </c>
      <c r="U23" s="60">
        <v>86.0</v>
      </c>
      <c r="V23" s="67"/>
      <c r="W23" s="62"/>
      <c r="X23" s="68">
        <v>10.0</v>
      </c>
      <c r="Y23" s="64">
        <f t="shared" si="7"/>
        <v>90.90909091</v>
      </c>
      <c r="Z23" s="64"/>
      <c r="AA23" s="64"/>
      <c r="AB23" s="64">
        <f t="shared" si="8"/>
        <v>74.44343812</v>
      </c>
      <c r="AC23" s="47"/>
    </row>
    <row r="24" ht="22.5" customHeight="1">
      <c r="A24" s="47"/>
      <c r="B24" s="13"/>
      <c r="C24" s="48">
        <v>13.0</v>
      </c>
      <c r="D24" s="49" t="s">
        <v>49</v>
      </c>
      <c r="E24" s="50" t="s">
        <v>50</v>
      </c>
      <c r="F24" s="65">
        <v>35.0</v>
      </c>
      <c r="G24" s="52">
        <f t="shared" si="1"/>
        <v>89.74358974</v>
      </c>
      <c r="H24" s="53">
        <v>25.0</v>
      </c>
      <c r="I24" s="53">
        <f t="shared" si="2"/>
        <v>71.42857143</v>
      </c>
      <c r="J24" s="69">
        <v>40.0</v>
      </c>
      <c r="K24" s="55">
        <f t="shared" si="3"/>
        <v>86.95652174</v>
      </c>
      <c r="L24" s="51">
        <v>12.0</v>
      </c>
      <c r="M24" s="56">
        <f t="shared" si="4"/>
        <v>80</v>
      </c>
      <c r="N24" s="57">
        <v>11.0</v>
      </c>
      <c r="O24" s="58">
        <v>100.0</v>
      </c>
      <c r="P24" s="59">
        <v>32.0</v>
      </c>
      <c r="Q24" s="60">
        <f t="shared" si="5"/>
        <v>66.66666667</v>
      </c>
      <c r="R24" s="61">
        <v>19.0</v>
      </c>
      <c r="S24" s="53">
        <f t="shared" si="6"/>
        <v>73.07692308</v>
      </c>
      <c r="T24" s="66">
        <v>4.0</v>
      </c>
      <c r="U24" s="60">
        <v>57.0</v>
      </c>
      <c r="V24" s="67"/>
      <c r="W24" s="62"/>
      <c r="X24" s="68">
        <v>11.0</v>
      </c>
      <c r="Y24" s="64">
        <f t="shared" si="7"/>
        <v>100</v>
      </c>
      <c r="Z24" s="64"/>
      <c r="AA24" s="64"/>
      <c r="AB24" s="64">
        <f t="shared" si="8"/>
        <v>80.54136363</v>
      </c>
      <c r="AC24" s="47"/>
    </row>
    <row r="25" ht="22.5" customHeight="1">
      <c r="A25" s="47"/>
      <c r="B25" s="13"/>
      <c r="C25" s="48">
        <v>14.0</v>
      </c>
      <c r="D25" s="49" t="s">
        <v>51</v>
      </c>
      <c r="E25" s="50" t="s">
        <v>52</v>
      </c>
      <c r="F25" s="65">
        <v>33.0</v>
      </c>
      <c r="G25" s="52">
        <f t="shared" si="1"/>
        <v>84.61538462</v>
      </c>
      <c r="H25" s="53">
        <v>26.0</v>
      </c>
      <c r="I25" s="53">
        <f t="shared" si="2"/>
        <v>74.28571429</v>
      </c>
      <c r="J25" s="69">
        <v>37.0</v>
      </c>
      <c r="K25" s="55">
        <f t="shared" si="3"/>
        <v>80.43478261</v>
      </c>
      <c r="L25" s="51">
        <v>12.0</v>
      </c>
      <c r="M25" s="56">
        <f t="shared" si="4"/>
        <v>80</v>
      </c>
      <c r="N25" s="57">
        <v>6.0</v>
      </c>
      <c r="O25" s="58">
        <v>54.5</v>
      </c>
      <c r="P25" s="59">
        <v>38.0</v>
      </c>
      <c r="Q25" s="60">
        <f t="shared" si="5"/>
        <v>79.16666667</v>
      </c>
      <c r="R25" s="61">
        <v>21.0</v>
      </c>
      <c r="S25" s="53">
        <f t="shared" si="6"/>
        <v>80.76923077</v>
      </c>
      <c r="T25" s="66">
        <v>6.0</v>
      </c>
      <c r="U25" s="60">
        <v>86.0</v>
      </c>
      <c r="V25" s="67"/>
      <c r="W25" s="62"/>
      <c r="X25" s="68">
        <v>11.0</v>
      </c>
      <c r="Y25" s="64">
        <f t="shared" si="7"/>
        <v>100</v>
      </c>
      <c r="Z25" s="64"/>
      <c r="AA25" s="64"/>
      <c r="AB25" s="64">
        <f t="shared" si="8"/>
        <v>79.97464211</v>
      </c>
      <c r="AC25" s="47"/>
    </row>
    <row r="26" ht="22.5" customHeight="1">
      <c r="A26" s="47"/>
      <c r="B26" s="13"/>
      <c r="C26" s="48">
        <v>15.0</v>
      </c>
      <c r="D26" s="49" t="s">
        <v>53</v>
      </c>
      <c r="E26" s="50" t="s">
        <v>54</v>
      </c>
      <c r="F26" s="65">
        <v>34.0</v>
      </c>
      <c r="G26" s="52">
        <f t="shared" si="1"/>
        <v>87.17948718</v>
      </c>
      <c r="H26" s="53">
        <v>24.0</v>
      </c>
      <c r="I26" s="53">
        <f t="shared" si="2"/>
        <v>68.57142857</v>
      </c>
      <c r="J26" s="69">
        <v>37.0</v>
      </c>
      <c r="K26" s="55">
        <f t="shared" si="3"/>
        <v>80.43478261</v>
      </c>
      <c r="L26" s="51">
        <v>11.0</v>
      </c>
      <c r="M26" s="56">
        <f t="shared" si="4"/>
        <v>73.33333333</v>
      </c>
      <c r="N26" s="57">
        <v>9.0</v>
      </c>
      <c r="O26" s="58">
        <v>81.8</v>
      </c>
      <c r="P26" s="59">
        <v>30.0</v>
      </c>
      <c r="Q26" s="60">
        <f t="shared" si="5"/>
        <v>62.5</v>
      </c>
      <c r="R26" s="61">
        <v>18.0</v>
      </c>
      <c r="S26" s="53">
        <f t="shared" si="6"/>
        <v>69.23076923</v>
      </c>
      <c r="T26" s="66">
        <v>4.0</v>
      </c>
      <c r="U26" s="60">
        <v>57.0</v>
      </c>
      <c r="V26" s="67"/>
      <c r="W26" s="62"/>
      <c r="X26" s="68">
        <v>9.0</v>
      </c>
      <c r="Y26" s="64">
        <f t="shared" si="7"/>
        <v>81.81818182</v>
      </c>
      <c r="Z26" s="64"/>
      <c r="AA26" s="64"/>
      <c r="AB26" s="64">
        <f t="shared" si="8"/>
        <v>73.54088697</v>
      </c>
      <c r="AC26" s="47"/>
    </row>
    <row r="27" ht="22.5" customHeight="1">
      <c r="A27" s="47"/>
      <c r="B27" s="13"/>
      <c r="C27" s="48">
        <v>16.0</v>
      </c>
      <c r="D27" s="49" t="s">
        <v>55</v>
      </c>
      <c r="E27" s="50" t="s">
        <v>56</v>
      </c>
      <c r="F27" s="65">
        <v>34.0</v>
      </c>
      <c r="G27" s="52">
        <f t="shared" si="1"/>
        <v>87.17948718</v>
      </c>
      <c r="H27" s="53">
        <v>26.0</v>
      </c>
      <c r="I27" s="53">
        <f t="shared" si="2"/>
        <v>74.28571429</v>
      </c>
      <c r="J27" s="69">
        <v>36.0</v>
      </c>
      <c r="K27" s="55">
        <f t="shared" si="3"/>
        <v>78.26086957</v>
      </c>
      <c r="L27" s="51">
        <v>11.0</v>
      </c>
      <c r="M27" s="56">
        <f t="shared" si="4"/>
        <v>73.33333333</v>
      </c>
      <c r="N27" s="57">
        <v>8.0</v>
      </c>
      <c r="O27" s="58">
        <v>72.7</v>
      </c>
      <c r="P27" s="59">
        <v>37.0</v>
      </c>
      <c r="Q27" s="60">
        <f t="shared" si="5"/>
        <v>77.08333333</v>
      </c>
      <c r="R27" s="61">
        <v>19.0</v>
      </c>
      <c r="S27" s="53">
        <f t="shared" si="6"/>
        <v>73.07692308</v>
      </c>
      <c r="T27" s="66">
        <v>4.0</v>
      </c>
      <c r="U27" s="60">
        <v>57.0</v>
      </c>
      <c r="V27" s="67"/>
      <c r="W27" s="62"/>
      <c r="X27" s="68">
        <v>9.0</v>
      </c>
      <c r="Y27" s="64">
        <f t="shared" si="7"/>
        <v>81.81818182</v>
      </c>
      <c r="Z27" s="64"/>
      <c r="AA27" s="64"/>
      <c r="AB27" s="64">
        <f t="shared" si="8"/>
        <v>74.9708714</v>
      </c>
      <c r="AC27" s="47"/>
    </row>
    <row r="28" ht="22.5" customHeight="1">
      <c r="A28" s="47"/>
      <c r="B28" s="13"/>
      <c r="C28" s="48">
        <v>17.0</v>
      </c>
      <c r="D28" s="49" t="s">
        <v>57</v>
      </c>
      <c r="E28" s="50" t="s">
        <v>58</v>
      </c>
      <c r="F28" s="65">
        <v>35.0</v>
      </c>
      <c r="G28" s="52">
        <f t="shared" si="1"/>
        <v>89.74358974</v>
      </c>
      <c r="H28" s="53">
        <v>23.0</v>
      </c>
      <c r="I28" s="53">
        <f t="shared" si="2"/>
        <v>65.71428571</v>
      </c>
      <c r="J28" s="69">
        <v>36.0</v>
      </c>
      <c r="K28" s="55">
        <f t="shared" si="3"/>
        <v>78.26086957</v>
      </c>
      <c r="L28" s="51">
        <v>11.0</v>
      </c>
      <c r="M28" s="56">
        <f t="shared" si="4"/>
        <v>73.33333333</v>
      </c>
      <c r="N28" s="57">
        <v>9.0</v>
      </c>
      <c r="O28" s="58">
        <v>81.8</v>
      </c>
      <c r="P28" s="59">
        <v>39.0</v>
      </c>
      <c r="Q28" s="60">
        <f t="shared" si="5"/>
        <v>81.25</v>
      </c>
      <c r="R28" s="61">
        <v>20.0</v>
      </c>
      <c r="S28" s="53">
        <f t="shared" si="6"/>
        <v>76.92307692</v>
      </c>
      <c r="T28" s="66">
        <v>7.0</v>
      </c>
      <c r="U28" s="60">
        <v>100.0</v>
      </c>
      <c r="V28" s="67"/>
      <c r="W28" s="62"/>
      <c r="X28" s="68">
        <v>9.0</v>
      </c>
      <c r="Y28" s="64">
        <f t="shared" si="7"/>
        <v>81.81818182</v>
      </c>
      <c r="Z28" s="64"/>
      <c r="AA28" s="64"/>
      <c r="AB28" s="64">
        <f t="shared" si="8"/>
        <v>80.98259301</v>
      </c>
      <c r="AC28" s="47"/>
    </row>
    <row r="29" ht="22.5" customHeight="1">
      <c r="A29" s="47"/>
      <c r="B29" s="13"/>
      <c r="C29" s="48">
        <v>18.0</v>
      </c>
      <c r="D29" s="49" t="s">
        <v>59</v>
      </c>
      <c r="E29" s="50" t="s">
        <v>60</v>
      </c>
      <c r="F29" s="65">
        <v>34.0</v>
      </c>
      <c r="G29" s="52">
        <f t="shared" si="1"/>
        <v>87.17948718</v>
      </c>
      <c r="H29" s="53">
        <v>25.0</v>
      </c>
      <c r="I29" s="53">
        <f t="shared" si="2"/>
        <v>71.42857143</v>
      </c>
      <c r="J29" s="69">
        <v>35.0</v>
      </c>
      <c r="K29" s="55">
        <f t="shared" si="3"/>
        <v>76.08695652</v>
      </c>
      <c r="L29" s="51">
        <v>14.0</v>
      </c>
      <c r="M29" s="56">
        <f t="shared" si="4"/>
        <v>93.33333333</v>
      </c>
      <c r="N29" s="57">
        <v>9.0</v>
      </c>
      <c r="O29" s="58">
        <v>81.8</v>
      </c>
      <c r="P29" s="59">
        <v>44.0</v>
      </c>
      <c r="Q29" s="60">
        <f t="shared" si="5"/>
        <v>91.66666667</v>
      </c>
      <c r="R29" s="61">
        <v>22.0</v>
      </c>
      <c r="S29" s="53">
        <f t="shared" si="6"/>
        <v>84.61538462</v>
      </c>
      <c r="T29" s="66">
        <v>7.0</v>
      </c>
      <c r="U29" s="60">
        <v>100.0</v>
      </c>
      <c r="V29" s="67"/>
      <c r="W29" s="62"/>
      <c r="X29" s="68">
        <v>9.0</v>
      </c>
      <c r="Y29" s="64">
        <f t="shared" si="7"/>
        <v>81.81818182</v>
      </c>
      <c r="Z29" s="64"/>
      <c r="AA29" s="64"/>
      <c r="AB29" s="64">
        <f t="shared" si="8"/>
        <v>85.32539795</v>
      </c>
      <c r="AC29" s="47"/>
    </row>
    <row r="30" ht="22.5" customHeight="1">
      <c r="A30" s="47"/>
      <c r="B30" s="13"/>
      <c r="C30" s="48">
        <v>19.0</v>
      </c>
      <c r="D30" s="49" t="s">
        <v>61</v>
      </c>
      <c r="E30" s="50" t="s">
        <v>62</v>
      </c>
      <c r="F30" s="65">
        <v>30.0</v>
      </c>
      <c r="G30" s="52">
        <f t="shared" si="1"/>
        <v>76.92307692</v>
      </c>
      <c r="H30" s="53">
        <v>23.0</v>
      </c>
      <c r="I30" s="53">
        <f t="shared" si="2"/>
        <v>65.71428571</v>
      </c>
      <c r="J30" s="69">
        <v>32.0</v>
      </c>
      <c r="K30" s="55">
        <f t="shared" si="3"/>
        <v>69.56521739</v>
      </c>
      <c r="L30" s="51">
        <v>12.0</v>
      </c>
      <c r="M30" s="56">
        <f t="shared" si="4"/>
        <v>80</v>
      </c>
      <c r="N30" s="57">
        <v>9.0</v>
      </c>
      <c r="O30" s="58">
        <v>81.8</v>
      </c>
      <c r="P30" s="59">
        <v>34.0</v>
      </c>
      <c r="Q30" s="60">
        <f t="shared" si="5"/>
        <v>70.83333333</v>
      </c>
      <c r="R30" s="70">
        <v>15.0</v>
      </c>
      <c r="S30" s="53">
        <f t="shared" si="6"/>
        <v>57.69230769</v>
      </c>
      <c r="T30" s="66">
        <v>4.0</v>
      </c>
      <c r="U30" s="60">
        <v>57.0</v>
      </c>
      <c r="V30" s="67"/>
      <c r="W30" s="62"/>
      <c r="X30" s="68">
        <v>8.0</v>
      </c>
      <c r="Y30" s="64">
        <f t="shared" si="7"/>
        <v>72.72727273</v>
      </c>
      <c r="Z30" s="64"/>
      <c r="AA30" s="64"/>
      <c r="AB30" s="64">
        <f t="shared" si="8"/>
        <v>70.25061042</v>
      </c>
      <c r="AC30" s="47"/>
    </row>
    <row r="31" ht="22.5" customHeight="1">
      <c r="A31" s="47"/>
      <c r="B31" s="13"/>
      <c r="C31" s="48">
        <v>20.0</v>
      </c>
      <c r="D31" s="49" t="s">
        <v>63</v>
      </c>
      <c r="E31" s="50" t="s">
        <v>64</v>
      </c>
      <c r="F31" s="65">
        <v>34.0</v>
      </c>
      <c r="G31" s="52">
        <f t="shared" si="1"/>
        <v>87.17948718</v>
      </c>
      <c r="H31" s="53">
        <v>26.0</v>
      </c>
      <c r="I31" s="53">
        <f t="shared" si="2"/>
        <v>74.28571429</v>
      </c>
      <c r="J31" s="69">
        <v>36.0</v>
      </c>
      <c r="K31" s="55">
        <f t="shared" si="3"/>
        <v>78.26086957</v>
      </c>
      <c r="L31" s="51">
        <v>12.0</v>
      </c>
      <c r="M31" s="56">
        <f t="shared" si="4"/>
        <v>80</v>
      </c>
      <c r="N31" s="57">
        <v>8.0</v>
      </c>
      <c r="O31" s="58">
        <v>72.7</v>
      </c>
      <c r="P31" s="59">
        <v>43.0</v>
      </c>
      <c r="Q31" s="60">
        <f t="shared" si="5"/>
        <v>89.58333333</v>
      </c>
      <c r="R31" s="70">
        <v>20.0</v>
      </c>
      <c r="S31" s="53">
        <f t="shared" si="6"/>
        <v>76.92307692</v>
      </c>
      <c r="T31" s="66">
        <v>7.0</v>
      </c>
      <c r="U31" s="60">
        <v>100.0</v>
      </c>
      <c r="V31" s="67"/>
      <c r="W31" s="62"/>
      <c r="X31" s="68">
        <v>8.0</v>
      </c>
      <c r="Y31" s="64">
        <f t="shared" si="7"/>
        <v>72.72727273</v>
      </c>
      <c r="Z31" s="64"/>
      <c r="AA31" s="64"/>
      <c r="AB31" s="64">
        <f t="shared" si="8"/>
        <v>81.29552822</v>
      </c>
      <c r="AC31" s="47"/>
    </row>
    <row r="32" ht="22.5" customHeight="1">
      <c r="A32" s="47"/>
      <c r="B32" s="13"/>
      <c r="C32" s="48">
        <v>21.0</v>
      </c>
      <c r="D32" s="49" t="s">
        <v>65</v>
      </c>
      <c r="E32" s="50" t="s">
        <v>66</v>
      </c>
      <c r="F32" s="65">
        <v>36.0</v>
      </c>
      <c r="G32" s="52">
        <f t="shared" si="1"/>
        <v>92.30769231</v>
      </c>
      <c r="H32" s="53">
        <v>27.0</v>
      </c>
      <c r="I32" s="53">
        <f t="shared" si="2"/>
        <v>77.14285714</v>
      </c>
      <c r="J32" s="69">
        <v>33.0</v>
      </c>
      <c r="K32" s="55">
        <f t="shared" si="3"/>
        <v>71.73913043</v>
      </c>
      <c r="L32" s="51">
        <v>14.0</v>
      </c>
      <c r="M32" s="56">
        <f t="shared" si="4"/>
        <v>93.33333333</v>
      </c>
      <c r="N32" s="57">
        <v>10.0</v>
      </c>
      <c r="O32" s="58">
        <v>90.9</v>
      </c>
      <c r="P32" s="59">
        <v>32.0</v>
      </c>
      <c r="Q32" s="60">
        <f t="shared" si="5"/>
        <v>66.66666667</v>
      </c>
      <c r="R32" s="70">
        <v>20.0</v>
      </c>
      <c r="S32" s="53">
        <f t="shared" si="6"/>
        <v>76.92307692</v>
      </c>
      <c r="T32" s="66">
        <v>6.0</v>
      </c>
      <c r="U32" s="60">
        <v>86.0</v>
      </c>
      <c r="V32" s="67"/>
      <c r="W32" s="62"/>
      <c r="X32" s="68">
        <v>7.0</v>
      </c>
      <c r="Y32" s="64">
        <f t="shared" si="7"/>
        <v>63.63636364</v>
      </c>
      <c r="Z32" s="64"/>
      <c r="AA32" s="64"/>
      <c r="AB32" s="64">
        <f t="shared" si="8"/>
        <v>79.84990227</v>
      </c>
      <c r="AC32" s="47"/>
    </row>
    <row r="33" ht="22.5" customHeight="1">
      <c r="A33" s="47"/>
      <c r="B33" s="13"/>
      <c r="C33" s="48">
        <v>22.0</v>
      </c>
      <c r="D33" s="49" t="s">
        <v>67</v>
      </c>
      <c r="E33" s="50" t="s">
        <v>68</v>
      </c>
      <c r="F33" s="65">
        <v>27.0</v>
      </c>
      <c r="G33" s="52">
        <f t="shared" si="1"/>
        <v>69.23076923</v>
      </c>
      <c r="H33" s="53">
        <v>22.0</v>
      </c>
      <c r="I33" s="53">
        <f t="shared" si="2"/>
        <v>62.85714286</v>
      </c>
      <c r="J33" s="69">
        <v>35.0</v>
      </c>
      <c r="K33" s="55">
        <f t="shared" si="3"/>
        <v>76.08695652</v>
      </c>
      <c r="L33" s="51">
        <v>13.0</v>
      </c>
      <c r="M33" s="56">
        <f t="shared" si="4"/>
        <v>86.66666667</v>
      </c>
      <c r="N33" s="57">
        <v>10.0</v>
      </c>
      <c r="O33" s="58">
        <v>90.9</v>
      </c>
      <c r="P33" s="59">
        <v>35.0</v>
      </c>
      <c r="Q33" s="60">
        <f t="shared" si="5"/>
        <v>72.91666667</v>
      </c>
      <c r="R33" s="70">
        <v>21.0</v>
      </c>
      <c r="S33" s="53">
        <f t="shared" si="6"/>
        <v>80.76923077</v>
      </c>
      <c r="T33" s="66">
        <v>4.0</v>
      </c>
      <c r="U33" s="60">
        <v>57.0</v>
      </c>
      <c r="V33" s="67"/>
      <c r="W33" s="62"/>
      <c r="X33" s="68">
        <v>9.0</v>
      </c>
      <c r="Y33" s="64">
        <f t="shared" si="7"/>
        <v>81.81818182</v>
      </c>
      <c r="Z33" s="64"/>
      <c r="AA33" s="64"/>
      <c r="AB33" s="64">
        <f t="shared" si="8"/>
        <v>75.36062384</v>
      </c>
      <c r="AC33" s="47"/>
    </row>
    <row r="34" ht="22.5" customHeight="1">
      <c r="A34" s="47"/>
      <c r="B34" s="13"/>
      <c r="C34" s="48">
        <v>23.0</v>
      </c>
      <c r="D34" s="49" t="s">
        <v>69</v>
      </c>
      <c r="E34" s="50" t="s">
        <v>70</v>
      </c>
      <c r="F34" s="65">
        <v>35.0</v>
      </c>
      <c r="G34" s="52">
        <f t="shared" si="1"/>
        <v>89.74358974</v>
      </c>
      <c r="H34" s="53">
        <v>25.0</v>
      </c>
      <c r="I34" s="53">
        <f t="shared" si="2"/>
        <v>71.42857143</v>
      </c>
      <c r="J34" s="69">
        <v>35.0</v>
      </c>
      <c r="K34" s="55">
        <f t="shared" si="3"/>
        <v>76.08695652</v>
      </c>
      <c r="L34" s="51">
        <v>12.0</v>
      </c>
      <c r="M34" s="56">
        <f t="shared" si="4"/>
        <v>80</v>
      </c>
      <c r="N34" s="57">
        <v>10.0</v>
      </c>
      <c r="O34" s="58">
        <v>90.9</v>
      </c>
      <c r="P34" s="59">
        <v>31.0</v>
      </c>
      <c r="Q34" s="60">
        <f t="shared" si="5"/>
        <v>64.58333333</v>
      </c>
      <c r="R34" s="70">
        <v>18.0</v>
      </c>
      <c r="S34" s="53">
        <f t="shared" si="6"/>
        <v>69.23076923</v>
      </c>
      <c r="T34" s="66">
        <v>4.0</v>
      </c>
      <c r="U34" s="60">
        <v>57.0</v>
      </c>
      <c r="V34" s="67"/>
      <c r="W34" s="62"/>
      <c r="X34" s="68">
        <v>10.0</v>
      </c>
      <c r="Y34" s="64">
        <f t="shared" si="7"/>
        <v>90.90909091</v>
      </c>
      <c r="Z34" s="64"/>
      <c r="AA34" s="64"/>
      <c r="AB34" s="64">
        <f t="shared" si="8"/>
        <v>76.65359013</v>
      </c>
      <c r="AC34" s="47"/>
    </row>
    <row r="35" ht="22.5" customHeight="1">
      <c r="A35" s="47"/>
      <c r="B35" s="13"/>
      <c r="C35" s="48">
        <v>24.0</v>
      </c>
      <c r="D35" s="49" t="s">
        <v>71</v>
      </c>
      <c r="E35" s="50" t="s">
        <v>72</v>
      </c>
      <c r="F35" s="65">
        <v>38.0</v>
      </c>
      <c r="G35" s="52">
        <f t="shared" si="1"/>
        <v>97.43589744</v>
      </c>
      <c r="H35" s="53">
        <v>30.0</v>
      </c>
      <c r="I35" s="53">
        <f t="shared" si="2"/>
        <v>85.71428571</v>
      </c>
      <c r="J35" s="69">
        <v>41.0</v>
      </c>
      <c r="K35" s="55">
        <f t="shared" si="3"/>
        <v>89.13043478</v>
      </c>
      <c r="L35" s="51">
        <v>13.0</v>
      </c>
      <c r="M35" s="56">
        <f t="shared" si="4"/>
        <v>86.66666667</v>
      </c>
      <c r="N35" s="57">
        <v>11.0</v>
      </c>
      <c r="O35" s="58">
        <v>100.0</v>
      </c>
      <c r="P35" s="59">
        <v>42.0</v>
      </c>
      <c r="Q35" s="60">
        <f t="shared" si="5"/>
        <v>87.5</v>
      </c>
      <c r="R35" s="70">
        <v>23.0</v>
      </c>
      <c r="S35" s="53">
        <f t="shared" si="6"/>
        <v>88.46153846</v>
      </c>
      <c r="T35" s="66">
        <v>7.0</v>
      </c>
      <c r="U35" s="60">
        <v>100.0</v>
      </c>
      <c r="V35" s="67"/>
      <c r="W35" s="62"/>
      <c r="X35" s="68">
        <v>11.0</v>
      </c>
      <c r="Y35" s="64">
        <f t="shared" si="7"/>
        <v>100</v>
      </c>
      <c r="Z35" s="64"/>
      <c r="AA35" s="64"/>
      <c r="AB35" s="64">
        <f t="shared" si="8"/>
        <v>92.76764701</v>
      </c>
      <c r="AC35" s="47" t="s">
        <v>73</v>
      </c>
    </row>
    <row r="36" ht="22.5" customHeight="1">
      <c r="A36" s="47"/>
      <c r="B36" s="13"/>
      <c r="C36" s="48">
        <v>25.0</v>
      </c>
      <c r="D36" s="49" t="s">
        <v>74</v>
      </c>
      <c r="E36" s="50" t="s">
        <v>75</v>
      </c>
      <c r="F36" s="65">
        <v>31.0</v>
      </c>
      <c r="G36" s="52">
        <f t="shared" si="1"/>
        <v>79.48717949</v>
      </c>
      <c r="H36" s="53">
        <v>20.0</v>
      </c>
      <c r="I36" s="53">
        <f t="shared" si="2"/>
        <v>57.14285714</v>
      </c>
      <c r="J36" s="69">
        <v>31.0</v>
      </c>
      <c r="K36" s="55">
        <f t="shared" si="3"/>
        <v>67.39130435</v>
      </c>
      <c r="L36" s="51">
        <v>11.0</v>
      </c>
      <c r="M36" s="56">
        <f t="shared" si="4"/>
        <v>73.33333333</v>
      </c>
      <c r="N36" s="57">
        <v>8.0</v>
      </c>
      <c r="O36" s="58">
        <v>72.7</v>
      </c>
      <c r="P36" s="59">
        <v>37.0</v>
      </c>
      <c r="Q36" s="60">
        <f t="shared" si="5"/>
        <v>77.08333333</v>
      </c>
      <c r="R36" s="70">
        <v>19.0</v>
      </c>
      <c r="S36" s="53">
        <f t="shared" si="6"/>
        <v>73.07692308</v>
      </c>
      <c r="T36" s="66">
        <v>5.0</v>
      </c>
      <c r="U36" s="60">
        <v>71.0</v>
      </c>
      <c r="V36" s="67"/>
      <c r="W36" s="62"/>
      <c r="X36" s="68">
        <v>8.0</v>
      </c>
      <c r="Y36" s="64">
        <f t="shared" si="7"/>
        <v>72.72727273</v>
      </c>
      <c r="Z36" s="64"/>
      <c r="AA36" s="64"/>
      <c r="AB36" s="64">
        <f t="shared" si="8"/>
        <v>71.54913372</v>
      </c>
      <c r="AC36" s="47"/>
    </row>
    <row r="37" ht="22.5" customHeight="1">
      <c r="A37" s="47"/>
      <c r="B37" s="13"/>
      <c r="C37" s="48">
        <v>26.0</v>
      </c>
      <c r="D37" s="49" t="s">
        <v>76</v>
      </c>
      <c r="E37" s="50" t="s">
        <v>77</v>
      </c>
      <c r="F37" s="65">
        <v>36.0</v>
      </c>
      <c r="G37" s="52">
        <f t="shared" si="1"/>
        <v>92.30769231</v>
      </c>
      <c r="H37" s="53">
        <v>24.0</v>
      </c>
      <c r="I37" s="53">
        <f t="shared" si="2"/>
        <v>68.57142857</v>
      </c>
      <c r="J37" s="69">
        <v>41.0</v>
      </c>
      <c r="K37" s="55">
        <f t="shared" si="3"/>
        <v>89.13043478</v>
      </c>
      <c r="L37" s="51">
        <v>15.0</v>
      </c>
      <c r="M37" s="56">
        <f t="shared" si="4"/>
        <v>100</v>
      </c>
      <c r="N37" s="57">
        <v>11.0</v>
      </c>
      <c r="O37" s="58">
        <v>100.0</v>
      </c>
      <c r="P37" s="59">
        <v>46.0</v>
      </c>
      <c r="Q37" s="60">
        <f t="shared" si="5"/>
        <v>95.83333333</v>
      </c>
      <c r="R37" s="70">
        <v>21.0</v>
      </c>
      <c r="S37" s="53">
        <f t="shared" si="6"/>
        <v>80.76923077</v>
      </c>
      <c r="T37" s="66">
        <v>7.0</v>
      </c>
      <c r="U37" s="60">
        <v>100.0</v>
      </c>
      <c r="V37" s="67"/>
      <c r="W37" s="62"/>
      <c r="X37" s="68">
        <v>10.0</v>
      </c>
      <c r="Y37" s="64">
        <f t="shared" si="7"/>
        <v>90.90909091</v>
      </c>
      <c r="Z37" s="64"/>
      <c r="AA37" s="64"/>
      <c r="AB37" s="64">
        <f t="shared" si="8"/>
        <v>90.83569007</v>
      </c>
      <c r="AC37" s="47"/>
    </row>
    <row r="38" ht="22.5" customHeight="1">
      <c r="A38" s="47"/>
      <c r="B38" s="13"/>
      <c r="C38" s="48">
        <v>27.0</v>
      </c>
      <c r="D38" s="49" t="s">
        <v>78</v>
      </c>
      <c r="E38" s="50" t="s">
        <v>79</v>
      </c>
      <c r="F38" s="65">
        <v>27.0</v>
      </c>
      <c r="G38" s="52">
        <f t="shared" si="1"/>
        <v>69.23076923</v>
      </c>
      <c r="H38" s="59">
        <v>27.0</v>
      </c>
      <c r="I38" s="53">
        <f t="shared" si="2"/>
        <v>77.14285714</v>
      </c>
      <c r="J38" s="69">
        <v>34.0</v>
      </c>
      <c r="K38" s="55">
        <f t="shared" si="3"/>
        <v>73.91304348</v>
      </c>
      <c r="L38" s="51">
        <v>12.0</v>
      </c>
      <c r="M38" s="56">
        <f t="shared" si="4"/>
        <v>80</v>
      </c>
      <c r="N38" s="57">
        <v>7.0</v>
      </c>
      <c r="O38" s="58">
        <v>63.6</v>
      </c>
      <c r="P38" s="59">
        <v>20.0</v>
      </c>
      <c r="Q38" s="60">
        <f t="shared" si="5"/>
        <v>41.66666667</v>
      </c>
      <c r="R38" s="70">
        <v>20.0</v>
      </c>
      <c r="S38" s="53">
        <f t="shared" si="6"/>
        <v>76.92307692</v>
      </c>
      <c r="T38" s="66">
        <v>4.0</v>
      </c>
      <c r="U38" s="60">
        <v>57.0</v>
      </c>
      <c r="V38" s="67"/>
      <c r="W38" s="62"/>
      <c r="X38" s="68">
        <v>7.0</v>
      </c>
      <c r="Y38" s="64">
        <f t="shared" si="7"/>
        <v>63.63636364</v>
      </c>
      <c r="Z38" s="64"/>
      <c r="AA38" s="64"/>
      <c r="AB38" s="64">
        <f t="shared" si="8"/>
        <v>67.01253079</v>
      </c>
      <c r="AC38" s="47"/>
    </row>
    <row r="39" ht="22.5" customHeight="1">
      <c r="A39" s="47"/>
      <c r="B39" s="13"/>
      <c r="C39" s="48">
        <v>28.0</v>
      </c>
      <c r="D39" s="49" t="s">
        <v>80</v>
      </c>
      <c r="E39" s="50" t="s">
        <v>81</v>
      </c>
      <c r="F39" s="65">
        <v>28.0</v>
      </c>
      <c r="G39" s="52">
        <f t="shared" si="1"/>
        <v>71.79487179</v>
      </c>
      <c r="H39" s="53">
        <v>22.0</v>
      </c>
      <c r="I39" s="53">
        <f t="shared" si="2"/>
        <v>62.85714286</v>
      </c>
      <c r="J39" s="69">
        <v>35.0</v>
      </c>
      <c r="K39" s="55">
        <f t="shared" si="3"/>
        <v>76.08695652</v>
      </c>
      <c r="L39" s="51">
        <v>13.0</v>
      </c>
      <c r="M39" s="56">
        <f t="shared" si="4"/>
        <v>86.66666667</v>
      </c>
      <c r="N39" s="57">
        <v>4.0</v>
      </c>
      <c r="O39" s="58">
        <v>36.3</v>
      </c>
      <c r="P39" s="59">
        <v>27.0</v>
      </c>
      <c r="Q39" s="60">
        <f t="shared" si="5"/>
        <v>56.25</v>
      </c>
      <c r="R39" s="70">
        <v>19.0</v>
      </c>
      <c r="S39" s="53">
        <f t="shared" si="6"/>
        <v>73.07692308</v>
      </c>
      <c r="T39" s="66">
        <v>6.0</v>
      </c>
      <c r="U39" s="60">
        <v>86.0</v>
      </c>
      <c r="V39" s="67"/>
      <c r="W39" s="62"/>
      <c r="X39" s="71">
        <v>10.0</v>
      </c>
      <c r="Y39" s="64">
        <f t="shared" ref="Y39:Y65" si="9">X39*100/14</f>
        <v>71.42857143</v>
      </c>
      <c r="Z39" s="64"/>
      <c r="AA39" s="64"/>
      <c r="AB39" s="64">
        <f t="shared" si="8"/>
        <v>68.94012582</v>
      </c>
      <c r="AC39" s="47"/>
    </row>
    <row r="40" ht="22.5" customHeight="1">
      <c r="A40" s="47"/>
      <c r="B40" s="13"/>
      <c r="C40" s="48">
        <v>29.0</v>
      </c>
      <c r="D40" s="49" t="s">
        <v>82</v>
      </c>
      <c r="E40" s="50" t="s">
        <v>83</v>
      </c>
      <c r="F40" s="65">
        <v>28.0</v>
      </c>
      <c r="G40" s="52">
        <f t="shared" si="1"/>
        <v>71.79487179</v>
      </c>
      <c r="H40" s="53">
        <v>25.0</v>
      </c>
      <c r="I40" s="53">
        <f t="shared" si="2"/>
        <v>71.42857143</v>
      </c>
      <c r="J40" s="69">
        <v>36.0</v>
      </c>
      <c r="K40" s="55">
        <f t="shared" si="3"/>
        <v>78.26086957</v>
      </c>
      <c r="L40" s="51">
        <v>13.0</v>
      </c>
      <c r="M40" s="56">
        <f t="shared" ref="M40:M65" si="10">(L40/$M$9)*100</f>
        <v>92.85714286</v>
      </c>
      <c r="N40" s="57">
        <v>9.0</v>
      </c>
      <c r="O40" s="58">
        <v>81.8</v>
      </c>
      <c r="P40" s="59">
        <v>34.0</v>
      </c>
      <c r="Q40" s="60">
        <f t="shared" si="5"/>
        <v>70.83333333</v>
      </c>
      <c r="R40" s="70">
        <v>18.0</v>
      </c>
      <c r="S40" s="53">
        <f t="shared" si="6"/>
        <v>69.23076923</v>
      </c>
      <c r="T40" s="66">
        <v>4.0</v>
      </c>
      <c r="U40" s="60">
        <v>57.0</v>
      </c>
      <c r="V40" s="67"/>
      <c r="W40" s="62"/>
      <c r="X40" s="71">
        <v>11.0</v>
      </c>
      <c r="Y40" s="64">
        <f t="shared" si="9"/>
        <v>78.57142857</v>
      </c>
      <c r="Z40" s="64"/>
      <c r="AA40" s="64"/>
      <c r="AB40" s="64">
        <f t="shared" si="8"/>
        <v>74.64188742</v>
      </c>
      <c r="AC40" s="47"/>
    </row>
    <row r="41" ht="22.5" customHeight="1">
      <c r="A41" s="47"/>
      <c r="B41" s="13"/>
      <c r="C41" s="48">
        <v>30.0</v>
      </c>
      <c r="D41" s="49" t="s">
        <v>84</v>
      </c>
      <c r="E41" s="50" t="s">
        <v>85</v>
      </c>
      <c r="F41" s="65">
        <v>36.0</v>
      </c>
      <c r="G41" s="52">
        <f t="shared" si="1"/>
        <v>92.30769231</v>
      </c>
      <c r="H41" s="53">
        <v>22.0</v>
      </c>
      <c r="I41" s="53">
        <f t="shared" si="2"/>
        <v>62.85714286</v>
      </c>
      <c r="J41" s="69">
        <v>40.0</v>
      </c>
      <c r="K41" s="55">
        <f t="shared" si="3"/>
        <v>86.95652174</v>
      </c>
      <c r="L41" s="51">
        <v>14.0</v>
      </c>
      <c r="M41" s="56">
        <f t="shared" si="10"/>
        <v>100</v>
      </c>
      <c r="N41" s="57">
        <v>9.0</v>
      </c>
      <c r="O41" s="58">
        <v>81.8</v>
      </c>
      <c r="P41" s="59">
        <v>43.0</v>
      </c>
      <c r="Q41" s="60">
        <f t="shared" si="5"/>
        <v>89.58333333</v>
      </c>
      <c r="R41" s="70">
        <v>23.0</v>
      </c>
      <c r="S41" s="53">
        <f t="shared" si="6"/>
        <v>88.46153846</v>
      </c>
      <c r="T41" s="66">
        <v>7.0</v>
      </c>
      <c r="U41" s="60">
        <v>100.0</v>
      </c>
      <c r="V41" s="67"/>
      <c r="W41" s="62"/>
      <c r="X41" s="71">
        <v>12.0</v>
      </c>
      <c r="Y41" s="64">
        <f t="shared" si="9"/>
        <v>85.71428571</v>
      </c>
      <c r="Z41" s="64"/>
      <c r="AA41" s="64"/>
      <c r="AB41" s="64">
        <f t="shared" si="8"/>
        <v>87.52005716</v>
      </c>
      <c r="AC41" s="47"/>
    </row>
    <row r="42" ht="22.5" customHeight="1">
      <c r="A42" s="47"/>
      <c r="B42" s="13"/>
      <c r="C42" s="48">
        <v>31.0</v>
      </c>
      <c r="D42" s="49" t="s">
        <v>86</v>
      </c>
      <c r="E42" s="50" t="s">
        <v>87</v>
      </c>
      <c r="F42" s="65">
        <v>26.0</v>
      </c>
      <c r="G42" s="52">
        <f t="shared" si="1"/>
        <v>66.66666667</v>
      </c>
      <c r="H42" s="53">
        <v>15.0</v>
      </c>
      <c r="I42" s="53">
        <f t="shared" si="2"/>
        <v>42.85714286</v>
      </c>
      <c r="J42" s="69">
        <v>22.0</v>
      </c>
      <c r="K42" s="55">
        <f t="shared" si="3"/>
        <v>47.82608696</v>
      </c>
      <c r="L42" s="51">
        <v>10.0</v>
      </c>
      <c r="M42" s="56">
        <f t="shared" si="10"/>
        <v>71.42857143</v>
      </c>
      <c r="N42" s="57">
        <v>4.0</v>
      </c>
      <c r="O42" s="58">
        <v>36.3</v>
      </c>
      <c r="P42" s="59">
        <v>17.0</v>
      </c>
      <c r="Q42" s="60">
        <f t="shared" si="5"/>
        <v>35.41666667</v>
      </c>
      <c r="R42" s="70">
        <v>13.0</v>
      </c>
      <c r="S42" s="53">
        <f t="shared" si="6"/>
        <v>50</v>
      </c>
      <c r="T42" s="66">
        <v>3.0</v>
      </c>
      <c r="U42" s="60">
        <v>43.0</v>
      </c>
      <c r="V42" s="67"/>
      <c r="W42" s="62"/>
      <c r="X42" s="71">
        <v>10.0</v>
      </c>
      <c r="Y42" s="64">
        <f t="shared" si="9"/>
        <v>71.42857143</v>
      </c>
      <c r="Z42" s="64"/>
      <c r="AA42" s="64"/>
      <c r="AB42" s="64">
        <f t="shared" si="8"/>
        <v>51.65818956</v>
      </c>
      <c r="AC42" s="47"/>
    </row>
    <row r="43" ht="22.5" customHeight="1">
      <c r="A43" s="47"/>
      <c r="B43" s="13"/>
      <c r="C43" s="48">
        <v>32.0</v>
      </c>
      <c r="D43" s="49" t="s">
        <v>88</v>
      </c>
      <c r="E43" s="50" t="s">
        <v>89</v>
      </c>
      <c r="F43" s="65">
        <v>31.0</v>
      </c>
      <c r="G43" s="52">
        <f t="shared" si="1"/>
        <v>79.48717949</v>
      </c>
      <c r="H43" s="53">
        <v>22.0</v>
      </c>
      <c r="I43" s="53">
        <f t="shared" si="2"/>
        <v>62.85714286</v>
      </c>
      <c r="J43" s="69">
        <v>35.0</v>
      </c>
      <c r="K43" s="55">
        <f t="shared" si="3"/>
        <v>76.08695652</v>
      </c>
      <c r="L43" s="51">
        <v>12.0</v>
      </c>
      <c r="M43" s="56">
        <f t="shared" si="10"/>
        <v>85.71428571</v>
      </c>
      <c r="N43" s="57">
        <v>8.0</v>
      </c>
      <c r="O43" s="58">
        <v>72.7</v>
      </c>
      <c r="P43" s="59">
        <v>39.0</v>
      </c>
      <c r="Q43" s="60">
        <f t="shared" si="5"/>
        <v>81.25</v>
      </c>
      <c r="R43" s="70">
        <v>21.0</v>
      </c>
      <c r="S43" s="53">
        <f t="shared" si="6"/>
        <v>80.76923077</v>
      </c>
      <c r="T43" s="66">
        <v>7.0</v>
      </c>
      <c r="U43" s="60">
        <v>100.0</v>
      </c>
      <c r="V43" s="67"/>
      <c r="W43" s="62"/>
      <c r="X43" s="71">
        <v>11.0</v>
      </c>
      <c r="Y43" s="64">
        <f t="shared" si="9"/>
        <v>78.57142857</v>
      </c>
      <c r="Z43" s="64"/>
      <c r="AA43" s="64"/>
      <c r="AB43" s="64">
        <f t="shared" si="8"/>
        <v>79.71513599</v>
      </c>
      <c r="AC43" s="47"/>
    </row>
    <row r="44" ht="22.5" customHeight="1">
      <c r="A44" s="47"/>
      <c r="B44" s="13"/>
      <c r="C44" s="48">
        <v>33.0</v>
      </c>
      <c r="D44" s="49" t="s">
        <v>90</v>
      </c>
      <c r="E44" s="50" t="s">
        <v>91</v>
      </c>
      <c r="F44" s="65">
        <v>31.0</v>
      </c>
      <c r="G44" s="52">
        <f t="shared" si="1"/>
        <v>79.48717949</v>
      </c>
      <c r="H44" s="53">
        <v>21.0</v>
      </c>
      <c r="I44" s="53">
        <f t="shared" si="2"/>
        <v>60</v>
      </c>
      <c r="J44" s="69">
        <v>39.0</v>
      </c>
      <c r="K44" s="55">
        <f t="shared" si="3"/>
        <v>84.7826087</v>
      </c>
      <c r="L44" s="51">
        <v>14.0</v>
      </c>
      <c r="M44" s="56">
        <f t="shared" si="10"/>
        <v>100</v>
      </c>
      <c r="N44" s="57">
        <v>10.0</v>
      </c>
      <c r="O44" s="58">
        <v>90.9</v>
      </c>
      <c r="P44" s="59">
        <v>37.0</v>
      </c>
      <c r="Q44" s="60">
        <f t="shared" si="5"/>
        <v>77.08333333</v>
      </c>
      <c r="R44" s="70">
        <v>19.0</v>
      </c>
      <c r="S44" s="53">
        <f t="shared" si="6"/>
        <v>73.07692308</v>
      </c>
      <c r="T44" s="66">
        <v>4.0</v>
      </c>
      <c r="U44" s="60">
        <v>57.0</v>
      </c>
      <c r="V44" s="67"/>
      <c r="W44" s="62"/>
      <c r="X44" s="71">
        <v>13.0</v>
      </c>
      <c r="Y44" s="64">
        <f t="shared" si="9"/>
        <v>92.85714286</v>
      </c>
      <c r="Z44" s="64"/>
      <c r="AA44" s="64"/>
      <c r="AB44" s="64">
        <f t="shared" si="8"/>
        <v>79.46524305</v>
      </c>
      <c r="AC44" s="47"/>
    </row>
    <row r="45" ht="22.5" customHeight="1">
      <c r="A45" s="47"/>
      <c r="B45" s="13"/>
      <c r="C45" s="48">
        <v>34.0</v>
      </c>
      <c r="D45" s="49" t="s">
        <v>92</v>
      </c>
      <c r="E45" s="50" t="s">
        <v>93</v>
      </c>
      <c r="F45" s="65">
        <v>32.0</v>
      </c>
      <c r="G45" s="52">
        <f t="shared" si="1"/>
        <v>82.05128205</v>
      </c>
      <c r="H45" s="53">
        <v>25.0</v>
      </c>
      <c r="I45" s="53">
        <f t="shared" si="2"/>
        <v>71.42857143</v>
      </c>
      <c r="J45" s="69">
        <v>39.0</v>
      </c>
      <c r="K45" s="55">
        <f t="shared" si="3"/>
        <v>84.7826087</v>
      </c>
      <c r="L45" s="51">
        <v>12.0</v>
      </c>
      <c r="M45" s="56">
        <f t="shared" si="10"/>
        <v>85.71428571</v>
      </c>
      <c r="N45" s="57">
        <v>8.0</v>
      </c>
      <c r="O45" s="58">
        <v>72.7</v>
      </c>
      <c r="P45" s="59">
        <v>33.0</v>
      </c>
      <c r="Q45" s="60">
        <f t="shared" si="5"/>
        <v>68.75</v>
      </c>
      <c r="R45" s="70">
        <v>19.0</v>
      </c>
      <c r="S45" s="53">
        <f t="shared" si="6"/>
        <v>73.07692308</v>
      </c>
      <c r="T45" s="66">
        <v>6.0</v>
      </c>
      <c r="U45" s="60">
        <v>86.0</v>
      </c>
      <c r="V45" s="67"/>
      <c r="W45" s="62"/>
      <c r="X45" s="71">
        <v>11.0</v>
      </c>
      <c r="Y45" s="64">
        <f t="shared" si="9"/>
        <v>78.57142857</v>
      </c>
      <c r="Z45" s="64"/>
      <c r="AA45" s="64"/>
      <c r="AB45" s="64">
        <f t="shared" si="8"/>
        <v>78.1194555</v>
      </c>
      <c r="AC45" s="47"/>
    </row>
    <row r="46" ht="22.5" customHeight="1">
      <c r="A46" s="47"/>
      <c r="B46" s="13"/>
      <c r="C46" s="48">
        <v>35.0</v>
      </c>
      <c r="D46" s="49" t="s">
        <v>94</v>
      </c>
      <c r="E46" s="50" t="s">
        <v>95</v>
      </c>
      <c r="F46" s="65">
        <v>31.0</v>
      </c>
      <c r="G46" s="52">
        <f t="shared" si="1"/>
        <v>79.48717949</v>
      </c>
      <c r="H46" s="53">
        <v>25.0</v>
      </c>
      <c r="I46" s="53">
        <f t="shared" si="2"/>
        <v>71.42857143</v>
      </c>
      <c r="J46" s="69">
        <v>42.0</v>
      </c>
      <c r="K46" s="55">
        <f t="shared" si="3"/>
        <v>91.30434783</v>
      </c>
      <c r="L46" s="51">
        <v>13.0</v>
      </c>
      <c r="M46" s="56">
        <f t="shared" si="10"/>
        <v>92.85714286</v>
      </c>
      <c r="N46" s="57">
        <v>8.0</v>
      </c>
      <c r="O46" s="58">
        <v>72.7</v>
      </c>
      <c r="P46" s="59">
        <v>37.0</v>
      </c>
      <c r="Q46" s="60">
        <f t="shared" si="5"/>
        <v>77.08333333</v>
      </c>
      <c r="R46" s="70">
        <v>21.0</v>
      </c>
      <c r="S46" s="53">
        <f t="shared" si="6"/>
        <v>80.76923077</v>
      </c>
      <c r="T46" s="66">
        <v>6.0</v>
      </c>
      <c r="U46" s="60">
        <v>86.0</v>
      </c>
      <c r="V46" s="67"/>
      <c r="W46" s="62"/>
      <c r="X46" s="71">
        <v>14.0</v>
      </c>
      <c r="Y46" s="64">
        <f t="shared" si="9"/>
        <v>100</v>
      </c>
      <c r="Z46" s="64"/>
      <c r="AA46" s="64"/>
      <c r="AB46" s="64">
        <f t="shared" si="8"/>
        <v>83.51442286</v>
      </c>
      <c r="AC46" s="47"/>
    </row>
    <row r="47" ht="22.5" customHeight="1">
      <c r="A47" s="47"/>
      <c r="B47" s="13"/>
      <c r="C47" s="48">
        <v>36.0</v>
      </c>
      <c r="D47" s="49" t="s">
        <v>96</v>
      </c>
      <c r="E47" s="50" t="s">
        <v>97</v>
      </c>
      <c r="F47" s="65">
        <v>33.0</v>
      </c>
      <c r="G47" s="52">
        <f t="shared" si="1"/>
        <v>84.61538462</v>
      </c>
      <c r="H47" s="53">
        <v>26.0</v>
      </c>
      <c r="I47" s="53">
        <f t="shared" si="2"/>
        <v>74.28571429</v>
      </c>
      <c r="J47" s="69">
        <v>40.0</v>
      </c>
      <c r="K47" s="55">
        <f t="shared" si="3"/>
        <v>86.95652174</v>
      </c>
      <c r="L47" s="51">
        <v>12.0</v>
      </c>
      <c r="M47" s="56">
        <f t="shared" si="10"/>
        <v>85.71428571</v>
      </c>
      <c r="N47" s="57">
        <v>9.0</v>
      </c>
      <c r="O47" s="58">
        <v>81.8</v>
      </c>
      <c r="P47" s="59">
        <v>43.0</v>
      </c>
      <c r="Q47" s="60">
        <f t="shared" si="5"/>
        <v>89.58333333</v>
      </c>
      <c r="R47" s="70">
        <v>24.0</v>
      </c>
      <c r="S47" s="53">
        <f t="shared" si="6"/>
        <v>92.30769231</v>
      </c>
      <c r="T47" s="66">
        <v>7.0</v>
      </c>
      <c r="U47" s="60">
        <v>100.0</v>
      </c>
      <c r="V47" s="67"/>
      <c r="W47" s="62"/>
      <c r="X47" s="71">
        <v>12.0</v>
      </c>
      <c r="Y47" s="64">
        <f t="shared" si="9"/>
        <v>85.71428571</v>
      </c>
      <c r="Z47" s="64"/>
      <c r="AA47" s="64"/>
      <c r="AB47" s="64">
        <f t="shared" si="8"/>
        <v>86.77524641</v>
      </c>
      <c r="AC47" s="47"/>
    </row>
    <row r="48" ht="22.5" customHeight="1">
      <c r="A48" s="47"/>
      <c r="B48" s="13"/>
      <c r="C48" s="48">
        <v>37.0</v>
      </c>
      <c r="D48" s="49" t="s">
        <v>98</v>
      </c>
      <c r="E48" s="50" t="s">
        <v>99</v>
      </c>
      <c r="F48" s="65">
        <v>32.0</v>
      </c>
      <c r="G48" s="52">
        <f t="shared" si="1"/>
        <v>82.05128205</v>
      </c>
      <c r="H48" s="53">
        <v>26.0</v>
      </c>
      <c r="I48" s="53">
        <f t="shared" si="2"/>
        <v>74.28571429</v>
      </c>
      <c r="J48" s="69">
        <v>37.0</v>
      </c>
      <c r="K48" s="55">
        <f t="shared" si="3"/>
        <v>80.43478261</v>
      </c>
      <c r="L48" s="51">
        <v>14.0</v>
      </c>
      <c r="M48" s="56">
        <f t="shared" si="10"/>
        <v>100</v>
      </c>
      <c r="N48" s="57">
        <v>11.0</v>
      </c>
      <c r="O48" s="58">
        <v>100.0</v>
      </c>
      <c r="P48" s="59">
        <v>34.0</v>
      </c>
      <c r="Q48" s="60">
        <f t="shared" si="5"/>
        <v>70.83333333</v>
      </c>
      <c r="R48" s="70">
        <v>21.0</v>
      </c>
      <c r="S48" s="53">
        <f t="shared" si="6"/>
        <v>80.76923077</v>
      </c>
      <c r="T48" s="66">
        <v>5.0</v>
      </c>
      <c r="U48" s="60">
        <v>71.0</v>
      </c>
      <c r="V48" s="67"/>
      <c r="W48" s="62"/>
      <c r="X48" s="71">
        <v>13.0</v>
      </c>
      <c r="Y48" s="64">
        <f t="shared" si="9"/>
        <v>92.85714286</v>
      </c>
      <c r="Z48" s="64"/>
      <c r="AA48" s="64"/>
      <c r="AB48" s="64">
        <f t="shared" si="8"/>
        <v>83.58127621</v>
      </c>
      <c r="AC48" s="47"/>
    </row>
    <row r="49" ht="22.5" customHeight="1">
      <c r="A49" s="47"/>
      <c r="B49" s="13"/>
      <c r="C49" s="48">
        <v>38.0</v>
      </c>
      <c r="D49" s="49" t="s">
        <v>100</v>
      </c>
      <c r="E49" s="50" t="s">
        <v>101</v>
      </c>
      <c r="F49" s="65">
        <v>25.0</v>
      </c>
      <c r="G49" s="52">
        <f t="shared" si="1"/>
        <v>64.1025641</v>
      </c>
      <c r="H49" s="53">
        <v>12.0</v>
      </c>
      <c r="I49" s="53">
        <f t="shared" si="2"/>
        <v>34.28571429</v>
      </c>
      <c r="J49" s="69">
        <v>29.0</v>
      </c>
      <c r="K49" s="55">
        <f t="shared" si="3"/>
        <v>63.04347826</v>
      </c>
      <c r="L49" s="51">
        <v>10.0</v>
      </c>
      <c r="M49" s="56">
        <f t="shared" si="10"/>
        <v>71.42857143</v>
      </c>
      <c r="N49" s="57">
        <v>8.0</v>
      </c>
      <c r="O49" s="58">
        <v>72.7</v>
      </c>
      <c r="P49" s="59">
        <v>18.0</v>
      </c>
      <c r="Q49" s="60">
        <f t="shared" si="5"/>
        <v>37.5</v>
      </c>
      <c r="R49" s="70">
        <v>10.0</v>
      </c>
      <c r="S49" s="53">
        <f t="shared" si="6"/>
        <v>38.46153846</v>
      </c>
      <c r="T49" s="66">
        <v>3.0</v>
      </c>
      <c r="U49" s="60">
        <v>43.0</v>
      </c>
      <c r="V49" s="67"/>
      <c r="W49" s="62"/>
      <c r="X49" s="71">
        <v>7.0</v>
      </c>
      <c r="Y49" s="64">
        <f t="shared" si="9"/>
        <v>50</v>
      </c>
      <c r="Z49" s="64"/>
      <c r="AA49" s="64"/>
      <c r="AB49" s="64">
        <f t="shared" si="8"/>
        <v>52.72465184</v>
      </c>
      <c r="AC49" s="47"/>
    </row>
    <row r="50" ht="22.5" customHeight="1">
      <c r="A50" s="47"/>
      <c r="B50" s="13"/>
      <c r="C50" s="48">
        <v>39.0</v>
      </c>
      <c r="D50" s="49" t="s">
        <v>102</v>
      </c>
      <c r="E50" s="50" t="s">
        <v>103</v>
      </c>
      <c r="F50" s="65">
        <v>34.0</v>
      </c>
      <c r="G50" s="52">
        <f t="shared" si="1"/>
        <v>87.17948718</v>
      </c>
      <c r="H50" s="53">
        <v>24.0</v>
      </c>
      <c r="I50" s="53">
        <f t="shared" si="2"/>
        <v>68.57142857</v>
      </c>
      <c r="J50" s="69">
        <v>33.0</v>
      </c>
      <c r="K50" s="55">
        <f t="shared" si="3"/>
        <v>71.73913043</v>
      </c>
      <c r="L50" s="51">
        <v>12.0</v>
      </c>
      <c r="M50" s="56">
        <f t="shared" si="10"/>
        <v>85.71428571</v>
      </c>
      <c r="N50" s="57">
        <v>9.0</v>
      </c>
      <c r="O50" s="58">
        <v>81.8</v>
      </c>
      <c r="P50" s="59">
        <v>28.0</v>
      </c>
      <c r="Q50" s="60">
        <f t="shared" si="5"/>
        <v>58.33333333</v>
      </c>
      <c r="R50" s="70">
        <v>15.0</v>
      </c>
      <c r="S50" s="53">
        <f t="shared" si="6"/>
        <v>57.69230769</v>
      </c>
      <c r="T50" s="66">
        <v>4.0</v>
      </c>
      <c r="U50" s="60">
        <v>57.0</v>
      </c>
      <c r="V50" s="67"/>
      <c r="W50" s="62"/>
      <c r="X50" s="71">
        <v>10.0</v>
      </c>
      <c r="Y50" s="64">
        <f t="shared" si="9"/>
        <v>71.42857143</v>
      </c>
      <c r="Z50" s="64"/>
      <c r="AA50" s="64"/>
      <c r="AB50" s="64">
        <f t="shared" si="8"/>
        <v>71.05094937</v>
      </c>
      <c r="AC50" s="47"/>
    </row>
    <row r="51" ht="22.5" customHeight="1">
      <c r="A51" s="47"/>
      <c r="B51" s="13"/>
      <c r="C51" s="48">
        <v>40.0</v>
      </c>
      <c r="D51" s="49" t="s">
        <v>104</v>
      </c>
      <c r="E51" s="50" t="s">
        <v>105</v>
      </c>
      <c r="F51" s="65">
        <v>30.0</v>
      </c>
      <c r="G51" s="52">
        <f t="shared" si="1"/>
        <v>76.92307692</v>
      </c>
      <c r="H51" s="53">
        <v>15.0</v>
      </c>
      <c r="I51" s="53">
        <f t="shared" si="2"/>
        <v>42.85714286</v>
      </c>
      <c r="J51" s="69">
        <v>37.0</v>
      </c>
      <c r="K51" s="55">
        <f t="shared" si="3"/>
        <v>80.43478261</v>
      </c>
      <c r="L51" s="51">
        <v>12.0</v>
      </c>
      <c r="M51" s="56">
        <f t="shared" si="10"/>
        <v>85.71428571</v>
      </c>
      <c r="N51" s="57">
        <v>7.0</v>
      </c>
      <c r="O51" s="58">
        <v>63.6</v>
      </c>
      <c r="P51" s="59">
        <v>34.0</v>
      </c>
      <c r="Q51" s="60">
        <f t="shared" si="5"/>
        <v>70.83333333</v>
      </c>
      <c r="R51" s="70">
        <v>17.0</v>
      </c>
      <c r="S51" s="53">
        <f t="shared" si="6"/>
        <v>65.38461538</v>
      </c>
      <c r="T51" s="66">
        <v>4.0</v>
      </c>
      <c r="U51" s="60">
        <v>57.0</v>
      </c>
      <c r="V51" s="67"/>
      <c r="W51" s="62"/>
      <c r="X51" s="71">
        <v>8.0</v>
      </c>
      <c r="Y51" s="64">
        <f t="shared" si="9"/>
        <v>57.14285714</v>
      </c>
      <c r="Z51" s="64"/>
      <c r="AA51" s="64"/>
      <c r="AB51" s="64">
        <f t="shared" si="8"/>
        <v>66.65445488</v>
      </c>
      <c r="AC51" s="47"/>
    </row>
    <row r="52" ht="22.5" customHeight="1">
      <c r="A52" s="47"/>
      <c r="B52" s="13"/>
      <c r="C52" s="48">
        <v>41.0</v>
      </c>
      <c r="D52" s="49" t="s">
        <v>106</v>
      </c>
      <c r="E52" s="50" t="s">
        <v>107</v>
      </c>
      <c r="F52" s="65">
        <v>39.0</v>
      </c>
      <c r="G52" s="52">
        <f t="shared" si="1"/>
        <v>100</v>
      </c>
      <c r="H52" s="53">
        <v>31.0</v>
      </c>
      <c r="I52" s="53">
        <f t="shared" si="2"/>
        <v>88.57142857</v>
      </c>
      <c r="J52" s="69">
        <v>43.0</v>
      </c>
      <c r="K52" s="55">
        <f t="shared" si="3"/>
        <v>93.47826087</v>
      </c>
      <c r="L52" s="51">
        <v>14.0</v>
      </c>
      <c r="M52" s="56">
        <f t="shared" si="10"/>
        <v>100</v>
      </c>
      <c r="N52" s="57">
        <v>11.0</v>
      </c>
      <c r="O52" s="58">
        <v>100.0</v>
      </c>
      <c r="P52" s="59">
        <v>47.0</v>
      </c>
      <c r="Q52" s="60">
        <f t="shared" si="5"/>
        <v>97.91666667</v>
      </c>
      <c r="R52" s="70">
        <v>24.0</v>
      </c>
      <c r="S52" s="53">
        <f t="shared" si="6"/>
        <v>92.30769231</v>
      </c>
      <c r="T52" s="66">
        <v>7.0</v>
      </c>
      <c r="U52" s="60">
        <v>100.0</v>
      </c>
      <c r="V52" s="67"/>
      <c r="W52" s="62"/>
      <c r="X52" s="71">
        <v>14.0</v>
      </c>
      <c r="Y52" s="64">
        <f t="shared" si="9"/>
        <v>100</v>
      </c>
      <c r="Z52" s="64"/>
      <c r="AA52" s="64"/>
      <c r="AB52" s="64">
        <f t="shared" si="8"/>
        <v>96.91933871</v>
      </c>
      <c r="AC52" s="47"/>
    </row>
    <row r="53" ht="22.5" customHeight="1">
      <c r="A53" s="47"/>
      <c r="B53" s="13"/>
      <c r="C53" s="48">
        <v>42.0</v>
      </c>
      <c r="D53" s="49" t="s">
        <v>108</v>
      </c>
      <c r="E53" s="50" t="s">
        <v>109</v>
      </c>
      <c r="F53" s="65">
        <v>33.0</v>
      </c>
      <c r="G53" s="52">
        <f t="shared" si="1"/>
        <v>84.61538462</v>
      </c>
      <c r="H53" s="53">
        <v>22.0</v>
      </c>
      <c r="I53" s="53">
        <f t="shared" si="2"/>
        <v>62.85714286</v>
      </c>
      <c r="J53" s="69">
        <v>25.0</v>
      </c>
      <c r="K53" s="55">
        <f t="shared" si="3"/>
        <v>54.34782609</v>
      </c>
      <c r="L53" s="51">
        <v>12.0</v>
      </c>
      <c r="M53" s="56">
        <f t="shared" si="10"/>
        <v>85.71428571</v>
      </c>
      <c r="N53" s="57">
        <v>10.0</v>
      </c>
      <c r="O53" s="58">
        <v>90.9</v>
      </c>
      <c r="P53" s="59">
        <v>32.0</v>
      </c>
      <c r="Q53" s="60">
        <f t="shared" si="5"/>
        <v>66.66666667</v>
      </c>
      <c r="R53" s="70">
        <v>16.0</v>
      </c>
      <c r="S53" s="53">
        <f t="shared" si="6"/>
        <v>61.53846154</v>
      </c>
      <c r="T53" s="66">
        <v>3.0</v>
      </c>
      <c r="U53" s="60">
        <v>43.0</v>
      </c>
      <c r="V53" s="67"/>
      <c r="W53" s="62"/>
      <c r="X53" s="71">
        <v>11.0</v>
      </c>
      <c r="Y53" s="64">
        <f t="shared" si="9"/>
        <v>78.57142857</v>
      </c>
      <c r="Z53" s="64"/>
      <c r="AA53" s="64"/>
      <c r="AB53" s="64">
        <f t="shared" si="8"/>
        <v>69.80124401</v>
      </c>
      <c r="AC53" s="47"/>
    </row>
    <row r="54" ht="22.5" customHeight="1">
      <c r="A54" s="47"/>
      <c r="B54" s="13"/>
      <c r="C54" s="48">
        <v>43.0</v>
      </c>
      <c r="D54" s="49" t="s">
        <v>110</v>
      </c>
      <c r="E54" s="50" t="s">
        <v>111</v>
      </c>
      <c r="F54" s="65">
        <v>34.0</v>
      </c>
      <c r="G54" s="52">
        <f t="shared" si="1"/>
        <v>87.17948718</v>
      </c>
      <c r="H54" s="53">
        <v>23.0</v>
      </c>
      <c r="I54" s="53">
        <f t="shared" si="2"/>
        <v>65.71428571</v>
      </c>
      <c r="J54" s="69">
        <v>39.0</v>
      </c>
      <c r="K54" s="55">
        <f t="shared" si="3"/>
        <v>84.7826087</v>
      </c>
      <c r="L54" s="51">
        <v>13.0</v>
      </c>
      <c r="M54" s="56">
        <f t="shared" si="10"/>
        <v>92.85714286</v>
      </c>
      <c r="N54" s="57">
        <v>7.0</v>
      </c>
      <c r="O54" s="58">
        <v>63.6</v>
      </c>
      <c r="P54" s="59">
        <v>41.0</v>
      </c>
      <c r="Q54" s="60">
        <f t="shared" si="5"/>
        <v>85.41666667</v>
      </c>
      <c r="R54" s="70">
        <v>21.0</v>
      </c>
      <c r="S54" s="53">
        <f t="shared" si="6"/>
        <v>80.76923077</v>
      </c>
      <c r="T54" s="66">
        <v>5.0</v>
      </c>
      <c r="U54" s="60">
        <v>71.0</v>
      </c>
      <c r="V54" s="67"/>
      <c r="W54" s="62"/>
      <c r="X54" s="71">
        <v>11.0</v>
      </c>
      <c r="Y54" s="64">
        <f t="shared" si="9"/>
        <v>78.57142857</v>
      </c>
      <c r="Z54" s="64"/>
      <c r="AA54" s="64"/>
      <c r="AB54" s="64">
        <f t="shared" si="8"/>
        <v>78.87676116</v>
      </c>
      <c r="AC54" s="47"/>
    </row>
    <row r="55" ht="22.5" customHeight="1">
      <c r="A55" s="47"/>
      <c r="B55" s="13"/>
      <c r="C55" s="48">
        <v>44.0</v>
      </c>
      <c r="D55" s="49" t="s">
        <v>112</v>
      </c>
      <c r="E55" s="50" t="s">
        <v>113</v>
      </c>
      <c r="F55" s="65">
        <v>35.0</v>
      </c>
      <c r="G55" s="52">
        <f t="shared" si="1"/>
        <v>89.74358974</v>
      </c>
      <c r="H55" s="53">
        <v>30.0</v>
      </c>
      <c r="I55" s="53">
        <f t="shared" si="2"/>
        <v>85.71428571</v>
      </c>
      <c r="J55" s="69">
        <v>41.0</v>
      </c>
      <c r="K55" s="55">
        <f t="shared" si="3"/>
        <v>89.13043478</v>
      </c>
      <c r="L55" s="51">
        <v>14.0</v>
      </c>
      <c r="M55" s="56">
        <f t="shared" si="10"/>
        <v>100</v>
      </c>
      <c r="N55" s="57">
        <v>11.0</v>
      </c>
      <c r="O55" s="58">
        <v>100.0</v>
      </c>
      <c r="P55" s="59">
        <v>35.0</v>
      </c>
      <c r="Q55" s="60">
        <f t="shared" si="5"/>
        <v>72.91666667</v>
      </c>
      <c r="R55" s="70">
        <v>20.0</v>
      </c>
      <c r="S55" s="53">
        <f t="shared" si="6"/>
        <v>76.92307692</v>
      </c>
      <c r="T55" s="66">
        <v>7.0</v>
      </c>
      <c r="U55" s="60">
        <v>100.0</v>
      </c>
      <c r="V55" s="67"/>
      <c r="W55" s="62"/>
      <c r="X55" s="71">
        <v>12.0</v>
      </c>
      <c r="Y55" s="64">
        <f t="shared" si="9"/>
        <v>85.71428571</v>
      </c>
      <c r="Z55" s="64"/>
      <c r="AA55" s="64"/>
      <c r="AB55" s="64">
        <f t="shared" si="8"/>
        <v>88.90470439</v>
      </c>
      <c r="AC55" s="47"/>
    </row>
    <row r="56" ht="22.5" customHeight="1">
      <c r="A56" s="47"/>
      <c r="B56" s="13"/>
      <c r="C56" s="48">
        <v>45.0</v>
      </c>
      <c r="D56" s="49" t="s">
        <v>114</v>
      </c>
      <c r="E56" s="50" t="s">
        <v>115</v>
      </c>
      <c r="F56" s="65">
        <v>33.0</v>
      </c>
      <c r="G56" s="52">
        <f t="shared" si="1"/>
        <v>84.61538462</v>
      </c>
      <c r="H56" s="53">
        <v>19.0</v>
      </c>
      <c r="I56" s="53">
        <f t="shared" si="2"/>
        <v>54.28571429</v>
      </c>
      <c r="J56" s="69">
        <v>35.0</v>
      </c>
      <c r="K56" s="55">
        <f t="shared" si="3"/>
        <v>76.08695652</v>
      </c>
      <c r="L56" s="51">
        <v>13.0</v>
      </c>
      <c r="M56" s="56">
        <f t="shared" si="10"/>
        <v>92.85714286</v>
      </c>
      <c r="N56" s="57">
        <v>6.0</v>
      </c>
      <c r="O56" s="58">
        <v>54.5</v>
      </c>
      <c r="P56" s="59">
        <v>25.0</v>
      </c>
      <c r="Q56" s="60">
        <f t="shared" si="5"/>
        <v>52.08333333</v>
      </c>
      <c r="R56" s="70">
        <v>16.0</v>
      </c>
      <c r="S56" s="53">
        <f t="shared" si="6"/>
        <v>61.53846154</v>
      </c>
      <c r="T56" s="66">
        <v>4.0</v>
      </c>
      <c r="U56" s="60">
        <v>57.0</v>
      </c>
      <c r="V56" s="67"/>
      <c r="W56" s="62"/>
      <c r="X56" s="71">
        <v>10.0</v>
      </c>
      <c r="Y56" s="64">
        <f t="shared" si="9"/>
        <v>71.42857143</v>
      </c>
      <c r="Z56" s="64"/>
      <c r="AA56" s="64"/>
      <c r="AB56" s="64">
        <f t="shared" si="8"/>
        <v>67.15506273</v>
      </c>
      <c r="AC56" s="47"/>
    </row>
    <row r="57" ht="22.5" customHeight="1">
      <c r="A57" s="47"/>
      <c r="B57" s="13"/>
      <c r="C57" s="48">
        <v>46.0</v>
      </c>
      <c r="D57" s="49" t="s">
        <v>116</v>
      </c>
      <c r="E57" s="50" t="s">
        <v>117</v>
      </c>
      <c r="F57" s="65">
        <v>29.0</v>
      </c>
      <c r="G57" s="52">
        <f t="shared" si="1"/>
        <v>74.35897436</v>
      </c>
      <c r="H57" s="53">
        <v>22.0</v>
      </c>
      <c r="I57" s="53">
        <f t="shared" si="2"/>
        <v>62.85714286</v>
      </c>
      <c r="J57" s="69">
        <v>26.0</v>
      </c>
      <c r="K57" s="55">
        <f t="shared" si="3"/>
        <v>56.52173913</v>
      </c>
      <c r="L57" s="51">
        <v>12.0</v>
      </c>
      <c r="M57" s="56">
        <f t="shared" si="10"/>
        <v>85.71428571</v>
      </c>
      <c r="N57" s="57">
        <v>9.0</v>
      </c>
      <c r="O57" s="58">
        <v>81.8</v>
      </c>
      <c r="P57" s="59">
        <v>35.0</v>
      </c>
      <c r="Q57" s="60">
        <f t="shared" si="5"/>
        <v>72.91666667</v>
      </c>
      <c r="R57" s="70">
        <v>16.0</v>
      </c>
      <c r="S57" s="53">
        <f t="shared" si="6"/>
        <v>61.53846154</v>
      </c>
      <c r="T57" s="66">
        <v>4.0</v>
      </c>
      <c r="U57" s="60">
        <v>57.0</v>
      </c>
      <c r="V57" s="67"/>
      <c r="W57" s="62"/>
      <c r="X57" s="71">
        <v>11.0</v>
      </c>
      <c r="Y57" s="64">
        <f t="shared" si="9"/>
        <v>78.57142857</v>
      </c>
      <c r="Z57" s="64"/>
      <c r="AA57" s="64"/>
      <c r="AB57" s="64">
        <f t="shared" si="8"/>
        <v>70.14207765</v>
      </c>
      <c r="AC57" s="47"/>
    </row>
    <row r="58" ht="22.5" customHeight="1">
      <c r="A58" s="47"/>
      <c r="B58" s="13"/>
      <c r="C58" s="48">
        <v>47.0</v>
      </c>
      <c r="D58" s="49" t="s">
        <v>118</v>
      </c>
      <c r="E58" s="50" t="s">
        <v>119</v>
      </c>
      <c r="F58" s="65">
        <v>35.0</v>
      </c>
      <c r="G58" s="52">
        <f t="shared" si="1"/>
        <v>89.74358974</v>
      </c>
      <c r="H58" s="53">
        <v>29.0</v>
      </c>
      <c r="I58" s="53">
        <f t="shared" si="2"/>
        <v>82.85714286</v>
      </c>
      <c r="J58" s="69">
        <v>44.0</v>
      </c>
      <c r="K58" s="55">
        <f t="shared" si="3"/>
        <v>95.65217391</v>
      </c>
      <c r="L58" s="51">
        <v>13.0</v>
      </c>
      <c r="M58" s="56">
        <f t="shared" si="10"/>
        <v>92.85714286</v>
      </c>
      <c r="N58" s="57">
        <v>11.0</v>
      </c>
      <c r="O58" s="58">
        <v>100.0</v>
      </c>
      <c r="P58" s="59">
        <v>46.0</v>
      </c>
      <c r="Q58" s="60">
        <f t="shared" si="5"/>
        <v>95.83333333</v>
      </c>
      <c r="R58" s="70">
        <v>23.0</v>
      </c>
      <c r="S58" s="53">
        <f t="shared" si="6"/>
        <v>88.46153846</v>
      </c>
      <c r="T58" s="66">
        <v>7.0</v>
      </c>
      <c r="U58" s="60">
        <v>100.0</v>
      </c>
      <c r="V58" s="67"/>
      <c r="W58" s="62"/>
      <c r="X58" s="71">
        <v>13.0</v>
      </c>
      <c r="Y58" s="64">
        <f t="shared" si="9"/>
        <v>92.85714286</v>
      </c>
      <c r="Z58" s="64"/>
      <c r="AA58" s="64"/>
      <c r="AB58" s="64">
        <f t="shared" si="8"/>
        <v>93.14022934</v>
      </c>
      <c r="AC58" s="47"/>
    </row>
    <row r="59" ht="22.5" customHeight="1">
      <c r="A59" s="47"/>
      <c r="B59" s="13"/>
      <c r="C59" s="48">
        <v>48.0</v>
      </c>
      <c r="D59" s="49" t="s">
        <v>120</v>
      </c>
      <c r="E59" s="50" t="s">
        <v>121</v>
      </c>
      <c r="F59" s="65">
        <v>39.0</v>
      </c>
      <c r="G59" s="52">
        <f t="shared" si="1"/>
        <v>100</v>
      </c>
      <c r="H59" s="53">
        <v>28.0</v>
      </c>
      <c r="I59" s="53">
        <f t="shared" si="2"/>
        <v>80</v>
      </c>
      <c r="J59" s="69">
        <v>42.0</v>
      </c>
      <c r="K59" s="55">
        <f t="shared" si="3"/>
        <v>91.30434783</v>
      </c>
      <c r="L59" s="51">
        <v>14.0</v>
      </c>
      <c r="M59" s="56">
        <f t="shared" si="10"/>
        <v>100</v>
      </c>
      <c r="N59" s="57">
        <v>11.0</v>
      </c>
      <c r="O59" s="58">
        <v>100.0</v>
      </c>
      <c r="P59" s="59">
        <v>47.0</v>
      </c>
      <c r="Q59" s="60">
        <f t="shared" si="5"/>
        <v>97.91666667</v>
      </c>
      <c r="R59" s="70">
        <v>23.0</v>
      </c>
      <c r="S59" s="53">
        <f t="shared" si="6"/>
        <v>88.46153846</v>
      </c>
      <c r="T59" s="66">
        <v>7.0</v>
      </c>
      <c r="U59" s="60">
        <v>100.0</v>
      </c>
      <c r="V59" s="67"/>
      <c r="W59" s="62"/>
      <c r="X59" s="71">
        <v>14.0</v>
      </c>
      <c r="Y59" s="64">
        <f t="shared" si="9"/>
        <v>100</v>
      </c>
      <c r="Z59" s="64"/>
      <c r="AA59" s="64"/>
      <c r="AB59" s="64">
        <f t="shared" si="8"/>
        <v>95.29806144</v>
      </c>
      <c r="AC59" s="47"/>
    </row>
    <row r="60" ht="22.5" customHeight="1">
      <c r="A60" s="47"/>
      <c r="B60" s="13"/>
      <c r="C60" s="48">
        <v>49.0</v>
      </c>
      <c r="D60" s="49" t="s">
        <v>122</v>
      </c>
      <c r="E60" s="50" t="s">
        <v>123</v>
      </c>
      <c r="F60" s="65">
        <v>32.0</v>
      </c>
      <c r="G60" s="52">
        <f t="shared" si="1"/>
        <v>82.05128205</v>
      </c>
      <c r="H60" s="53">
        <v>24.0</v>
      </c>
      <c r="I60" s="53">
        <f t="shared" si="2"/>
        <v>68.57142857</v>
      </c>
      <c r="J60" s="69">
        <v>36.0</v>
      </c>
      <c r="K60" s="55">
        <f t="shared" si="3"/>
        <v>78.26086957</v>
      </c>
      <c r="L60" s="51">
        <v>11.0</v>
      </c>
      <c r="M60" s="56">
        <f t="shared" si="10"/>
        <v>78.57142857</v>
      </c>
      <c r="N60" s="57">
        <v>8.0</v>
      </c>
      <c r="O60" s="58">
        <v>72.7</v>
      </c>
      <c r="P60" s="59">
        <v>39.0</v>
      </c>
      <c r="Q60" s="60">
        <f t="shared" si="5"/>
        <v>81.25</v>
      </c>
      <c r="R60" s="70">
        <v>19.0</v>
      </c>
      <c r="S60" s="53">
        <f t="shared" si="6"/>
        <v>73.07692308</v>
      </c>
      <c r="T60" s="66">
        <v>7.0</v>
      </c>
      <c r="U60" s="60">
        <v>100.0</v>
      </c>
      <c r="V60" s="67"/>
      <c r="W60" s="62"/>
      <c r="X60" s="71">
        <v>11.0</v>
      </c>
      <c r="Y60" s="64">
        <f t="shared" si="9"/>
        <v>78.57142857</v>
      </c>
      <c r="Z60" s="64"/>
      <c r="AA60" s="64"/>
      <c r="AB60" s="64">
        <f t="shared" si="8"/>
        <v>79.22815116</v>
      </c>
      <c r="AC60" s="47"/>
    </row>
    <row r="61" ht="22.5" customHeight="1">
      <c r="A61" s="47"/>
      <c r="B61" s="13"/>
      <c r="C61" s="48">
        <v>50.0</v>
      </c>
      <c r="D61" s="49" t="s">
        <v>124</v>
      </c>
      <c r="E61" s="50" t="s">
        <v>125</v>
      </c>
      <c r="F61" s="65">
        <v>24.0</v>
      </c>
      <c r="G61" s="52">
        <f t="shared" si="1"/>
        <v>61.53846154</v>
      </c>
      <c r="H61" s="53">
        <v>11.0</v>
      </c>
      <c r="I61" s="53">
        <f t="shared" si="2"/>
        <v>31.42857143</v>
      </c>
      <c r="J61" s="69">
        <v>19.0</v>
      </c>
      <c r="K61" s="55">
        <f t="shared" si="3"/>
        <v>41.30434783</v>
      </c>
      <c r="L61" s="51">
        <v>9.0</v>
      </c>
      <c r="M61" s="56">
        <f t="shared" si="10"/>
        <v>64.28571429</v>
      </c>
      <c r="N61" s="57">
        <v>6.0</v>
      </c>
      <c r="O61" s="58">
        <v>54.5</v>
      </c>
      <c r="P61" s="59">
        <v>13.0</v>
      </c>
      <c r="Q61" s="60">
        <f t="shared" si="5"/>
        <v>27.08333333</v>
      </c>
      <c r="R61" s="70">
        <v>14.0</v>
      </c>
      <c r="S61" s="53">
        <f t="shared" si="6"/>
        <v>53.84615385</v>
      </c>
      <c r="T61" s="66">
        <v>3.0</v>
      </c>
      <c r="U61" s="60">
        <v>43.0</v>
      </c>
      <c r="V61" s="67"/>
      <c r="W61" s="62"/>
      <c r="X61" s="71">
        <v>7.0</v>
      </c>
      <c r="Y61" s="64">
        <f t="shared" si="9"/>
        <v>50</v>
      </c>
      <c r="Z61" s="64"/>
      <c r="AA61" s="64"/>
      <c r="AB61" s="64">
        <f t="shared" si="8"/>
        <v>47.44295358</v>
      </c>
      <c r="AC61" s="47"/>
    </row>
    <row r="62" ht="22.5" customHeight="1">
      <c r="A62" s="47"/>
      <c r="B62" s="13"/>
      <c r="C62" s="48">
        <v>51.0</v>
      </c>
      <c r="D62" s="49" t="s">
        <v>126</v>
      </c>
      <c r="E62" s="50" t="s">
        <v>127</v>
      </c>
      <c r="F62" s="65">
        <v>38.0</v>
      </c>
      <c r="G62" s="52">
        <f t="shared" si="1"/>
        <v>97.43589744</v>
      </c>
      <c r="H62" s="53">
        <v>27.0</v>
      </c>
      <c r="I62" s="53">
        <f t="shared" si="2"/>
        <v>77.14285714</v>
      </c>
      <c r="J62" s="69">
        <v>40.0</v>
      </c>
      <c r="K62" s="55">
        <f t="shared" si="3"/>
        <v>86.95652174</v>
      </c>
      <c r="L62" s="51">
        <v>13.0</v>
      </c>
      <c r="M62" s="56">
        <f t="shared" si="10"/>
        <v>92.85714286</v>
      </c>
      <c r="N62" s="57">
        <v>10.0</v>
      </c>
      <c r="O62" s="58">
        <v>90.9</v>
      </c>
      <c r="P62" s="59">
        <v>45.0</v>
      </c>
      <c r="Q62" s="60">
        <f t="shared" si="5"/>
        <v>93.75</v>
      </c>
      <c r="R62" s="70">
        <v>21.0</v>
      </c>
      <c r="S62" s="53">
        <f t="shared" si="6"/>
        <v>80.76923077</v>
      </c>
      <c r="T62" s="66">
        <v>7.0</v>
      </c>
      <c r="U62" s="60">
        <v>100.0</v>
      </c>
      <c r="V62" s="67"/>
      <c r="W62" s="62"/>
      <c r="X62" s="71">
        <v>13.0</v>
      </c>
      <c r="Y62" s="64">
        <f t="shared" si="9"/>
        <v>92.85714286</v>
      </c>
      <c r="Z62" s="64"/>
      <c r="AA62" s="64"/>
      <c r="AB62" s="64">
        <f t="shared" si="8"/>
        <v>90.29653253</v>
      </c>
      <c r="AC62" s="47"/>
    </row>
    <row r="63" ht="22.5" customHeight="1">
      <c r="A63" s="47"/>
      <c r="B63" s="13"/>
      <c r="C63" s="48">
        <v>52.0</v>
      </c>
      <c r="D63" s="49" t="s">
        <v>128</v>
      </c>
      <c r="E63" s="50" t="s">
        <v>129</v>
      </c>
      <c r="F63" s="65">
        <v>34.0</v>
      </c>
      <c r="G63" s="52">
        <f t="shared" si="1"/>
        <v>87.17948718</v>
      </c>
      <c r="H63" s="53">
        <v>29.0</v>
      </c>
      <c r="I63" s="53">
        <f t="shared" si="2"/>
        <v>82.85714286</v>
      </c>
      <c r="J63" s="69">
        <v>39.0</v>
      </c>
      <c r="K63" s="55">
        <f t="shared" si="3"/>
        <v>84.7826087</v>
      </c>
      <c r="L63" s="51">
        <v>12.0</v>
      </c>
      <c r="M63" s="56">
        <f t="shared" si="10"/>
        <v>85.71428571</v>
      </c>
      <c r="N63" s="57">
        <v>9.0</v>
      </c>
      <c r="O63" s="58">
        <v>81.8</v>
      </c>
      <c r="P63" s="59">
        <v>43.0</v>
      </c>
      <c r="Q63" s="60">
        <f t="shared" si="5"/>
        <v>89.58333333</v>
      </c>
      <c r="R63" s="61">
        <v>23.0</v>
      </c>
      <c r="S63" s="53">
        <f t="shared" si="6"/>
        <v>88.46153846</v>
      </c>
      <c r="T63" s="66">
        <v>7.0</v>
      </c>
      <c r="U63" s="60">
        <v>100.0</v>
      </c>
      <c r="V63" s="67"/>
      <c r="W63" s="62"/>
      <c r="X63" s="71">
        <v>11.0</v>
      </c>
      <c r="Y63" s="64">
        <f t="shared" si="9"/>
        <v>78.57142857</v>
      </c>
      <c r="Z63" s="64"/>
      <c r="AA63" s="64"/>
      <c r="AB63" s="64">
        <f t="shared" si="8"/>
        <v>86.54998053</v>
      </c>
      <c r="AC63" s="47"/>
    </row>
    <row r="64" ht="22.5" customHeight="1">
      <c r="A64" s="47"/>
      <c r="B64" s="13"/>
      <c r="C64" s="48">
        <v>53.0</v>
      </c>
      <c r="D64" s="49" t="s">
        <v>130</v>
      </c>
      <c r="E64" s="50" t="s">
        <v>131</v>
      </c>
      <c r="F64" s="65">
        <v>18.0</v>
      </c>
      <c r="G64" s="52">
        <f t="shared" si="1"/>
        <v>46.15384615</v>
      </c>
      <c r="H64" s="53">
        <v>14.0</v>
      </c>
      <c r="I64" s="53">
        <f t="shared" si="2"/>
        <v>40</v>
      </c>
      <c r="J64" s="69">
        <v>16.0</v>
      </c>
      <c r="K64" s="55">
        <f t="shared" si="3"/>
        <v>34.7826087</v>
      </c>
      <c r="L64" s="51">
        <v>9.0</v>
      </c>
      <c r="M64" s="56">
        <f t="shared" si="10"/>
        <v>64.28571429</v>
      </c>
      <c r="N64" s="57">
        <v>1.0</v>
      </c>
      <c r="O64" s="58">
        <v>90.9</v>
      </c>
      <c r="P64" s="59">
        <v>11.0</v>
      </c>
      <c r="Q64" s="60">
        <f t="shared" si="5"/>
        <v>22.91666667</v>
      </c>
      <c r="R64" s="61">
        <v>9.0</v>
      </c>
      <c r="S64" s="53">
        <f t="shared" si="6"/>
        <v>34.61538462</v>
      </c>
      <c r="T64" s="66">
        <v>3.0</v>
      </c>
      <c r="U64" s="60">
        <v>43.0</v>
      </c>
      <c r="V64" s="67"/>
      <c r="W64" s="62"/>
      <c r="X64" s="71">
        <v>9.0</v>
      </c>
      <c r="Y64" s="64">
        <f t="shared" si="9"/>
        <v>64.28571429</v>
      </c>
      <c r="Z64" s="64"/>
      <c r="AA64" s="64"/>
      <c r="AB64" s="64">
        <f t="shared" si="8"/>
        <v>48.99332608</v>
      </c>
      <c r="AC64" s="47"/>
    </row>
    <row r="65" ht="22.5" customHeight="1">
      <c r="A65" s="47"/>
      <c r="B65" s="13"/>
      <c r="C65" s="48">
        <v>54.0</v>
      </c>
      <c r="D65" s="49" t="s">
        <v>132</v>
      </c>
      <c r="E65" s="50" t="s">
        <v>133</v>
      </c>
      <c r="F65" s="65">
        <v>30.0</v>
      </c>
      <c r="G65" s="52">
        <f t="shared" si="1"/>
        <v>76.92307692</v>
      </c>
      <c r="H65" s="53">
        <v>27.0</v>
      </c>
      <c r="I65" s="53">
        <f t="shared" si="2"/>
        <v>77.14285714</v>
      </c>
      <c r="J65" s="69">
        <v>38.0</v>
      </c>
      <c r="K65" s="55">
        <f t="shared" si="3"/>
        <v>82.60869565</v>
      </c>
      <c r="L65" s="51">
        <v>13.0</v>
      </c>
      <c r="M65" s="56">
        <f t="shared" si="10"/>
        <v>92.85714286</v>
      </c>
      <c r="N65" s="57">
        <v>11.0</v>
      </c>
      <c r="O65" s="58">
        <v>100.0</v>
      </c>
      <c r="P65" s="59">
        <v>34.0</v>
      </c>
      <c r="Q65" s="60">
        <f t="shared" si="5"/>
        <v>70.83333333</v>
      </c>
      <c r="R65" s="61">
        <v>19.0</v>
      </c>
      <c r="S65" s="53">
        <f t="shared" si="6"/>
        <v>73.07692308</v>
      </c>
      <c r="T65" s="66">
        <v>7.0</v>
      </c>
      <c r="U65" s="60">
        <v>100.0</v>
      </c>
      <c r="V65" s="67"/>
      <c r="W65" s="62"/>
      <c r="X65" s="71">
        <v>13.0</v>
      </c>
      <c r="Y65" s="64">
        <f t="shared" si="9"/>
        <v>92.85714286</v>
      </c>
      <c r="Z65" s="64"/>
      <c r="AA65" s="64"/>
      <c r="AB65" s="64">
        <f t="shared" si="8"/>
        <v>85.14435243</v>
      </c>
      <c r="AC65" s="47"/>
    </row>
    <row r="66" ht="18.75" customHeight="1">
      <c r="A66" s="23"/>
      <c r="B66" s="8"/>
      <c r="C66" s="37" t="s">
        <v>134</v>
      </c>
      <c r="D66" s="72"/>
      <c r="E66" s="33"/>
      <c r="F66" s="73" t="s">
        <v>135</v>
      </c>
      <c r="G66" s="22"/>
      <c r="H66" s="19" t="s">
        <v>136</v>
      </c>
      <c r="I66" s="22"/>
      <c r="J66" s="74" t="s">
        <v>137</v>
      </c>
      <c r="K66" s="22"/>
      <c r="L66" s="75" t="s">
        <v>135</v>
      </c>
      <c r="M66" s="33"/>
      <c r="N66" s="75" t="s">
        <v>138</v>
      </c>
      <c r="O66" s="33"/>
      <c r="P66" s="75" t="s">
        <v>139</v>
      </c>
      <c r="Q66" s="33"/>
      <c r="R66" s="76" t="s">
        <v>140</v>
      </c>
      <c r="S66" s="33"/>
      <c r="T66" s="76" t="s">
        <v>141</v>
      </c>
      <c r="U66" s="33"/>
      <c r="V66" s="77"/>
      <c r="W66" s="33"/>
      <c r="X66" s="78" t="s">
        <v>136</v>
      </c>
      <c r="Y66" s="33"/>
      <c r="Z66" s="79"/>
      <c r="AA66" s="22"/>
      <c r="AB66" s="80"/>
      <c r="AC66" s="23"/>
    </row>
    <row r="67" ht="15.75" customHeight="1">
      <c r="A67" s="47"/>
      <c r="B67" s="13"/>
      <c r="C67" s="13"/>
      <c r="D67" s="2"/>
      <c r="E67" s="2"/>
      <c r="F67" s="81"/>
      <c r="G67" s="81"/>
      <c r="H67" s="13"/>
      <c r="I67" s="13"/>
      <c r="J67" s="82"/>
      <c r="K67" s="82"/>
      <c r="L67" s="83"/>
      <c r="M67" s="83"/>
      <c r="N67" s="81"/>
      <c r="O67" s="81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47"/>
    </row>
    <row r="68" ht="15.75" customHeight="1">
      <c r="A68" s="47"/>
      <c r="B68" s="13"/>
      <c r="C68" s="13"/>
      <c r="D68" s="2"/>
      <c r="E68" s="2"/>
      <c r="F68" s="81"/>
      <c r="G68" s="81"/>
      <c r="H68" s="13"/>
      <c r="I68" s="13"/>
      <c r="J68" s="82"/>
      <c r="K68" s="82"/>
      <c r="L68" s="83"/>
      <c r="M68" s="83"/>
      <c r="N68" s="81"/>
      <c r="O68" s="81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4"/>
    </row>
    <row r="69" ht="27.0" customHeight="1">
      <c r="A69" s="17"/>
      <c r="B69" s="4"/>
      <c r="C69" s="85" t="s">
        <v>142</v>
      </c>
      <c r="F69" s="4"/>
      <c r="G69" s="4"/>
      <c r="H69" s="4"/>
      <c r="I69" s="4"/>
      <c r="J69" s="86" t="s">
        <v>143</v>
      </c>
      <c r="Q69" s="4"/>
      <c r="R69" s="4"/>
      <c r="S69" s="4"/>
      <c r="T69" s="4"/>
      <c r="U69" s="4"/>
      <c r="V69" s="4"/>
      <c r="W69" s="87" t="s">
        <v>144</v>
      </c>
      <c r="AC69" s="17"/>
    </row>
    <row r="70" ht="12.75" customHeight="1">
      <c r="A70" s="1"/>
      <c r="B70" s="1"/>
      <c r="C70" s="1"/>
      <c r="D70" s="1"/>
      <c r="E70" s="88"/>
      <c r="F70" s="1"/>
      <c r="G70" s="1"/>
      <c r="H70" s="1"/>
      <c r="I70" s="1"/>
      <c r="J70" s="89"/>
      <c r="K70" s="8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AC70" s="1"/>
    </row>
    <row r="71" ht="12.75" customHeight="1">
      <c r="A71" s="1"/>
      <c r="B71" s="1"/>
      <c r="C71" s="1"/>
      <c r="D71" s="1"/>
      <c r="E71" s="88"/>
      <c r="F71" s="1"/>
      <c r="G71" s="1"/>
      <c r="H71" s="1"/>
      <c r="I71" s="1"/>
      <c r="J71" s="89"/>
      <c r="K71" s="8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75" customHeight="1">
      <c r="A72" s="1"/>
      <c r="B72" s="1"/>
      <c r="C72" s="1"/>
      <c r="D72" s="1"/>
      <c r="E72" s="88"/>
      <c r="F72" s="1"/>
      <c r="G72" s="1"/>
      <c r="H72" s="1"/>
      <c r="I72" s="1"/>
      <c r="J72" s="89"/>
      <c r="K72" s="8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/>
      <c r="B73" s="1"/>
      <c r="C73" s="1"/>
      <c r="D73" s="1"/>
      <c r="E73" s="88"/>
      <c r="F73" s="1"/>
      <c r="G73" s="1"/>
      <c r="H73" s="1"/>
      <c r="I73" s="1"/>
      <c r="J73" s="89"/>
      <c r="K73" s="89"/>
      <c r="L73" s="1"/>
      <c r="M73" s="1"/>
      <c r="N73" s="1"/>
      <c r="O73" s="1"/>
      <c r="P73" s="1"/>
      <c r="Q73" s="1"/>
      <c r="R73" s="90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/>
      <c r="B74" s="1"/>
      <c r="C74" s="1"/>
      <c r="D74" s="1"/>
      <c r="E74" s="88"/>
      <c r="F74" s="1"/>
      <c r="G74" s="1"/>
      <c r="H74" s="1"/>
      <c r="I74" s="1"/>
      <c r="J74" s="89"/>
      <c r="K74" s="8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/>
      <c r="B75" s="1"/>
      <c r="C75" s="1"/>
      <c r="D75" s="1"/>
      <c r="E75" s="88"/>
      <c r="F75" s="1"/>
      <c r="G75" s="1"/>
      <c r="H75" s="1"/>
      <c r="I75" s="1"/>
      <c r="J75" s="89"/>
      <c r="K75" s="8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/>
      <c r="B76" s="1"/>
      <c r="C76" s="1"/>
      <c r="D76" s="1"/>
      <c r="E76" s="88"/>
      <c r="F76" s="1"/>
      <c r="G76" s="1"/>
      <c r="H76" s="91"/>
      <c r="I76" s="1"/>
      <c r="J76" s="89"/>
      <c r="K76" s="8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/>
      <c r="B77" s="1"/>
      <c r="C77" s="1"/>
      <c r="D77" s="1"/>
      <c r="E77" s="88"/>
      <c r="F77" s="1"/>
      <c r="G77" s="1"/>
      <c r="H77" s="91"/>
      <c r="I77" s="1"/>
      <c r="J77" s="89"/>
      <c r="K77" s="8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/>
      <c r="B78" s="1"/>
      <c r="C78" s="1"/>
      <c r="D78" s="1"/>
      <c r="E78" s="88"/>
      <c r="F78" s="1"/>
      <c r="G78" s="1"/>
      <c r="H78" s="91"/>
      <c r="I78" s="1"/>
      <c r="J78" s="92"/>
      <c r="K78" s="92"/>
      <c r="L78" s="93"/>
      <c r="M78" s="93"/>
      <c r="N78" s="93"/>
      <c r="O78" s="93"/>
      <c r="P78" s="93"/>
      <c r="Q78" s="9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/>
      <c r="B79" s="1"/>
      <c r="C79" s="1"/>
      <c r="D79" s="1"/>
      <c r="E79" s="88"/>
      <c r="F79" s="1"/>
      <c r="G79" s="1"/>
      <c r="H79" s="91"/>
      <c r="I79" s="1"/>
      <c r="J79" s="89"/>
      <c r="K79" s="89"/>
      <c r="L79" s="9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/>
      <c r="B80" s="1"/>
      <c r="C80" s="1"/>
      <c r="D80" s="1"/>
      <c r="E80" s="88"/>
      <c r="F80" s="1"/>
      <c r="G80" s="1"/>
      <c r="H80" s="91"/>
      <c r="I80" s="1"/>
      <c r="J80" s="89"/>
      <c r="K80" s="89"/>
      <c r="L80" s="9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/>
      <c r="B81" s="1"/>
      <c r="C81" s="1"/>
      <c r="D81" s="1"/>
      <c r="E81" s="88"/>
      <c r="F81" s="1"/>
      <c r="G81" s="1"/>
      <c r="H81" s="91"/>
      <c r="I81" s="1"/>
      <c r="J81" s="89"/>
      <c r="K81" s="89"/>
      <c r="L81" s="9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/>
      <c r="B82" s="1"/>
      <c r="C82" s="1"/>
      <c r="D82" s="1"/>
      <c r="E82" s="88"/>
      <c r="F82" s="1"/>
      <c r="G82" s="1"/>
      <c r="H82" s="91"/>
      <c r="I82" s="1"/>
      <c r="J82" s="89"/>
      <c r="K82" s="89"/>
      <c r="L82" s="9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/>
      <c r="B83" s="1"/>
      <c r="C83" s="1"/>
      <c r="D83" s="1"/>
      <c r="E83" s="88"/>
      <c r="F83" s="1"/>
      <c r="G83" s="1"/>
      <c r="H83" s="91"/>
      <c r="I83" s="1"/>
      <c r="J83" s="89"/>
      <c r="K83" s="89"/>
      <c r="L83" s="9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/>
      <c r="B84" s="1"/>
      <c r="C84" s="1"/>
      <c r="D84" s="1"/>
      <c r="E84" s="88"/>
      <c r="F84" s="1"/>
      <c r="G84" s="1"/>
      <c r="H84" s="91"/>
      <c r="I84" s="1"/>
      <c r="J84" s="89"/>
      <c r="K84" s="89"/>
      <c r="L84" s="9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/>
      <c r="B85" s="1"/>
      <c r="C85" s="1"/>
      <c r="D85" s="1"/>
      <c r="E85" s="88"/>
      <c r="F85" s="1"/>
      <c r="G85" s="1"/>
      <c r="H85" s="91"/>
      <c r="I85" s="1"/>
      <c r="J85" s="89"/>
      <c r="K85" s="89"/>
      <c r="L85" s="9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1"/>
      <c r="B86" s="1"/>
      <c r="C86" s="1"/>
      <c r="D86" s="1"/>
      <c r="E86" s="88"/>
      <c r="F86" s="1"/>
      <c r="G86" s="1"/>
      <c r="H86" s="91"/>
      <c r="I86" s="1"/>
      <c r="J86" s="89"/>
      <c r="K86" s="89"/>
      <c r="L86" s="9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/>
      <c r="B87" s="1"/>
      <c r="C87" s="1"/>
      <c r="D87" s="1"/>
      <c r="E87" s="88"/>
      <c r="F87" s="1"/>
      <c r="G87" s="1"/>
      <c r="H87" s="91"/>
      <c r="I87" s="1"/>
      <c r="J87" s="89"/>
      <c r="K87" s="89"/>
      <c r="L87" s="9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/>
      <c r="B88" s="1"/>
      <c r="C88" s="1"/>
      <c r="D88" s="1"/>
      <c r="E88" s="88"/>
      <c r="F88" s="1"/>
      <c r="G88" s="1"/>
      <c r="H88" s="91"/>
      <c r="I88" s="1"/>
      <c r="J88" s="89"/>
      <c r="K88" s="89"/>
      <c r="L88" s="9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/>
      <c r="B89" s="1"/>
      <c r="C89" s="1"/>
      <c r="D89" s="1"/>
      <c r="E89" s="88"/>
      <c r="F89" s="1"/>
      <c r="G89" s="1"/>
      <c r="H89" s="91"/>
      <c r="I89" s="1"/>
      <c r="J89" s="89"/>
      <c r="K89" s="89"/>
      <c r="L89" s="9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/>
      <c r="B90" s="1"/>
      <c r="C90" s="1"/>
      <c r="D90" s="1"/>
      <c r="E90" s="88"/>
      <c r="F90" s="1"/>
      <c r="G90" s="1"/>
      <c r="H90" s="91"/>
      <c r="I90" s="1"/>
      <c r="J90" s="89"/>
      <c r="K90" s="89"/>
      <c r="L90" s="9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/>
      <c r="B91" s="1"/>
      <c r="C91" s="1"/>
      <c r="D91" s="1"/>
      <c r="E91" s="88"/>
      <c r="F91" s="1"/>
      <c r="G91" s="1"/>
      <c r="H91" s="91"/>
      <c r="I91" s="1"/>
      <c r="J91" s="89"/>
      <c r="K91" s="89"/>
      <c r="L91" s="9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/>
      <c r="B92" s="1"/>
      <c r="C92" s="1"/>
      <c r="D92" s="1"/>
      <c r="E92" s="88"/>
      <c r="F92" s="1"/>
      <c r="G92" s="1"/>
      <c r="H92" s="91"/>
      <c r="I92" s="1"/>
      <c r="J92" s="89"/>
      <c r="K92" s="89"/>
      <c r="L92" s="9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/>
      <c r="B93" s="1"/>
      <c r="C93" s="1"/>
      <c r="D93" s="1"/>
      <c r="E93" s="88"/>
      <c r="F93" s="1"/>
      <c r="G93" s="1"/>
      <c r="H93" s="91"/>
      <c r="I93" s="1"/>
      <c r="J93" s="89"/>
      <c r="K93" s="89"/>
      <c r="L93" s="9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/>
      <c r="B94" s="1"/>
      <c r="C94" s="1"/>
      <c r="D94" s="1"/>
      <c r="E94" s="88"/>
      <c r="F94" s="1"/>
      <c r="G94" s="1"/>
      <c r="H94" s="91"/>
      <c r="I94" s="1"/>
      <c r="J94" s="89"/>
      <c r="K94" s="89"/>
      <c r="L94" s="9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/>
      <c r="B95" s="1"/>
      <c r="C95" s="1"/>
      <c r="D95" s="1"/>
      <c r="E95" s="88"/>
      <c r="F95" s="95"/>
      <c r="G95" s="1"/>
      <c r="H95" s="91"/>
      <c r="I95" s="1"/>
      <c r="J95" s="89"/>
      <c r="K95" s="89"/>
      <c r="L95" s="9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/>
      <c r="B96" s="1"/>
      <c r="C96" s="1"/>
      <c r="D96" s="1"/>
      <c r="E96" s="88"/>
      <c r="F96" s="95"/>
      <c r="G96" s="1"/>
      <c r="H96" s="91"/>
      <c r="I96" s="1"/>
      <c r="J96" s="89"/>
      <c r="K96" s="89"/>
      <c r="L96" s="9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/>
      <c r="B97" s="1"/>
      <c r="C97" s="1"/>
      <c r="D97" s="1"/>
      <c r="E97" s="88"/>
      <c r="F97" s="95"/>
      <c r="G97" s="1"/>
      <c r="H97" s="91"/>
      <c r="I97" s="1"/>
      <c r="J97" s="89"/>
      <c r="K97" s="89"/>
      <c r="L97" s="9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/>
      <c r="B98" s="1"/>
      <c r="C98" s="1"/>
      <c r="D98" s="1"/>
      <c r="E98" s="88"/>
      <c r="F98" s="95"/>
      <c r="G98" s="1"/>
      <c r="H98" s="91"/>
      <c r="I98" s="1"/>
      <c r="J98" s="89"/>
      <c r="K98" s="89"/>
      <c r="L98" s="9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/>
      <c r="B99" s="1"/>
      <c r="C99" s="1"/>
      <c r="D99" s="1"/>
      <c r="E99" s="88"/>
      <c r="F99" s="95"/>
      <c r="G99" s="1"/>
      <c r="H99" s="91"/>
      <c r="I99" s="1"/>
      <c r="J99" s="89"/>
      <c r="K99" s="89"/>
      <c r="L99" s="9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1"/>
      <c r="B100" s="1"/>
      <c r="C100" s="1"/>
      <c r="D100" s="1"/>
      <c r="E100" s="88"/>
      <c r="F100" s="95"/>
      <c r="G100" s="1"/>
      <c r="H100" s="91"/>
      <c r="I100" s="1"/>
      <c r="J100" s="89"/>
      <c r="K100" s="89"/>
      <c r="L100" s="9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/>
      <c r="B101" s="1"/>
      <c r="C101" s="1"/>
      <c r="D101" s="1"/>
      <c r="E101" s="88"/>
      <c r="F101" s="95"/>
      <c r="G101" s="1"/>
      <c r="H101" s="91"/>
      <c r="I101" s="1"/>
      <c r="J101" s="89"/>
      <c r="K101" s="89"/>
      <c r="L101" s="9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/>
      <c r="B102" s="1"/>
      <c r="C102" s="1"/>
      <c r="D102" s="1"/>
      <c r="E102" s="88"/>
      <c r="F102" s="95"/>
      <c r="G102" s="1"/>
      <c r="H102" s="91"/>
      <c r="I102" s="1"/>
      <c r="J102" s="89"/>
      <c r="K102" s="89"/>
      <c r="L102" s="9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/>
      <c r="B103" s="1"/>
      <c r="C103" s="1"/>
      <c r="D103" s="1"/>
      <c r="E103" s="88"/>
      <c r="F103" s="95"/>
      <c r="G103" s="1"/>
      <c r="H103" s="91"/>
      <c r="I103" s="1"/>
      <c r="J103" s="89"/>
      <c r="K103" s="89"/>
      <c r="L103" s="9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/>
      <c r="B104" s="1"/>
      <c r="C104" s="1"/>
      <c r="D104" s="1"/>
      <c r="E104" s="88"/>
      <c r="F104" s="95"/>
      <c r="G104" s="1"/>
      <c r="H104" s="91"/>
      <c r="I104" s="1"/>
      <c r="J104" s="89"/>
      <c r="K104" s="89"/>
      <c r="L104" s="9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/>
      <c r="B105" s="1"/>
      <c r="C105" s="1"/>
      <c r="D105" s="1"/>
      <c r="E105" s="88"/>
      <c r="F105" s="95"/>
      <c r="G105" s="1"/>
      <c r="H105" s="91"/>
      <c r="I105" s="1"/>
      <c r="J105" s="89"/>
      <c r="K105" s="89"/>
      <c r="L105" s="9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/>
      <c r="B106" s="1"/>
      <c r="C106" s="1"/>
      <c r="D106" s="1"/>
      <c r="E106" s="88"/>
      <c r="F106" s="95"/>
      <c r="G106" s="1"/>
      <c r="H106" s="91"/>
      <c r="I106" s="1"/>
      <c r="J106" s="89"/>
      <c r="K106" s="8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/>
      <c r="B107" s="1"/>
      <c r="C107" s="1"/>
      <c r="D107" s="1"/>
      <c r="E107" s="88"/>
      <c r="F107" s="95"/>
      <c r="G107" s="1"/>
      <c r="H107" s="91"/>
      <c r="I107" s="1"/>
      <c r="J107" s="89"/>
      <c r="K107" s="8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/>
      <c r="B108" s="1"/>
      <c r="C108" s="1"/>
      <c r="D108" s="1"/>
      <c r="E108" s="88"/>
      <c r="F108" s="95"/>
      <c r="G108" s="1"/>
      <c r="H108" s="91"/>
      <c r="I108" s="1"/>
      <c r="J108" s="89"/>
      <c r="K108" s="8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/>
      <c r="B109" s="1"/>
      <c r="C109" s="1"/>
      <c r="D109" s="1"/>
      <c r="E109" s="88"/>
      <c r="F109" s="95"/>
      <c r="G109" s="1"/>
      <c r="H109" s="91"/>
      <c r="I109" s="1"/>
      <c r="J109" s="89"/>
      <c r="K109" s="8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/>
      <c r="B110" s="1"/>
      <c r="C110" s="1"/>
      <c r="D110" s="1"/>
      <c r="E110" s="88"/>
      <c r="F110" s="95"/>
      <c r="G110" s="1"/>
      <c r="H110" s="91"/>
      <c r="I110" s="1"/>
      <c r="J110" s="89"/>
      <c r="K110" s="8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/>
      <c r="B111" s="1"/>
      <c r="C111" s="1"/>
      <c r="D111" s="1"/>
      <c r="E111" s="88"/>
      <c r="F111" s="95"/>
      <c r="G111" s="1"/>
      <c r="H111" s="91"/>
      <c r="I111" s="1"/>
      <c r="J111" s="89"/>
      <c r="K111" s="8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/>
      <c r="B112" s="1"/>
      <c r="C112" s="1"/>
      <c r="D112" s="1"/>
      <c r="E112" s="88"/>
      <c r="F112" s="95"/>
      <c r="G112" s="1"/>
      <c r="H112" s="91"/>
      <c r="I112" s="1"/>
      <c r="J112" s="89"/>
      <c r="K112" s="8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/>
      <c r="B113" s="1"/>
      <c r="C113" s="1"/>
      <c r="D113" s="1"/>
      <c r="E113" s="88"/>
      <c r="F113" s="95"/>
      <c r="G113" s="1"/>
      <c r="H113" s="91"/>
      <c r="I113" s="1"/>
      <c r="J113" s="89"/>
      <c r="K113" s="8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75" customHeight="1">
      <c r="A114" s="1"/>
      <c r="B114" s="1"/>
      <c r="C114" s="1"/>
      <c r="D114" s="1"/>
      <c r="E114" s="88"/>
      <c r="F114" s="95"/>
      <c r="G114" s="1"/>
      <c r="H114" s="91"/>
      <c r="I114" s="1"/>
      <c r="J114" s="89"/>
      <c r="K114" s="8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/>
      <c r="B115" s="1"/>
      <c r="C115" s="1"/>
      <c r="D115" s="1"/>
      <c r="E115" s="88"/>
      <c r="F115" s="95"/>
      <c r="G115" s="1"/>
      <c r="H115" s="91"/>
      <c r="I115" s="1"/>
      <c r="J115" s="89"/>
      <c r="K115" s="8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/>
      <c r="B116" s="1"/>
      <c r="C116" s="1"/>
      <c r="D116" s="1"/>
      <c r="E116" s="88"/>
      <c r="F116" s="95"/>
      <c r="G116" s="1"/>
      <c r="H116" s="91"/>
      <c r="I116" s="1"/>
      <c r="J116" s="89"/>
      <c r="K116" s="8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/>
      <c r="B117" s="1"/>
      <c r="C117" s="1"/>
      <c r="D117" s="1"/>
      <c r="E117" s="88"/>
      <c r="F117" s="95"/>
      <c r="G117" s="1"/>
      <c r="H117" s="91"/>
      <c r="I117" s="1"/>
      <c r="J117" s="89"/>
      <c r="K117" s="8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/>
      <c r="B118" s="1"/>
      <c r="C118" s="1"/>
      <c r="D118" s="1"/>
      <c r="E118" s="88"/>
      <c r="F118" s="95"/>
      <c r="G118" s="1"/>
      <c r="H118" s="91"/>
      <c r="I118" s="1"/>
      <c r="J118" s="89"/>
      <c r="K118" s="8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/>
      <c r="B119" s="1"/>
      <c r="C119" s="1"/>
      <c r="D119" s="1"/>
      <c r="E119" s="88"/>
      <c r="F119" s="95"/>
      <c r="G119" s="1"/>
      <c r="H119" s="91"/>
      <c r="I119" s="1"/>
      <c r="J119" s="89"/>
      <c r="K119" s="8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/>
      <c r="B120" s="1"/>
      <c r="C120" s="1"/>
      <c r="D120" s="1"/>
      <c r="E120" s="88"/>
      <c r="F120" s="95"/>
      <c r="G120" s="1"/>
      <c r="H120" s="91"/>
      <c r="I120" s="1"/>
      <c r="J120" s="89"/>
      <c r="K120" s="8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/>
      <c r="B121" s="1"/>
      <c r="C121" s="1"/>
      <c r="D121" s="1"/>
      <c r="E121" s="88"/>
      <c r="F121" s="95"/>
      <c r="G121" s="1"/>
      <c r="H121" s="91"/>
      <c r="I121" s="1"/>
      <c r="J121" s="89"/>
      <c r="K121" s="8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88"/>
      <c r="F122" s="95"/>
      <c r="G122" s="1"/>
      <c r="H122" s="91"/>
      <c r="I122" s="1"/>
      <c r="J122" s="89"/>
      <c r="K122" s="8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88"/>
      <c r="F123" s="95"/>
      <c r="G123" s="1"/>
      <c r="H123" s="91"/>
      <c r="I123" s="1"/>
      <c r="J123" s="89"/>
      <c r="K123" s="8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88"/>
      <c r="F124" s="95"/>
      <c r="G124" s="1"/>
      <c r="H124" s="91"/>
      <c r="I124" s="1"/>
      <c r="J124" s="89"/>
      <c r="K124" s="8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88"/>
      <c r="F125" s="95"/>
      <c r="G125" s="1"/>
      <c r="H125" s="91"/>
      <c r="I125" s="1"/>
      <c r="J125" s="89"/>
      <c r="K125" s="8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88"/>
      <c r="F126" s="95"/>
      <c r="G126" s="1"/>
      <c r="H126" s="91"/>
      <c r="I126" s="1"/>
      <c r="J126" s="89"/>
      <c r="K126" s="8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88"/>
      <c r="F127" s="95"/>
      <c r="G127" s="1"/>
      <c r="H127" s="91"/>
      <c r="I127" s="1"/>
      <c r="J127" s="89"/>
      <c r="K127" s="8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88"/>
      <c r="F128" s="95"/>
      <c r="G128" s="1"/>
      <c r="H128" s="91"/>
      <c r="I128" s="1"/>
      <c r="J128" s="89"/>
      <c r="K128" s="8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88"/>
      <c r="F129" s="95"/>
      <c r="G129" s="1"/>
      <c r="H129" s="91"/>
      <c r="I129" s="1"/>
      <c r="J129" s="89"/>
      <c r="K129" s="8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88"/>
      <c r="F130" s="95"/>
      <c r="G130" s="1"/>
      <c r="H130" s="1"/>
      <c r="I130" s="1"/>
      <c r="J130" s="89"/>
      <c r="K130" s="8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88"/>
      <c r="F131" s="95"/>
      <c r="G131" s="1"/>
      <c r="H131" s="1"/>
      <c r="I131" s="1"/>
      <c r="J131" s="89"/>
      <c r="K131" s="8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88"/>
      <c r="F132" s="95"/>
      <c r="G132" s="1"/>
      <c r="H132" s="1"/>
      <c r="I132" s="1"/>
      <c r="J132" s="89"/>
      <c r="K132" s="8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88"/>
      <c r="F133" s="95"/>
      <c r="G133" s="1"/>
      <c r="H133" s="1"/>
      <c r="I133" s="1"/>
      <c r="J133" s="89"/>
      <c r="K133" s="8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88"/>
      <c r="F134" s="95"/>
      <c r="G134" s="1"/>
      <c r="H134" s="1"/>
      <c r="I134" s="1"/>
      <c r="J134" s="89"/>
      <c r="K134" s="8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88"/>
      <c r="F135" s="95"/>
      <c r="G135" s="1"/>
      <c r="H135" s="1"/>
      <c r="I135" s="1"/>
      <c r="J135" s="89"/>
      <c r="K135" s="8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88"/>
      <c r="F136" s="95"/>
      <c r="G136" s="1"/>
      <c r="H136" s="1"/>
      <c r="I136" s="1"/>
      <c r="J136" s="89"/>
      <c r="K136" s="8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88"/>
      <c r="F137" s="95"/>
      <c r="G137" s="1"/>
      <c r="H137" s="1"/>
      <c r="I137" s="1"/>
      <c r="J137" s="89"/>
      <c r="K137" s="8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88"/>
      <c r="F138" s="95"/>
      <c r="G138" s="1"/>
      <c r="H138" s="1"/>
      <c r="I138" s="1"/>
      <c r="J138" s="89"/>
      <c r="K138" s="8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88"/>
      <c r="F139" s="95"/>
      <c r="G139" s="1"/>
      <c r="H139" s="1"/>
      <c r="I139" s="1"/>
      <c r="J139" s="89"/>
      <c r="K139" s="8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88"/>
      <c r="F140" s="95"/>
      <c r="G140" s="1"/>
      <c r="H140" s="1"/>
      <c r="I140" s="1"/>
      <c r="J140" s="89"/>
      <c r="K140" s="8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88"/>
      <c r="F141" s="95"/>
      <c r="G141" s="1"/>
      <c r="H141" s="1"/>
      <c r="I141" s="1"/>
      <c r="J141" s="89"/>
      <c r="K141" s="8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88"/>
      <c r="F142" s="95"/>
      <c r="G142" s="1"/>
      <c r="H142" s="1"/>
      <c r="I142" s="1"/>
      <c r="J142" s="89"/>
      <c r="K142" s="8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88"/>
      <c r="F143" s="95"/>
      <c r="G143" s="1"/>
      <c r="H143" s="1"/>
      <c r="I143" s="1"/>
      <c r="J143" s="89"/>
      <c r="K143" s="8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88"/>
      <c r="F144" s="95"/>
      <c r="G144" s="1"/>
      <c r="H144" s="1"/>
      <c r="I144" s="1"/>
      <c r="J144" s="89"/>
      <c r="K144" s="8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88"/>
      <c r="F145" s="95"/>
      <c r="G145" s="1"/>
      <c r="H145" s="1"/>
      <c r="I145" s="1"/>
      <c r="J145" s="89"/>
      <c r="K145" s="8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88"/>
      <c r="F146" s="95"/>
      <c r="G146" s="1"/>
      <c r="H146" s="1"/>
      <c r="I146" s="1"/>
      <c r="J146" s="89"/>
      <c r="K146" s="8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88"/>
      <c r="F147" s="95"/>
      <c r="G147" s="1"/>
      <c r="H147" s="1"/>
      <c r="I147" s="1"/>
      <c r="J147" s="89"/>
      <c r="K147" s="8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88"/>
      <c r="F148" s="95"/>
      <c r="G148" s="1"/>
      <c r="H148" s="1"/>
      <c r="I148" s="1"/>
      <c r="J148" s="89"/>
      <c r="K148" s="8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88"/>
      <c r="F149" s="95"/>
      <c r="G149" s="1"/>
      <c r="H149" s="1"/>
      <c r="I149" s="1"/>
      <c r="J149" s="89"/>
      <c r="K149" s="8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88"/>
      <c r="F150" s="95"/>
      <c r="G150" s="1"/>
      <c r="H150" s="1"/>
      <c r="I150" s="1"/>
      <c r="J150" s="89"/>
      <c r="K150" s="8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88"/>
      <c r="F151" s="95"/>
      <c r="G151" s="1"/>
      <c r="H151" s="1"/>
      <c r="I151" s="1"/>
      <c r="J151" s="89"/>
      <c r="K151" s="8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88"/>
      <c r="F152" s="95"/>
      <c r="G152" s="1"/>
      <c r="H152" s="1"/>
      <c r="I152" s="1"/>
      <c r="J152" s="89"/>
      <c r="K152" s="8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88"/>
      <c r="F153" s="95"/>
      <c r="G153" s="1"/>
      <c r="H153" s="1"/>
      <c r="I153" s="1"/>
      <c r="J153" s="89"/>
      <c r="K153" s="8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88"/>
      <c r="F154" s="95"/>
      <c r="G154" s="1"/>
      <c r="H154" s="1"/>
      <c r="I154" s="1"/>
      <c r="J154" s="89"/>
      <c r="K154" s="8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88"/>
      <c r="F155" s="95"/>
      <c r="G155" s="1"/>
      <c r="H155" s="1"/>
      <c r="I155" s="1"/>
      <c r="J155" s="89"/>
      <c r="K155" s="8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88"/>
      <c r="F156" s="95"/>
      <c r="G156" s="1"/>
      <c r="H156" s="1"/>
      <c r="I156" s="1"/>
      <c r="J156" s="89"/>
      <c r="K156" s="8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88"/>
      <c r="F157" s="95"/>
      <c r="G157" s="1"/>
      <c r="H157" s="1"/>
      <c r="I157" s="1"/>
      <c r="J157" s="89"/>
      <c r="K157" s="8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88"/>
      <c r="F158" s="95"/>
      <c r="G158" s="1"/>
      <c r="H158" s="1"/>
      <c r="I158" s="1"/>
      <c r="J158" s="89"/>
      <c r="K158" s="8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88"/>
      <c r="F159" s="95"/>
      <c r="G159" s="1"/>
      <c r="H159" s="1"/>
      <c r="I159" s="1"/>
      <c r="J159" s="89"/>
      <c r="K159" s="8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88"/>
      <c r="F160" s="95"/>
      <c r="G160" s="1"/>
      <c r="H160" s="1"/>
      <c r="I160" s="1"/>
      <c r="J160" s="89"/>
      <c r="K160" s="8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88"/>
      <c r="F161" s="1"/>
      <c r="G161" s="1"/>
      <c r="H161" s="1"/>
      <c r="I161" s="1"/>
      <c r="J161" s="89"/>
      <c r="K161" s="8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88"/>
      <c r="F162" s="1"/>
      <c r="G162" s="1"/>
      <c r="H162" s="1"/>
      <c r="I162" s="1"/>
      <c r="J162" s="89"/>
      <c r="K162" s="8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88"/>
      <c r="F163" s="1"/>
      <c r="G163" s="1"/>
      <c r="H163" s="1"/>
      <c r="I163" s="1"/>
      <c r="J163" s="89"/>
      <c r="K163" s="8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88"/>
      <c r="F164" s="1"/>
      <c r="G164" s="1"/>
      <c r="H164" s="1"/>
      <c r="I164" s="1"/>
      <c r="J164" s="89"/>
      <c r="K164" s="8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88"/>
      <c r="F165" s="1"/>
      <c r="G165" s="1"/>
      <c r="H165" s="1"/>
      <c r="I165" s="1"/>
      <c r="J165" s="89"/>
      <c r="K165" s="8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88"/>
      <c r="F166" s="1"/>
      <c r="G166" s="1"/>
      <c r="H166" s="1"/>
      <c r="I166" s="1"/>
      <c r="J166" s="89"/>
      <c r="K166" s="8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88"/>
      <c r="F167" s="1"/>
      <c r="G167" s="1"/>
      <c r="H167" s="1"/>
      <c r="I167" s="1"/>
      <c r="J167" s="89"/>
      <c r="K167" s="8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88"/>
      <c r="F168" s="1"/>
      <c r="G168" s="1"/>
      <c r="H168" s="1"/>
      <c r="I168" s="1"/>
      <c r="J168" s="89"/>
      <c r="K168" s="8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88"/>
      <c r="F169" s="1"/>
      <c r="G169" s="1"/>
      <c r="H169" s="1"/>
      <c r="I169" s="1"/>
      <c r="J169" s="89"/>
      <c r="K169" s="8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88"/>
      <c r="F170" s="1"/>
      <c r="G170" s="1"/>
      <c r="H170" s="1"/>
      <c r="I170" s="1"/>
      <c r="J170" s="89"/>
      <c r="K170" s="8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88"/>
      <c r="F171" s="1"/>
      <c r="G171" s="1"/>
      <c r="H171" s="1"/>
      <c r="I171" s="1"/>
      <c r="J171" s="89"/>
      <c r="K171" s="8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88"/>
      <c r="F172" s="1"/>
      <c r="G172" s="1"/>
      <c r="H172" s="1"/>
      <c r="I172" s="1"/>
      <c r="J172" s="89"/>
      <c r="K172" s="8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88"/>
      <c r="F173" s="1"/>
      <c r="G173" s="1"/>
      <c r="H173" s="1"/>
      <c r="I173" s="1"/>
      <c r="J173" s="89"/>
      <c r="K173" s="8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88"/>
      <c r="F174" s="1"/>
      <c r="G174" s="1"/>
      <c r="H174" s="1"/>
      <c r="I174" s="1"/>
      <c r="J174" s="89"/>
      <c r="K174" s="8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88"/>
      <c r="F175" s="1"/>
      <c r="G175" s="1"/>
      <c r="H175" s="1"/>
      <c r="I175" s="1"/>
      <c r="J175" s="89"/>
      <c r="K175" s="8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88"/>
      <c r="F176" s="1"/>
      <c r="G176" s="1"/>
      <c r="H176" s="1"/>
      <c r="I176" s="1"/>
      <c r="J176" s="89"/>
      <c r="K176" s="8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88"/>
      <c r="F177" s="1"/>
      <c r="G177" s="1"/>
      <c r="H177" s="1"/>
      <c r="I177" s="1"/>
      <c r="J177" s="89"/>
      <c r="K177" s="8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88"/>
      <c r="F178" s="1"/>
      <c r="G178" s="1"/>
      <c r="H178" s="1"/>
      <c r="I178" s="1"/>
      <c r="J178" s="89"/>
      <c r="K178" s="8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88"/>
      <c r="F179" s="1"/>
      <c r="G179" s="1"/>
      <c r="H179" s="1"/>
      <c r="I179" s="1"/>
      <c r="J179" s="89"/>
      <c r="K179" s="8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88"/>
      <c r="F180" s="1"/>
      <c r="G180" s="1"/>
      <c r="H180" s="1"/>
      <c r="I180" s="1"/>
      <c r="J180" s="89"/>
      <c r="K180" s="8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88"/>
      <c r="F181" s="1"/>
      <c r="G181" s="1"/>
      <c r="H181" s="1"/>
      <c r="I181" s="1"/>
      <c r="J181" s="89"/>
      <c r="K181" s="8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88"/>
      <c r="F182" s="1"/>
      <c r="G182" s="1"/>
      <c r="H182" s="1"/>
      <c r="I182" s="1"/>
      <c r="J182" s="89"/>
      <c r="K182" s="8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88"/>
      <c r="F183" s="1"/>
      <c r="G183" s="1"/>
      <c r="H183" s="1"/>
      <c r="I183" s="1"/>
      <c r="J183" s="89"/>
      <c r="K183" s="8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88"/>
      <c r="F184" s="1"/>
      <c r="G184" s="1"/>
      <c r="H184" s="1"/>
      <c r="I184" s="1"/>
      <c r="J184" s="89"/>
      <c r="K184" s="8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88"/>
      <c r="F185" s="1"/>
      <c r="G185" s="1"/>
      <c r="H185" s="1"/>
      <c r="I185" s="1"/>
      <c r="J185" s="89"/>
      <c r="K185" s="8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88"/>
      <c r="F186" s="1"/>
      <c r="G186" s="1"/>
      <c r="H186" s="1"/>
      <c r="I186" s="1"/>
      <c r="J186" s="89"/>
      <c r="K186" s="8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88"/>
      <c r="F187" s="1"/>
      <c r="G187" s="1"/>
      <c r="H187" s="1"/>
      <c r="I187" s="1"/>
      <c r="J187" s="89"/>
      <c r="K187" s="8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88"/>
      <c r="F188" s="1"/>
      <c r="G188" s="1"/>
      <c r="H188" s="1"/>
      <c r="I188" s="1"/>
      <c r="J188" s="89"/>
      <c r="K188" s="8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88"/>
      <c r="F189" s="1"/>
      <c r="G189" s="1"/>
      <c r="H189" s="1"/>
      <c r="I189" s="1"/>
      <c r="J189" s="89"/>
      <c r="K189" s="8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88"/>
      <c r="F190" s="1"/>
      <c r="G190" s="1"/>
      <c r="H190" s="1"/>
      <c r="I190" s="1"/>
      <c r="J190" s="89"/>
      <c r="K190" s="8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88"/>
      <c r="F191" s="1"/>
      <c r="G191" s="1"/>
      <c r="H191" s="1"/>
      <c r="I191" s="1"/>
      <c r="J191" s="89"/>
      <c r="K191" s="8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88"/>
      <c r="F192" s="1"/>
      <c r="G192" s="1"/>
      <c r="H192" s="1"/>
      <c r="I192" s="1"/>
      <c r="J192" s="89"/>
      <c r="K192" s="8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88"/>
      <c r="F193" s="1"/>
      <c r="G193" s="1"/>
      <c r="H193" s="1"/>
      <c r="I193" s="1"/>
      <c r="J193" s="89"/>
      <c r="K193" s="8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88"/>
      <c r="F194" s="1"/>
      <c r="G194" s="1"/>
      <c r="H194" s="1"/>
      <c r="I194" s="1"/>
      <c r="J194" s="89"/>
      <c r="K194" s="8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88"/>
      <c r="F195" s="1"/>
      <c r="G195" s="1"/>
      <c r="H195" s="1"/>
      <c r="I195" s="1"/>
      <c r="J195" s="89"/>
      <c r="K195" s="8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88"/>
      <c r="F196" s="1"/>
      <c r="G196" s="1"/>
      <c r="H196" s="1"/>
      <c r="I196" s="1"/>
      <c r="J196" s="89"/>
      <c r="K196" s="8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88"/>
      <c r="F197" s="1"/>
      <c r="G197" s="1"/>
      <c r="H197" s="1"/>
      <c r="I197" s="1"/>
      <c r="J197" s="89"/>
      <c r="K197" s="8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88"/>
      <c r="F198" s="1"/>
      <c r="G198" s="1"/>
      <c r="H198" s="1"/>
      <c r="I198" s="1"/>
      <c r="J198" s="89"/>
      <c r="K198" s="8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88"/>
      <c r="F199" s="1"/>
      <c r="G199" s="1"/>
      <c r="H199" s="1"/>
      <c r="I199" s="1"/>
      <c r="J199" s="89"/>
      <c r="K199" s="8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88"/>
      <c r="F200" s="1"/>
      <c r="G200" s="1"/>
      <c r="H200" s="1"/>
      <c r="I200" s="1"/>
      <c r="J200" s="89"/>
      <c r="K200" s="8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88"/>
      <c r="F201" s="1"/>
      <c r="G201" s="1"/>
      <c r="H201" s="1"/>
      <c r="I201" s="1"/>
      <c r="J201" s="89"/>
      <c r="K201" s="8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88"/>
      <c r="F202" s="1"/>
      <c r="G202" s="1"/>
      <c r="H202" s="1"/>
      <c r="I202" s="1"/>
      <c r="J202" s="89"/>
      <c r="K202" s="8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88"/>
      <c r="F203" s="1"/>
      <c r="G203" s="1"/>
      <c r="H203" s="1"/>
      <c r="I203" s="1"/>
      <c r="J203" s="89"/>
      <c r="K203" s="8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88"/>
      <c r="F204" s="1"/>
      <c r="G204" s="1"/>
      <c r="H204" s="1"/>
      <c r="I204" s="1"/>
      <c r="J204" s="89"/>
      <c r="K204" s="8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88"/>
      <c r="F205" s="1"/>
      <c r="G205" s="1"/>
      <c r="H205" s="1"/>
      <c r="I205" s="1"/>
      <c r="J205" s="89"/>
      <c r="K205" s="8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88"/>
      <c r="F206" s="1"/>
      <c r="G206" s="1"/>
      <c r="H206" s="1"/>
      <c r="I206" s="1"/>
      <c r="J206" s="89"/>
      <c r="K206" s="8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88"/>
      <c r="F207" s="1"/>
      <c r="G207" s="1"/>
      <c r="H207" s="1"/>
      <c r="I207" s="1"/>
      <c r="J207" s="89"/>
      <c r="K207" s="8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88"/>
      <c r="F208" s="1"/>
      <c r="G208" s="1"/>
      <c r="H208" s="1"/>
      <c r="I208" s="1"/>
      <c r="J208" s="89"/>
      <c r="K208" s="8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88"/>
      <c r="F209" s="1"/>
      <c r="G209" s="1"/>
      <c r="H209" s="1"/>
      <c r="I209" s="1"/>
      <c r="J209" s="89"/>
      <c r="K209" s="8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88"/>
      <c r="F210" s="1"/>
      <c r="G210" s="1"/>
      <c r="H210" s="1"/>
      <c r="I210" s="1"/>
      <c r="J210" s="89"/>
      <c r="K210" s="8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88"/>
      <c r="F211" s="1"/>
      <c r="G211" s="1"/>
      <c r="H211" s="1"/>
      <c r="I211" s="1"/>
      <c r="J211" s="89"/>
      <c r="K211" s="8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88"/>
      <c r="F212" s="1"/>
      <c r="G212" s="1"/>
      <c r="H212" s="1"/>
      <c r="I212" s="1"/>
      <c r="J212" s="89"/>
      <c r="K212" s="8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88"/>
      <c r="F213" s="1"/>
      <c r="G213" s="1"/>
      <c r="H213" s="1"/>
      <c r="I213" s="1"/>
      <c r="J213" s="89"/>
      <c r="K213" s="8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88"/>
      <c r="F214" s="1"/>
      <c r="G214" s="1"/>
      <c r="H214" s="1"/>
      <c r="I214" s="1"/>
      <c r="J214" s="89"/>
      <c r="K214" s="8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88"/>
      <c r="F215" s="1"/>
      <c r="G215" s="1"/>
      <c r="H215" s="1"/>
      <c r="I215" s="1"/>
      <c r="J215" s="89"/>
      <c r="K215" s="8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88"/>
      <c r="F216" s="1"/>
      <c r="G216" s="1"/>
      <c r="H216" s="1"/>
      <c r="I216" s="1"/>
      <c r="J216" s="89"/>
      <c r="K216" s="8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88"/>
      <c r="F217" s="1"/>
      <c r="G217" s="1"/>
      <c r="H217" s="1"/>
      <c r="I217" s="1"/>
      <c r="J217" s="89"/>
      <c r="K217" s="8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88"/>
      <c r="F218" s="1"/>
      <c r="G218" s="1"/>
      <c r="H218" s="1"/>
      <c r="I218" s="1"/>
      <c r="J218" s="89"/>
      <c r="K218" s="8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88"/>
      <c r="F219" s="1"/>
      <c r="G219" s="1"/>
      <c r="H219" s="1"/>
      <c r="I219" s="1"/>
      <c r="J219" s="89"/>
      <c r="K219" s="8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88"/>
      <c r="F220" s="1"/>
      <c r="G220" s="1"/>
      <c r="H220" s="1"/>
      <c r="I220" s="1"/>
      <c r="J220" s="89"/>
      <c r="K220" s="8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88"/>
      <c r="F221" s="1"/>
      <c r="G221" s="1"/>
      <c r="H221" s="1"/>
      <c r="I221" s="1"/>
      <c r="J221" s="89"/>
      <c r="K221" s="8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88"/>
      <c r="F222" s="1"/>
      <c r="G222" s="1"/>
      <c r="H222" s="1"/>
      <c r="I222" s="1"/>
      <c r="J222" s="89"/>
      <c r="K222" s="8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88"/>
      <c r="F223" s="1"/>
      <c r="G223" s="1"/>
      <c r="H223" s="1"/>
      <c r="I223" s="1"/>
      <c r="J223" s="89"/>
      <c r="K223" s="8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88"/>
      <c r="F224" s="1"/>
      <c r="G224" s="1"/>
      <c r="H224" s="1"/>
      <c r="I224" s="1"/>
      <c r="J224" s="89"/>
      <c r="K224" s="8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88"/>
      <c r="F225" s="1"/>
      <c r="G225" s="1"/>
      <c r="H225" s="1"/>
      <c r="I225" s="1"/>
      <c r="J225" s="89"/>
      <c r="K225" s="8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88"/>
      <c r="F226" s="1"/>
      <c r="G226" s="1"/>
      <c r="H226" s="1"/>
      <c r="I226" s="1"/>
      <c r="J226" s="89"/>
      <c r="K226" s="8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88"/>
      <c r="F227" s="1"/>
      <c r="G227" s="1"/>
      <c r="H227" s="1"/>
      <c r="I227" s="1"/>
      <c r="J227" s="89"/>
      <c r="K227" s="8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88"/>
      <c r="F228" s="1"/>
      <c r="G228" s="1"/>
      <c r="H228" s="1"/>
      <c r="I228" s="1"/>
      <c r="J228" s="89"/>
      <c r="K228" s="8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88"/>
      <c r="F229" s="1"/>
      <c r="G229" s="1"/>
      <c r="H229" s="1"/>
      <c r="I229" s="1"/>
      <c r="J229" s="89"/>
      <c r="K229" s="8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88"/>
      <c r="F230" s="1"/>
      <c r="G230" s="1"/>
      <c r="H230" s="1"/>
      <c r="I230" s="1"/>
      <c r="J230" s="89"/>
      <c r="K230" s="8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88"/>
      <c r="F231" s="1"/>
      <c r="G231" s="1"/>
      <c r="H231" s="1"/>
      <c r="I231" s="1"/>
      <c r="J231" s="89"/>
      <c r="K231" s="8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88"/>
      <c r="F232" s="1"/>
      <c r="G232" s="1"/>
      <c r="H232" s="1"/>
      <c r="I232" s="1"/>
      <c r="J232" s="89"/>
      <c r="K232" s="8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88"/>
      <c r="F233" s="1"/>
      <c r="G233" s="1"/>
      <c r="H233" s="1"/>
      <c r="I233" s="1"/>
      <c r="J233" s="89"/>
      <c r="K233" s="8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88"/>
      <c r="F234" s="1"/>
      <c r="G234" s="1"/>
      <c r="H234" s="1"/>
      <c r="I234" s="1"/>
      <c r="J234" s="89"/>
      <c r="K234" s="8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88"/>
      <c r="F235" s="1"/>
      <c r="G235" s="1"/>
      <c r="H235" s="1"/>
      <c r="I235" s="1"/>
      <c r="J235" s="89"/>
      <c r="K235" s="8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88"/>
      <c r="F236" s="1"/>
      <c r="G236" s="1"/>
      <c r="H236" s="1"/>
      <c r="I236" s="1"/>
      <c r="J236" s="89"/>
      <c r="K236" s="8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88"/>
      <c r="F237" s="1"/>
      <c r="G237" s="1"/>
      <c r="H237" s="1"/>
      <c r="I237" s="1"/>
      <c r="J237" s="89"/>
      <c r="K237" s="8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88"/>
      <c r="F238" s="1"/>
      <c r="G238" s="1"/>
      <c r="H238" s="1"/>
      <c r="I238" s="1"/>
      <c r="J238" s="89"/>
      <c r="K238" s="8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88"/>
      <c r="F239" s="1"/>
      <c r="G239" s="1"/>
      <c r="H239" s="1"/>
      <c r="I239" s="1"/>
      <c r="J239" s="89"/>
      <c r="K239" s="8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88"/>
      <c r="F240" s="1"/>
      <c r="G240" s="1"/>
      <c r="H240" s="1"/>
      <c r="I240" s="1"/>
      <c r="J240" s="89"/>
      <c r="K240" s="8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88"/>
      <c r="F241" s="1"/>
      <c r="G241" s="1"/>
      <c r="H241" s="1"/>
      <c r="I241" s="1"/>
      <c r="J241" s="89"/>
      <c r="K241" s="8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88"/>
      <c r="F242" s="1"/>
      <c r="G242" s="1"/>
      <c r="H242" s="1"/>
      <c r="I242" s="1"/>
      <c r="J242" s="89"/>
      <c r="K242" s="8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88"/>
      <c r="F243" s="1"/>
      <c r="G243" s="1"/>
      <c r="H243" s="1"/>
      <c r="I243" s="1"/>
      <c r="J243" s="89"/>
      <c r="K243" s="8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88"/>
      <c r="F244" s="1"/>
      <c r="G244" s="1"/>
      <c r="H244" s="1"/>
      <c r="I244" s="1"/>
      <c r="J244" s="89"/>
      <c r="K244" s="8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88"/>
      <c r="F245" s="1"/>
      <c r="G245" s="1"/>
      <c r="H245" s="1"/>
      <c r="I245" s="1"/>
      <c r="J245" s="89"/>
      <c r="K245" s="8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88"/>
      <c r="F246" s="1"/>
      <c r="G246" s="1"/>
      <c r="H246" s="1"/>
      <c r="I246" s="1"/>
      <c r="J246" s="89"/>
      <c r="K246" s="8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88"/>
      <c r="F247" s="1"/>
      <c r="G247" s="1"/>
      <c r="H247" s="1"/>
      <c r="I247" s="1"/>
      <c r="J247" s="89"/>
      <c r="K247" s="8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88"/>
      <c r="F248" s="1"/>
      <c r="G248" s="1"/>
      <c r="H248" s="1"/>
      <c r="I248" s="1"/>
      <c r="J248" s="89"/>
      <c r="K248" s="8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88"/>
      <c r="F249" s="1"/>
      <c r="G249" s="1"/>
      <c r="H249" s="1"/>
      <c r="I249" s="1"/>
      <c r="J249" s="89"/>
      <c r="K249" s="8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88"/>
      <c r="F250" s="1"/>
      <c r="G250" s="1"/>
      <c r="H250" s="1"/>
      <c r="I250" s="1"/>
      <c r="J250" s="89"/>
      <c r="K250" s="8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88"/>
      <c r="F251" s="1"/>
      <c r="G251" s="1"/>
      <c r="H251" s="1"/>
      <c r="I251" s="1"/>
      <c r="J251" s="89"/>
      <c r="K251" s="8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88"/>
      <c r="F252" s="1"/>
      <c r="G252" s="1"/>
      <c r="H252" s="1"/>
      <c r="I252" s="1"/>
      <c r="J252" s="89"/>
      <c r="K252" s="8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88"/>
      <c r="F253" s="1"/>
      <c r="G253" s="1"/>
      <c r="H253" s="1"/>
      <c r="I253" s="1"/>
      <c r="J253" s="89"/>
      <c r="K253" s="8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88"/>
      <c r="F254" s="1"/>
      <c r="G254" s="1"/>
      <c r="H254" s="1"/>
      <c r="I254" s="1"/>
      <c r="J254" s="89"/>
      <c r="K254" s="8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88"/>
      <c r="F255" s="1"/>
      <c r="G255" s="1"/>
      <c r="H255" s="1"/>
      <c r="I255" s="1"/>
      <c r="J255" s="89"/>
      <c r="K255" s="8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88"/>
      <c r="F256" s="1"/>
      <c r="G256" s="1"/>
      <c r="H256" s="1"/>
      <c r="I256" s="1"/>
      <c r="J256" s="89"/>
      <c r="K256" s="8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88"/>
      <c r="F257" s="1"/>
      <c r="G257" s="1"/>
      <c r="H257" s="1"/>
      <c r="I257" s="1"/>
      <c r="J257" s="89"/>
      <c r="K257" s="8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88"/>
      <c r="F258" s="1"/>
      <c r="G258" s="1"/>
      <c r="H258" s="1"/>
      <c r="I258" s="1"/>
      <c r="J258" s="89"/>
      <c r="K258" s="8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88"/>
      <c r="F259" s="1"/>
      <c r="G259" s="1"/>
      <c r="H259" s="1"/>
      <c r="I259" s="1"/>
      <c r="J259" s="89"/>
      <c r="K259" s="8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88"/>
      <c r="F260" s="1"/>
      <c r="G260" s="1"/>
      <c r="H260" s="1"/>
      <c r="I260" s="1"/>
      <c r="J260" s="89"/>
      <c r="K260" s="8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88"/>
      <c r="F261" s="1"/>
      <c r="G261" s="1"/>
      <c r="H261" s="1"/>
      <c r="I261" s="1"/>
      <c r="J261" s="89"/>
      <c r="K261" s="8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88"/>
      <c r="F262" s="1"/>
      <c r="G262" s="1"/>
      <c r="H262" s="1"/>
      <c r="I262" s="1"/>
      <c r="J262" s="89"/>
      <c r="K262" s="8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88"/>
      <c r="F263" s="1"/>
      <c r="G263" s="1"/>
      <c r="H263" s="1"/>
      <c r="I263" s="1"/>
      <c r="J263" s="89"/>
      <c r="K263" s="8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88"/>
      <c r="F264" s="1"/>
      <c r="G264" s="1"/>
      <c r="H264" s="1"/>
      <c r="I264" s="1"/>
      <c r="J264" s="89"/>
      <c r="K264" s="8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88"/>
      <c r="F265" s="1"/>
      <c r="G265" s="1"/>
      <c r="H265" s="1"/>
      <c r="I265" s="1"/>
      <c r="J265" s="89"/>
      <c r="K265" s="8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88"/>
      <c r="F266" s="1"/>
      <c r="G266" s="1"/>
      <c r="H266" s="1"/>
      <c r="I266" s="1"/>
      <c r="J266" s="89"/>
      <c r="K266" s="8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88"/>
      <c r="F267" s="1"/>
      <c r="G267" s="1"/>
      <c r="H267" s="1"/>
      <c r="I267" s="1"/>
      <c r="J267" s="89"/>
      <c r="K267" s="8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88"/>
      <c r="F268" s="1"/>
      <c r="G268" s="1"/>
      <c r="H268" s="1"/>
      <c r="I268" s="1"/>
      <c r="J268" s="89"/>
      <c r="K268" s="8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88"/>
      <c r="F269" s="1"/>
      <c r="G269" s="1"/>
      <c r="H269" s="1"/>
      <c r="I269" s="1"/>
      <c r="J269" s="89"/>
      <c r="K269" s="8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7"/>
      <c r="K270" s="97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</row>
    <row r="271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7"/>
      <c r="K271" s="97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</row>
    <row r="272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7"/>
      <c r="K272" s="97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</row>
    <row r="273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7"/>
      <c r="K273" s="97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</row>
    <row r="274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7"/>
      <c r="K274" s="97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</row>
    <row r="275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7"/>
      <c r="K275" s="97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</row>
    <row r="276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7"/>
      <c r="K276" s="97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</row>
    <row r="277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7"/>
      <c r="K277" s="97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</row>
    <row r="278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7"/>
      <c r="K278" s="97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</row>
    <row r="279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7"/>
      <c r="K279" s="97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</row>
    <row r="280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7"/>
      <c r="K280" s="97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</row>
    <row r="281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7"/>
      <c r="K281" s="97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</row>
    <row r="282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7"/>
      <c r="K282" s="97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</row>
    <row r="283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7"/>
      <c r="K283" s="97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</row>
    <row r="284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7"/>
      <c r="K284" s="97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</row>
    <row r="285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7"/>
      <c r="K285" s="97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</row>
    <row r="286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7"/>
      <c r="K286" s="97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</row>
    <row r="28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7"/>
      <c r="K287" s="97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</row>
    <row r="28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7"/>
      <c r="K288" s="97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</row>
    <row r="289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7"/>
      <c r="K289" s="97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</row>
    <row r="290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7"/>
      <c r="K290" s="97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</row>
    <row r="291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7"/>
      <c r="K291" s="97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</row>
    <row r="292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7"/>
      <c r="K292" s="97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</row>
    <row r="293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7"/>
      <c r="K293" s="97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</row>
    <row r="294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7"/>
      <c r="K294" s="97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</row>
    <row r="295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7"/>
      <c r="K295" s="97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</row>
    <row r="296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7"/>
      <c r="K296" s="97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</row>
    <row r="29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7"/>
      <c r="K297" s="97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</row>
    <row r="29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7"/>
      <c r="K298" s="97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</row>
    <row r="299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7"/>
      <c r="K299" s="97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</row>
    <row r="300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7"/>
      <c r="K300" s="97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</row>
    <row r="301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7"/>
      <c r="K301" s="97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</row>
    <row r="302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7"/>
      <c r="K302" s="97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</row>
    <row r="303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7"/>
      <c r="K303" s="97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</row>
    <row r="304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7"/>
      <c r="K304" s="97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</row>
    <row r="305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7"/>
      <c r="K305" s="97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</row>
    <row r="306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7"/>
      <c r="K306" s="97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</row>
    <row r="30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7"/>
      <c r="K307" s="97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</row>
    <row r="30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7"/>
      <c r="K308" s="97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</row>
    <row r="309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7"/>
      <c r="K309" s="97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</row>
    <row r="310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7"/>
      <c r="K310" s="97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</row>
    <row r="311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7"/>
      <c r="K311" s="97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</row>
    <row r="312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7"/>
      <c r="K312" s="97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</row>
    <row r="313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7"/>
      <c r="K313" s="97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</row>
    <row r="314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7"/>
      <c r="K314" s="97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</row>
    <row r="315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7"/>
      <c r="K315" s="97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</row>
    <row r="316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7"/>
      <c r="K316" s="97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</row>
    <row r="31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7"/>
      <c r="K317" s="97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</row>
    <row r="31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7"/>
      <c r="K318" s="97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</row>
    <row r="319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7"/>
      <c r="K319" s="97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</row>
    <row r="320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7"/>
      <c r="K320" s="97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</row>
    <row r="321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7"/>
      <c r="K321" s="97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</row>
    <row r="322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7"/>
      <c r="K322" s="97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</row>
    <row r="323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7"/>
      <c r="K323" s="97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</row>
    <row r="324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7"/>
      <c r="K324" s="97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</row>
    <row r="325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7"/>
      <c r="K325" s="97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</row>
    <row r="326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7"/>
      <c r="K326" s="97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</row>
    <row r="3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7"/>
      <c r="K327" s="97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</row>
    <row r="3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7"/>
      <c r="K328" s="97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</row>
    <row r="329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7"/>
      <c r="K329" s="97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</row>
    <row r="330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7"/>
      <c r="K330" s="97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</row>
    <row r="331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7"/>
      <c r="K331" s="97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</row>
    <row r="332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7"/>
      <c r="K332" s="97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</row>
    <row r="333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7"/>
      <c r="K333" s="97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</row>
    <row r="334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7"/>
      <c r="K334" s="97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</row>
    <row r="335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7"/>
      <c r="K335" s="97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</row>
    <row r="336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7"/>
      <c r="K336" s="97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</row>
    <row r="33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7"/>
      <c r="K337" s="97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</row>
    <row r="33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7"/>
      <c r="K338" s="97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</row>
    <row r="339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7"/>
      <c r="K339" s="97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</row>
    <row r="340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7"/>
      <c r="K340" s="97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</row>
    <row r="341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7"/>
      <c r="K341" s="97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</row>
    <row r="342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7"/>
      <c r="K342" s="97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</row>
    <row r="343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7"/>
      <c r="K343" s="97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</row>
    <row r="344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7"/>
      <c r="K344" s="97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</row>
    <row r="345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7"/>
      <c r="K345" s="97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</row>
    <row r="346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7"/>
      <c r="K346" s="97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</row>
    <row r="34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7"/>
      <c r="K347" s="97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</row>
    <row r="34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7"/>
      <c r="K348" s="97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</row>
    <row r="349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7"/>
      <c r="K349" s="97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</row>
    <row r="350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7"/>
      <c r="K350" s="97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</row>
    <row r="351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7"/>
      <c r="K351" s="97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</row>
    <row r="352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7"/>
      <c r="K352" s="97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</row>
    <row r="353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7"/>
      <c r="K353" s="97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</row>
    <row r="354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7"/>
      <c r="K354" s="97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</row>
    <row r="355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7"/>
      <c r="K355" s="97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</row>
    <row r="356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7"/>
      <c r="K356" s="97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</row>
    <row r="35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7"/>
      <c r="K357" s="97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</row>
    <row r="35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7"/>
      <c r="K358" s="97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</row>
    <row r="359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7"/>
      <c r="K359" s="97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</row>
    <row r="360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7"/>
      <c r="K360" s="97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</row>
    <row r="361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7"/>
      <c r="K361" s="97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</row>
    <row r="362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7"/>
      <c r="K362" s="97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</row>
    <row r="363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7"/>
      <c r="K363" s="97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</row>
    <row r="364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7"/>
      <c r="K364" s="97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</row>
    <row r="365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7"/>
      <c r="K365" s="97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</row>
    <row r="366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7"/>
      <c r="K366" s="97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</row>
    <row r="36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7"/>
      <c r="K367" s="97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</row>
    <row r="36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7"/>
      <c r="K368" s="97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</row>
    <row r="369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7"/>
      <c r="K369" s="97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</row>
    <row r="370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7"/>
      <c r="K370" s="97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</row>
    <row r="371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7"/>
      <c r="K371" s="97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</row>
    <row r="372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7"/>
      <c r="K372" s="97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</row>
    <row r="373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7"/>
      <c r="K373" s="97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</row>
    <row r="374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7"/>
      <c r="K374" s="97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</row>
    <row r="375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7"/>
      <c r="K375" s="97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</row>
    <row r="376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7"/>
      <c r="K376" s="97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</row>
    <row r="37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7"/>
      <c r="K377" s="97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</row>
    <row r="37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7"/>
      <c r="K378" s="97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</row>
    <row r="379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7"/>
      <c r="K379" s="97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</row>
    <row r="380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7"/>
      <c r="K380" s="97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</row>
    <row r="381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7"/>
      <c r="K381" s="97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</row>
    <row r="382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7"/>
      <c r="K382" s="97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</row>
    <row r="383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7"/>
      <c r="K383" s="97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</row>
    <row r="384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7"/>
      <c r="K384" s="97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</row>
    <row r="385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7"/>
      <c r="K385" s="97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</row>
    <row r="386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7"/>
      <c r="K386" s="97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</row>
    <row r="38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7"/>
      <c r="K387" s="97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</row>
    <row r="38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7"/>
      <c r="K388" s="97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</row>
    <row r="389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7"/>
      <c r="K389" s="97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</row>
    <row r="390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7"/>
      <c r="K390" s="97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</row>
    <row r="391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7"/>
      <c r="K391" s="97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</row>
    <row r="392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7"/>
      <c r="K392" s="97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</row>
    <row r="393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7"/>
      <c r="K393" s="97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</row>
    <row r="394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7"/>
      <c r="K394" s="97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</row>
    <row r="395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7"/>
      <c r="K395" s="97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</row>
    <row r="396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7"/>
      <c r="K396" s="97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</row>
    <row r="397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7"/>
      <c r="K397" s="97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</row>
    <row r="39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7"/>
      <c r="K398" s="97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</row>
    <row r="399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7"/>
      <c r="K399" s="97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</row>
    <row r="400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7"/>
      <c r="K400" s="97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</row>
    <row r="401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7"/>
      <c r="K401" s="97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</row>
    <row r="402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7"/>
      <c r="K402" s="97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</row>
    <row r="403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7"/>
      <c r="K403" s="97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</row>
    <row r="404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7"/>
      <c r="K404" s="97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</row>
    <row r="405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7"/>
      <c r="K405" s="97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</row>
    <row r="406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7"/>
      <c r="K406" s="97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</row>
    <row r="407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7"/>
      <c r="K407" s="97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</row>
    <row r="40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7"/>
      <c r="K408" s="97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</row>
    <row r="409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7"/>
      <c r="K409" s="97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</row>
    <row r="410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7"/>
      <c r="K410" s="97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</row>
    <row r="411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7"/>
      <c r="K411" s="97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</row>
    <row r="412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7"/>
      <c r="K412" s="97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</row>
    <row r="413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7"/>
      <c r="K413" s="97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</row>
    <row r="414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7"/>
      <c r="K414" s="97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</row>
    <row r="415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7"/>
      <c r="K415" s="97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</row>
    <row r="416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7"/>
      <c r="K416" s="97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</row>
    <row r="417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7"/>
      <c r="K417" s="97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</row>
    <row r="41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7"/>
      <c r="K418" s="97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</row>
    <row r="419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7"/>
      <c r="K419" s="97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</row>
    <row r="420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7"/>
      <c r="K420" s="97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</row>
    <row r="421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7"/>
      <c r="K421" s="97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</row>
    <row r="422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7"/>
      <c r="K422" s="97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</row>
    <row r="423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7"/>
      <c r="K423" s="97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</row>
    <row r="424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7"/>
      <c r="K424" s="97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</row>
    <row r="425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7"/>
      <c r="K425" s="97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</row>
    <row r="426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7"/>
      <c r="K426" s="97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</row>
    <row r="427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7"/>
      <c r="K427" s="97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</row>
    <row r="4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7"/>
      <c r="K428" s="97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</row>
    <row r="429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7"/>
      <c r="K429" s="97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</row>
    <row r="430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7"/>
      <c r="K430" s="97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</row>
    <row r="431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7"/>
      <c r="K431" s="97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</row>
    <row r="432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7"/>
      <c r="K432" s="97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</row>
    <row r="433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7"/>
      <c r="K433" s="97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</row>
    <row r="434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7"/>
      <c r="K434" s="97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</row>
    <row r="435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7"/>
      <c r="K435" s="97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</row>
    <row r="436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7"/>
      <c r="K436" s="97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</row>
    <row r="437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7"/>
      <c r="K437" s="97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</row>
    <row r="43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7"/>
      <c r="K438" s="97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</row>
    <row r="439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7"/>
      <c r="K439" s="97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</row>
    <row r="440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7"/>
      <c r="K440" s="97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</row>
    <row r="441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7"/>
      <c r="K441" s="97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</row>
    <row r="442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7"/>
      <c r="K442" s="97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</row>
    <row r="443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7"/>
      <c r="K443" s="97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</row>
    <row r="444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7"/>
      <c r="K444" s="97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</row>
    <row r="445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7"/>
      <c r="K445" s="97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</row>
    <row r="446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7"/>
      <c r="K446" s="97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</row>
    <row r="447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7"/>
      <c r="K447" s="97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</row>
    <row r="44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7"/>
      <c r="K448" s="97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</row>
    <row r="449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7"/>
      <c r="K449" s="97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</row>
    <row r="450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7"/>
      <c r="K450" s="97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</row>
    <row r="451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7"/>
      <c r="K451" s="97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</row>
    <row r="452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7"/>
      <c r="K452" s="97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</row>
    <row r="453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7"/>
      <c r="K453" s="97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</row>
    <row r="454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7"/>
      <c r="K454" s="97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</row>
    <row r="455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7"/>
      <c r="K455" s="97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</row>
    <row r="456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7"/>
      <c r="K456" s="97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</row>
    <row r="457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7"/>
      <c r="K457" s="97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</row>
    <row r="45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7"/>
      <c r="K458" s="97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</row>
    <row r="459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7"/>
      <c r="K459" s="97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</row>
    <row r="460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7"/>
      <c r="K460" s="97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</row>
    <row r="461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7"/>
      <c r="K461" s="97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</row>
    <row r="462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7"/>
      <c r="K462" s="97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</row>
    <row r="463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7"/>
      <c r="K463" s="97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</row>
    <row r="464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7"/>
      <c r="K464" s="97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</row>
    <row r="465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7"/>
      <c r="K465" s="97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</row>
    <row r="466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7"/>
      <c r="K466" s="97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</row>
    <row r="467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7"/>
      <c r="K467" s="97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</row>
    <row r="46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7"/>
      <c r="K468" s="97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</row>
    <row r="469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7"/>
      <c r="K469" s="97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</row>
    <row r="470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7"/>
      <c r="K470" s="97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</row>
    <row r="471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7"/>
      <c r="K471" s="97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</row>
    <row r="472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7"/>
      <c r="K472" s="97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</row>
    <row r="473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7"/>
      <c r="K473" s="97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</row>
    <row r="474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7"/>
      <c r="K474" s="97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</row>
    <row r="475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7"/>
      <c r="K475" s="97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</row>
    <row r="476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7"/>
      <c r="K476" s="97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</row>
    <row r="477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7"/>
      <c r="K477" s="97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</row>
    <row r="47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7"/>
      <c r="K478" s="97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</row>
    <row r="479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7"/>
      <c r="K479" s="97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</row>
    <row r="480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7"/>
      <c r="K480" s="97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</row>
    <row r="481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7"/>
      <c r="K481" s="97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</row>
    <row r="482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7"/>
      <c r="K482" s="97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</row>
    <row r="483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7"/>
      <c r="K483" s="97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</row>
    <row r="484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7"/>
      <c r="K484" s="97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</row>
    <row r="485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7"/>
      <c r="K485" s="97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</row>
    <row r="486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7"/>
      <c r="K486" s="97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</row>
    <row r="487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7"/>
      <c r="K487" s="97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</row>
    <row r="48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7"/>
      <c r="K488" s="97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</row>
    <row r="489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7"/>
      <c r="K489" s="97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</row>
    <row r="490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7"/>
      <c r="K490" s="97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</row>
    <row r="491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7"/>
      <c r="K491" s="97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</row>
    <row r="492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7"/>
      <c r="K492" s="97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</row>
    <row r="493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7"/>
      <c r="K493" s="97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</row>
    <row r="494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7"/>
      <c r="K494" s="97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</row>
    <row r="495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7"/>
      <c r="K495" s="97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</row>
    <row r="496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7"/>
      <c r="K496" s="97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</row>
    <row r="497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7"/>
      <c r="K497" s="97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</row>
    <row r="49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7"/>
      <c r="K498" s="97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</row>
    <row r="499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7"/>
      <c r="K499" s="97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</row>
    <row r="500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7"/>
      <c r="K500" s="97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</ro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7"/>
      <c r="K501" s="97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</row>
    <row r="502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7"/>
      <c r="K502" s="97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</row>
    <row r="503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7"/>
      <c r="K503" s="97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</row>
    <row r="504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7"/>
      <c r="K504" s="97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</row>
    <row r="505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7"/>
      <c r="K505" s="97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</row>
    <row r="506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7"/>
      <c r="K506" s="97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</row>
    <row r="507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7"/>
      <c r="K507" s="97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</row>
    <row r="50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7"/>
      <c r="K508" s="97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</row>
    <row r="509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7"/>
      <c r="K509" s="97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</row>
    <row r="510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7"/>
      <c r="K510" s="97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7"/>
      <c r="K511" s="97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</row>
    <row r="512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7"/>
      <c r="K512" s="97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</row>
    <row r="513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7"/>
      <c r="K513" s="97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</row>
    <row r="514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7"/>
      <c r="K514" s="97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</row>
    <row r="515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7"/>
      <c r="K515" s="97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</row>
    <row r="516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7"/>
      <c r="K516" s="97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</row>
    <row r="517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7"/>
      <c r="K517" s="97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</row>
    <row r="51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7"/>
      <c r="K518" s="97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</row>
    <row r="519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7"/>
      <c r="K519" s="97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</row>
    <row r="520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7"/>
      <c r="K520" s="97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</row>
    <row r="521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7"/>
      <c r="K521" s="97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</row>
    <row r="522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7"/>
      <c r="K522" s="97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</row>
    <row r="523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7"/>
      <c r="K523" s="97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</row>
    <row r="524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7"/>
      <c r="K524" s="97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</row>
    <row r="525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7"/>
      <c r="K525" s="97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</row>
    <row r="526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7"/>
      <c r="K526" s="97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</row>
    <row r="527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7"/>
      <c r="K527" s="97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</row>
    <row r="5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7"/>
      <c r="K528" s="97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</row>
    <row r="529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7"/>
      <c r="K529" s="97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</row>
    <row r="530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7"/>
      <c r="K530" s="97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</row>
    <row r="531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7"/>
      <c r="K531" s="97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</row>
    <row r="532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7"/>
      <c r="K532" s="97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</row>
    <row r="533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7"/>
      <c r="K533" s="97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</row>
    <row r="534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7"/>
      <c r="K534" s="97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</row>
    <row r="535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7"/>
      <c r="K535" s="97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</row>
    <row r="536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7"/>
      <c r="K536" s="97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</row>
    <row r="537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7"/>
      <c r="K537" s="97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</row>
    <row r="53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7"/>
      <c r="K538" s="97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</row>
    <row r="539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7"/>
      <c r="K539" s="97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</row>
    <row r="540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7"/>
      <c r="K540" s="97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</row>
    <row r="541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7"/>
      <c r="K541" s="97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</row>
    <row r="542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7"/>
      <c r="K542" s="97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</row>
    <row r="543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7"/>
      <c r="K543" s="97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</row>
    <row r="544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7"/>
      <c r="K544" s="97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</row>
    <row r="545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7"/>
      <c r="K545" s="97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</row>
    <row r="546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7"/>
      <c r="K546" s="97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</row>
    <row r="547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7"/>
      <c r="K547" s="97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</row>
    <row r="54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7"/>
      <c r="K548" s="97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</row>
    <row r="549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7"/>
      <c r="K549" s="97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</row>
    <row r="550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7"/>
      <c r="K550" s="97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</row>
    <row r="551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7"/>
      <c r="K551" s="97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</row>
    <row r="552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7"/>
      <c r="K552" s="97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</row>
    <row r="553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7"/>
      <c r="K553" s="97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</row>
    <row r="554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7"/>
      <c r="K554" s="97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</row>
    <row r="555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7"/>
      <c r="K555" s="97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</row>
    <row r="556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7"/>
      <c r="K556" s="97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</row>
    <row r="557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7"/>
      <c r="K557" s="97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</row>
    <row r="55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7"/>
      <c r="K558" s="97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</row>
    <row r="559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7"/>
      <c r="K559" s="97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</row>
    <row r="560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7"/>
      <c r="K560" s="97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</row>
    <row r="561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7"/>
      <c r="K561" s="97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</row>
    <row r="562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7"/>
      <c r="K562" s="97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</row>
    <row r="563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7"/>
      <c r="K563" s="97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</row>
    <row r="564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7"/>
      <c r="K564" s="97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</row>
    <row r="565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7"/>
      <c r="K565" s="97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</row>
    <row r="566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7"/>
      <c r="K566" s="97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</row>
    <row r="567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7"/>
      <c r="K567" s="97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</row>
    <row r="56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7"/>
      <c r="K568" s="97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</row>
    <row r="569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7"/>
      <c r="K569" s="97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</row>
    <row r="570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7"/>
      <c r="K570" s="97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</row>
    <row r="571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7"/>
      <c r="K571" s="97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</row>
    <row r="572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7"/>
      <c r="K572" s="97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</row>
    <row r="573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7"/>
      <c r="K573" s="97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</row>
    <row r="574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7"/>
      <c r="K574" s="97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</row>
    <row r="575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7"/>
      <c r="K575" s="97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</row>
    <row r="576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7"/>
      <c r="K576" s="97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</row>
    <row r="577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7"/>
      <c r="K577" s="97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</row>
    <row r="57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7"/>
      <c r="K578" s="97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</row>
    <row r="579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7"/>
      <c r="K579" s="97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</row>
    <row r="580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7"/>
      <c r="K580" s="97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</row>
    <row r="581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7"/>
      <c r="K581" s="97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</row>
    <row r="582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7"/>
      <c r="K582" s="97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</row>
    <row r="583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7"/>
      <c r="K583" s="97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</row>
    <row r="584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7"/>
      <c r="K584" s="97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</row>
    <row r="585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7"/>
      <c r="K585" s="97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</row>
    <row r="586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7"/>
      <c r="K586" s="97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</row>
    <row r="587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7"/>
      <c r="K587" s="97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</row>
    <row r="58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7"/>
      <c r="K588" s="97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</row>
    <row r="589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7"/>
      <c r="K589" s="97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</row>
    <row r="590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7"/>
      <c r="K590" s="97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</row>
    <row r="591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7"/>
      <c r="K591" s="97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</row>
    <row r="592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7"/>
      <c r="K592" s="97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</row>
    <row r="593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7"/>
      <c r="K593" s="97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</row>
    <row r="594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7"/>
      <c r="K594" s="97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</row>
    <row r="595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7"/>
      <c r="K595" s="97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</row>
    <row r="596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7"/>
      <c r="K596" s="97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</row>
    <row r="597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7"/>
      <c r="K597" s="97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</row>
    <row r="59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7"/>
      <c r="K598" s="97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</row>
    <row r="599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7"/>
      <c r="K599" s="97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</row>
    <row r="600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7"/>
      <c r="K600" s="97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</row>
    <row r="601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7"/>
      <c r="K601" s="97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</row>
    <row r="602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7"/>
      <c r="K602" s="97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</row>
    <row r="603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7"/>
      <c r="K603" s="97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</row>
    <row r="604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7"/>
      <c r="K604" s="97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</row>
    <row r="605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7"/>
      <c r="K605" s="97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</row>
    <row r="606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7"/>
      <c r="K606" s="97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</row>
    <row r="607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7"/>
      <c r="K607" s="97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</row>
    <row r="60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7"/>
      <c r="K608" s="97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</row>
    <row r="609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7"/>
      <c r="K609" s="97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</row>
    <row r="610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7"/>
      <c r="K610" s="97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</row>
    <row r="611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7"/>
      <c r="K611" s="97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</row>
    <row r="612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7"/>
      <c r="K612" s="97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</row>
    <row r="613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7"/>
      <c r="K613" s="97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</row>
    <row r="614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7"/>
      <c r="K614" s="97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</row>
    <row r="615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7"/>
      <c r="K615" s="97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</row>
    <row r="616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7"/>
      <c r="K616" s="97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</row>
    <row r="617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7"/>
      <c r="K617" s="97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</row>
    <row r="61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7"/>
      <c r="K618" s="97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</row>
    <row r="619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7"/>
      <c r="K619" s="97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</row>
    <row r="620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7"/>
      <c r="K620" s="97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</row>
    <row r="621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7"/>
      <c r="K621" s="97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</row>
    <row r="622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7"/>
      <c r="K622" s="97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</row>
    <row r="623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7"/>
      <c r="K623" s="97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</row>
    <row r="624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7"/>
      <c r="K624" s="97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</row>
    <row r="625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7"/>
      <c r="K625" s="97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</row>
    <row r="626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7"/>
      <c r="K626" s="97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</row>
    <row r="627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7"/>
      <c r="K627" s="97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</row>
    <row r="6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7"/>
      <c r="K628" s="97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</row>
    <row r="629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7"/>
      <c r="K629" s="97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</row>
    <row r="630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7"/>
      <c r="K630" s="97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</row>
    <row r="631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7"/>
      <c r="K631" s="97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</row>
    <row r="632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7"/>
      <c r="K632" s="97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</row>
    <row r="633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7"/>
      <c r="K633" s="97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</row>
    <row r="634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7"/>
      <c r="K634" s="97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</row>
    <row r="635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7"/>
      <c r="K635" s="97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</row>
    <row r="636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7"/>
      <c r="K636" s="97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</row>
    <row r="637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7"/>
      <c r="K637" s="97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</row>
    <row r="63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7"/>
      <c r="K638" s="97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</row>
    <row r="639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7"/>
      <c r="K639" s="97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</row>
    <row r="640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7"/>
      <c r="K640" s="97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</row>
    <row r="641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7"/>
      <c r="K641" s="97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</row>
    <row r="642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7"/>
      <c r="K642" s="97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</row>
    <row r="643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7"/>
      <c r="K643" s="97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</row>
    <row r="644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7"/>
      <c r="K644" s="97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</row>
    <row r="645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7"/>
      <c r="K645" s="97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</row>
    <row r="646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7"/>
      <c r="K646" s="97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</row>
    <row r="647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7"/>
      <c r="K647" s="97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</row>
    <row r="64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7"/>
      <c r="K648" s="97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</row>
    <row r="649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7"/>
      <c r="K649" s="97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</row>
    <row r="650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7"/>
      <c r="K650" s="97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</row>
    <row r="651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7"/>
      <c r="K651" s="97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</row>
    <row r="652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7"/>
      <c r="K652" s="97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</row>
    <row r="653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7"/>
      <c r="K653" s="97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</row>
    <row r="654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7"/>
      <c r="K654" s="97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</row>
    <row r="655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7"/>
      <c r="K655" s="97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</row>
    <row r="656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7"/>
      <c r="K656" s="97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</row>
    <row r="657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7"/>
      <c r="K657" s="97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</row>
    <row r="65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7"/>
      <c r="K658" s="97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</row>
    <row r="659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7"/>
      <c r="K659" s="97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</row>
    <row r="660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7"/>
      <c r="K660" s="97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</row>
    <row r="661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7"/>
      <c r="K661" s="97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</row>
    <row r="662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7"/>
      <c r="K662" s="97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</row>
    <row r="663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7"/>
      <c r="K663" s="97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</row>
    <row r="664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7"/>
      <c r="K664" s="97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</row>
    <row r="665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7"/>
      <c r="K665" s="97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</row>
    <row r="666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7"/>
      <c r="K666" s="97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</row>
    <row r="667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7"/>
      <c r="K667" s="97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</row>
    <row r="66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7"/>
      <c r="K668" s="97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</row>
    <row r="669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7"/>
      <c r="K669" s="97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</row>
    <row r="670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7"/>
      <c r="K670" s="97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</row>
    <row r="671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7"/>
      <c r="K671" s="97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</row>
    <row r="672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7"/>
      <c r="K672" s="97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</row>
    <row r="673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7"/>
      <c r="K673" s="97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</row>
    <row r="674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7"/>
      <c r="K674" s="97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</row>
    <row r="675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7"/>
      <c r="K675" s="97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</row>
    <row r="676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7"/>
      <c r="K676" s="97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</row>
    <row r="677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7"/>
      <c r="K677" s="97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</row>
    <row r="67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7"/>
      <c r="K678" s="97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</row>
    <row r="679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7"/>
      <c r="K679" s="97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</row>
    <row r="680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7"/>
      <c r="K680" s="97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</row>
    <row r="681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7"/>
      <c r="K681" s="97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</row>
    <row r="682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7"/>
      <c r="K682" s="97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</row>
    <row r="683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7"/>
      <c r="K683" s="97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</row>
    <row r="684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7"/>
      <c r="K684" s="97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</row>
    <row r="685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7"/>
      <c r="K685" s="97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</row>
    <row r="686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7"/>
      <c r="K686" s="97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</row>
    <row r="687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7"/>
      <c r="K687" s="97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</row>
    <row r="68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7"/>
      <c r="K688" s="97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</row>
    <row r="689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7"/>
      <c r="K689" s="97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</row>
    <row r="690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7"/>
      <c r="K690" s="97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</row>
    <row r="691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7"/>
      <c r="K691" s="97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</row>
    <row r="692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7"/>
      <c r="K692" s="97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</row>
    <row r="693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7"/>
      <c r="K693" s="97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</row>
    <row r="694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7"/>
      <c r="K694" s="97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</row>
    <row r="695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7"/>
      <c r="K695" s="97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</row>
    <row r="696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7"/>
      <c r="K696" s="97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</row>
    <row r="697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7"/>
      <c r="K697" s="97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</row>
    <row r="69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7"/>
      <c r="K698" s="97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</row>
    <row r="699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7"/>
      <c r="K699" s="97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</row>
    <row r="700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7"/>
      <c r="K700" s="97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</row>
    <row r="701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7"/>
      <c r="K701" s="97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</row>
    <row r="702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7"/>
      <c r="K702" s="97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</row>
    <row r="703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7"/>
      <c r="K703" s="97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</row>
    <row r="704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7"/>
      <c r="K704" s="97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</row>
    <row r="705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7"/>
      <c r="K705" s="97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</row>
    <row r="706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7"/>
      <c r="K706" s="97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</row>
    <row r="707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7"/>
      <c r="K707" s="97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</row>
    <row r="70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7"/>
      <c r="K708" s="97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</row>
    <row r="709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7"/>
      <c r="K709" s="97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</row>
    <row r="710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7"/>
      <c r="K710" s="97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</row>
    <row r="711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7"/>
      <c r="K711" s="97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</row>
    <row r="712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7"/>
      <c r="K712" s="97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</row>
    <row r="713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7"/>
      <c r="K713" s="97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</row>
    <row r="714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7"/>
      <c r="K714" s="97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</row>
    <row r="715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7"/>
      <c r="K715" s="97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</row>
    <row r="716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7"/>
      <c r="K716" s="97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</row>
    <row r="717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7"/>
      <c r="K717" s="97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</row>
    <row r="71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7"/>
      <c r="K718" s="97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</row>
    <row r="719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7"/>
      <c r="K719" s="97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</row>
    <row r="720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7"/>
      <c r="K720" s="97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</row>
    <row r="721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7"/>
      <c r="K721" s="97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</row>
    <row r="722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7"/>
      <c r="K722" s="97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</row>
    <row r="723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7"/>
      <c r="K723" s="97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</row>
    <row r="724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7"/>
      <c r="K724" s="97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</row>
    <row r="725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7"/>
      <c r="K725" s="97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</row>
    <row r="726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7"/>
      <c r="K726" s="97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</row>
    <row r="727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7"/>
      <c r="K727" s="97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</row>
    <row r="7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7"/>
      <c r="K728" s="97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</row>
    <row r="729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7"/>
      <c r="K729" s="97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</row>
    <row r="730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7"/>
      <c r="K730" s="97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</row>
    <row r="731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7"/>
      <c r="K731" s="97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</row>
    <row r="732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7"/>
      <c r="K732" s="97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</row>
    <row r="733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7"/>
      <c r="K733" s="97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</row>
    <row r="734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7"/>
      <c r="K734" s="97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</row>
    <row r="735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7"/>
      <c r="K735" s="97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</row>
    <row r="736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7"/>
      <c r="K736" s="97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</row>
    <row r="737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7"/>
      <c r="K737" s="97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</row>
    <row r="73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7"/>
      <c r="K738" s="97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</row>
    <row r="739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7"/>
      <c r="K739" s="97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</row>
    <row r="740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7"/>
      <c r="K740" s="97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</row>
    <row r="741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7"/>
      <c r="K741" s="97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</row>
    <row r="742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7"/>
      <c r="K742" s="97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</row>
    <row r="743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7"/>
      <c r="K743" s="97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</row>
    <row r="744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7"/>
      <c r="K744" s="97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</row>
    <row r="745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7"/>
      <c r="K745" s="97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</row>
    <row r="746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7"/>
      <c r="K746" s="97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</row>
    <row r="747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7"/>
      <c r="K747" s="97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</row>
    <row r="74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7"/>
      <c r="K748" s="97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</row>
    <row r="749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7"/>
      <c r="K749" s="97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</row>
    <row r="750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7"/>
      <c r="K750" s="97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</row>
    <row r="751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7"/>
      <c r="K751" s="97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</row>
    <row r="752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7"/>
      <c r="K752" s="97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</row>
    <row r="753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7"/>
      <c r="K753" s="97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</row>
    <row r="754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7"/>
      <c r="K754" s="97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</row>
    <row r="755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7"/>
      <c r="K755" s="97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</row>
    <row r="756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7"/>
      <c r="K756" s="97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</row>
    <row r="757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7"/>
      <c r="K757" s="97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</row>
    <row r="75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7"/>
      <c r="K758" s="97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</row>
    <row r="759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7"/>
      <c r="K759" s="97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</row>
    <row r="760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7"/>
      <c r="K760" s="97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</row>
    <row r="761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7"/>
      <c r="K761" s="97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</row>
    <row r="762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7"/>
      <c r="K762" s="97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</row>
    <row r="763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7"/>
      <c r="K763" s="97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</row>
    <row r="764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7"/>
      <c r="K764" s="97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</row>
    <row r="765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7"/>
      <c r="K765" s="97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</row>
    <row r="766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7"/>
      <c r="K766" s="97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</row>
    <row r="767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7"/>
      <c r="K767" s="97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</row>
    <row r="76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7"/>
      <c r="K768" s="97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</row>
    <row r="769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7"/>
      <c r="K769" s="97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</row>
    <row r="770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7"/>
      <c r="K770" s="97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</row>
    <row r="771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7"/>
      <c r="K771" s="97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</row>
    <row r="772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7"/>
      <c r="K772" s="97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</row>
    <row r="773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7"/>
      <c r="K773" s="97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</row>
    <row r="774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7"/>
      <c r="K774" s="97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</row>
    <row r="775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7"/>
      <c r="K775" s="97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</row>
    <row r="776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7"/>
      <c r="K776" s="97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</row>
    <row r="777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7"/>
      <c r="K777" s="97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</row>
    <row r="77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7"/>
      <c r="K778" s="97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</row>
    <row r="779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7"/>
      <c r="K779" s="97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</row>
    <row r="780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7"/>
      <c r="K780" s="97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</row>
    <row r="781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7"/>
      <c r="K781" s="97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</row>
    <row r="782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7"/>
      <c r="K782" s="97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</row>
    <row r="783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7"/>
      <c r="K783" s="97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</row>
    <row r="784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7"/>
      <c r="K784" s="97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</row>
    <row r="785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7"/>
      <c r="K785" s="97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</row>
    <row r="786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7"/>
      <c r="K786" s="97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</row>
    <row r="787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7"/>
      <c r="K787" s="97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</row>
    <row r="78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7"/>
      <c r="K788" s="97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</row>
    <row r="789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7"/>
      <c r="K789" s="97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</row>
    <row r="790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7"/>
      <c r="K790" s="97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</row>
    <row r="791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7"/>
      <c r="K791" s="97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</row>
    <row r="792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7"/>
      <c r="K792" s="97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</row>
    <row r="793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7"/>
      <c r="K793" s="97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</row>
    <row r="794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7"/>
      <c r="K794" s="97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</row>
    <row r="795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7"/>
      <c r="K795" s="97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</row>
    <row r="796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7"/>
      <c r="K796" s="97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</row>
    <row r="797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7"/>
      <c r="K797" s="97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</row>
    <row r="79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7"/>
      <c r="K798" s="97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</row>
    <row r="799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7"/>
      <c r="K799" s="97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</row>
    <row r="800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7"/>
      <c r="K800" s="97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</row>
    <row r="801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7"/>
      <c r="K801" s="97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</row>
    <row r="802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7"/>
      <c r="K802" s="97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</row>
    <row r="803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7"/>
      <c r="K803" s="97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</row>
    <row r="804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7"/>
      <c r="K804" s="97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</row>
    <row r="805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7"/>
      <c r="K805" s="97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</row>
    <row r="806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7"/>
      <c r="K806" s="97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</row>
    <row r="807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7"/>
      <c r="K807" s="97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</row>
    <row r="80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7"/>
      <c r="K808" s="97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</row>
    <row r="809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7"/>
      <c r="K809" s="97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</row>
    <row r="810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7"/>
      <c r="K810" s="97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</row>
    <row r="811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7"/>
      <c r="K811" s="97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</row>
    <row r="812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7"/>
      <c r="K812" s="97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</row>
    <row r="813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7"/>
      <c r="K813" s="97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</row>
    <row r="814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7"/>
      <c r="K814" s="97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</row>
    <row r="815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7"/>
      <c r="K815" s="97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</row>
    <row r="816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7"/>
      <c r="K816" s="97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</row>
    <row r="817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7"/>
      <c r="K817" s="97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</row>
    <row r="81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7"/>
      <c r="K818" s="97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</row>
    <row r="819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7"/>
      <c r="K819" s="97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</row>
    <row r="820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7"/>
      <c r="K820" s="97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</row>
    <row r="821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7"/>
      <c r="K821" s="97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</row>
    <row r="822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7"/>
      <c r="K822" s="97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</row>
    <row r="823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7"/>
      <c r="K823" s="97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</row>
    <row r="824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7"/>
      <c r="K824" s="97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</row>
    <row r="825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7"/>
      <c r="K825" s="97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</row>
    <row r="826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7"/>
      <c r="K826" s="97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</row>
    <row r="827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7"/>
      <c r="K827" s="97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</row>
    <row r="8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7"/>
      <c r="K828" s="97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</row>
    <row r="829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7"/>
      <c r="K829" s="97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</row>
    <row r="830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7"/>
      <c r="K830" s="97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</row>
    <row r="831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7"/>
      <c r="K831" s="97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</row>
    <row r="832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7"/>
      <c r="K832" s="97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</row>
    <row r="833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7"/>
      <c r="K833" s="97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</row>
    <row r="834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7"/>
      <c r="K834" s="97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</row>
    <row r="835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7"/>
      <c r="K835" s="97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</row>
    <row r="836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7"/>
      <c r="K836" s="97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</row>
    <row r="837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7"/>
      <c r="K837" s="97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</row>
    <row r="83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7"/>
      <c r="K838" s="97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</row>
    <row r="839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7"/>
      <c r="K839" s="97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</row>
    <row r="840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7"/>
      <c r="K840" s="97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</row>
    <row r="841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7"/>
      <c r="K841" s="97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</row>
    <row r="842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7"/>
      <c r="K842" s="97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</row>
    <row r="843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7"/>
      <c r="K843" s="97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</row>
    <row r="844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7"/>
      <c r="K844" s="97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</row>
    <row r="845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7"/>
      <c r="K845" s="97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</row>
    <row r="846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7"/>
      <c r="K846" s="97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</row>
    <row r="847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7"/>
      <c r="K847" s="97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</row>
    <row r="84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7"/>
      <c r="K848" s="97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</row>
    <row r="849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7"/>
      <c r="K849" s="97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</row>
    <row r="850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7"/>
      <c r="K850" s="97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</row>
    <row r="851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7"/>
      <c r="K851" s="97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</row>
    <row r="852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7"/>
      <c r="K852" s="97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</row>
    <row r="853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7"/>
      <c r="K853" s="97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</row>
    <row r="854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7"/>
      <c r="K854" s="97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</row>
    <row r="855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7"/>
      <c r="K855" s="97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</row>
    <row r="856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7"/>
      <c r="K856" s="97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</row>
    <row r="857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7"/>
      <c r="K857" s="97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</row>
    <row r="85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7"/>
      <c r="K858" s="97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</row>
    <row r="859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7"/>
      <c r="K859" s="97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</row>
    <row r="860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7"/>
      <c r="K860" s="97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</row>
    <row r="861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7"/>
      <c r="K861" s="97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</row>
    <row r="862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7"/>
      <c r="K862" s="97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</row>
    <row r="863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7"/>
      <c r="K863" s="97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</row>
    <row r="864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7"/>
      <c r="K864" s="97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</row>
    <row r="865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7"/>
      <c r="K865" s="97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</row>
    <row r="866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7"/>
      <c r="K866" s="97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</row>
    <row r="867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7"/>
      <c r="K867" s="97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</row>
    <row r="86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7"/>
      <c r="K868" s="97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</row>
    <row r="869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7"/>
      <c r="K869" s="97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</row>
    <row r="870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7"/>
      <c r="K870" s="97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</row>
    <row r="871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7"/>
      <c r="K871" s="97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</row>
    <row r="872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7"/>
      <c r="K872" s="97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</row>
    <row r="873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7"/>
      <c r="K873" s="97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</row>
    <row r="874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7"/>
      <c r="K874" s="97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</row>
    <row r="875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7"/>
      <c r="K875" s="97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</row>
    <row r="876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7"/>
      <c r="K876" s="97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</row>
    <row r="877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7"/>
      <c r="K877" s="97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</row>
    <row r="87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7"/>
      <c r="K878" s="97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</row>
    <row r="879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7"/>
      <c r="K879" s="97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</row>
    <row r="880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7"/>
      <c r="K880" s="97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</row>
    <row r="881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7"/>
      <c r="K881" s="97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</row>
    <row r="882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7"/>
      <c r="K882" s="97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</row>
    <row r="883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7"/>
      <c r="K883" s="97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</row>
    <row r="884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7"/>
      <c r="K884" s="97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</row>
    <row r="885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7"/>
      <c r="K885" s="97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</row>
    <row r="886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7"/>
      <c r="K886" s="97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</row>
    <row r="887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7"/>
      <c r="K887" s="97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</row>
    <row r="88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7"/>
      <c r="K888" s="97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</row>
    <row r="889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7"/>
      <c r="K889" s="97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</row>
    <row r="890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7"/>
      <c r="K890" s="97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</row>
    <row r="891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7"/>
      <c r="K891" s="97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</row>
    <row r="892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7"/>
      <c r="K892" s="97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</row>
    <row r="893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7"/>
      <c r="K893" s="97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</row>
    <row r="894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7"/>
      <c r="K894" s="97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</row>
    <row r="895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7"/>
      <c r="K895" s="97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</row>
    <row r="896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7"/>
      <c r="K896" s="97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</row>
    <row r="897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7"/>
      <c r="K897" s="97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</row>
    <row r="89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7"/>
      <c r="K898" s="97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</row>
    <row r="899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7"/>
      <c r="K899" s="97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</row>
    <row r="900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7"/>
      <c r="K900" s="97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</row>
    <row r="901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7"/>
      <c r="K901" s="97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</row>
    <row r="902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7"/>
      <c r="K902" s="97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</row>
    <row r="903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7"/>
      <c r="K903" s="97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</row>
    <row r="904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7"/>
      <c r="K904" s="97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</row>
    <row r="905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7"/>
      <c r="K905" s="97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</row>
    <row r="906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7"/>
      <c r="K906" s="97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</row>
    <row r="907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7"/>
      <c r="K907" s="97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</row>
    <row r="90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7"/>
      <c r="K908" s="97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</row>
    <row r="909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7"/>
      <c r="K909" s="97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</row>
    <row r="910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7"/>
      <c r="K910" s="97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</row>
    <row r="911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7"/>
      <c r="K911" s="97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</row>
    <row r="912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7"/>
      <c r="K912" s="97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</row>
    <row r="913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7"/>
      <c r="K913" s="97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</row>
    <row r="914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7"/>
      <c r="K914" s="97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</row>
    <row r="915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7"/>
      <c r="K915" s="97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</row>
    <row r="916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7"/>
      <c r="K916" s="97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</row>
    <row r="917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7"/>
      <c r="K917" s="97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</row>
    <row r="91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7"/>
      <c r="K918" s="97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</row>
    <row r="919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7"/>
      <c r="K919" s="97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</row>
    <row r="920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7"/>
      <c r="K920" s="97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</row>
    <row r="921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7"/>
      <c r="K921" s="97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</row>
    <row r="922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7"/>
      <c r="K922" s="97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</row>
    <row r="923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7"/>
      <c r="K923" s="97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</row>
    <row r="924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7"/>
      <c r="K924" s="97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</row>
    <row r="925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7"/>
      <c r="K925" s="97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</row>
    <row r="926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7"/>
      <c r="K926" s="97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</row>
    <row r="927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7"/>
      <c r="K927" s="97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</row>
    <row r="9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7"/>
      <c r="K928" s="97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</row>
    <row r="929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7"/>
      <c r="K929" s="97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</row>
    <row r="930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7"/>
      <c r="K930" s="97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</row>
    <row r="931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7"/>
      <c r="K931" s="97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</row>
    <row r="932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7"/>
      <c r="K932" s="97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</row>
    <row r="933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7"/>
      <c r="K933" s="97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</row>
    <row r="934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7"/>
      <c r="K934" s="97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</row>
    <row r="935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7"/>
      <c r="K935" s="97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</row>
    <row r="936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7"/>
      <c r="K936" s="97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</row>
    <row r="937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7"/>
      <c r="K937" s="97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</row>
    <row r="93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7"/>
      <c r="K938" s="97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</row>
    <row r="939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7"/>
      <c r="K939" s="97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</row>
    <row r="940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7"/>
      <c r="K940" s="97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</row>
    <row r="941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7"/>
      <c r="K941" s="97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</row>
    <row r="942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7"/>
      <c r="K942" s="97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</row>
    <row r="943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7"/>
      <c r="K943" s="97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</row>
    <row r="944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7"/>
      <c r="K944" s="97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</row>
    <row r="945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7"/>
      <c r="K945" s="97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</row>
    <row r="946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7"/>
      <c r="K946" s="97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</row>
    <row r="947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7"/>
      <c r="K947" s="97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</row>
    <row r="94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7"/>
      <c r="K948" s="97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</row>
    <row r="949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7"/>
      <c r="K949" s="97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</row>
    <row r="950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7"/>
      <c r="K950" s="97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</row>
    <row r="951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7"/>
      <c r="K951" s="97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</row>
    <row r="952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7"/>
      <c r="K952" s="97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</row>
    <row r="953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7"/>
      <c r="K953" s="97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</row>
    <row r="954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7"/>
      <c r="K954" s="97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</row>
    <row r="955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7"/>
      <c r="K955" s="97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</row>
    <row r="956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7"/>
      <c r="K956" s="97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</row>
    <row r="957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7"/>
      <c r="K957" s="97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</row>
    <row r="95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7"/>
      <c r="K958" s="97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</row>
    <row r="959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7"/>
      <c r="K959" s="97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</row>
    <row r="960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7"/>
      <c r="K960" s="97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</row>
    <row r="961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7"/>
      <c r="K961" s="97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</row>
    <row r="962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7"/>
      <c r="K962" s="97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</row>
    <row r="963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7"/>
      <c r="K963" s="97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</row>
    <row r="964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7"/>
      <c r="K964" s="97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</row>
    <row r="965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7"/>
      <c r="K965" s="97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</row>
    <row r="966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7"/>
      <c r="K966" s="97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</row>
    <row r="967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7"/>
      <c r="K967" s="97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</row>
    <row r="96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7"/>
      <c r="K968" s="97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</row>
    <row r="969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7"/>
      <c r="K969" s="97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</row>
    <row r="970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7"/>
      <c r="K970" s="97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</row>
    <row r="971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7"/>
      <c r="K971" s="97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</row>
    <row r="972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7"/>
      <c r="K972" s="97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</row>
    <row r="973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7"/>
      <c r="K973" s="97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</row>
    <row r="974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7"/>
      <c r="K974" s="97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</row>
    <row r="975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7"/>
      <c r="K975" s="97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</row>
    <row r="976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7"/>
      <c r="K976" s="97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</row>
    <row r="977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7"/>
      <c r="K977" s="97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</row>
    <row r="97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7"/>
      <c r="K978" s="97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</row>
    <row r="979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7"/>
      <c r="K979" s="97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</row>
    <row r="980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7"/>
      <c r="K980" s="97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</row>
    <row r="981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7"/>
      <c r="K981" s="97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</row>
    <row r="982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7"/>
      <c r="K982" s="97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</row>
    <row r="983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7"/>
      <c r="K983" s="97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</row>
    <row r="984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7"/>
      <c r="K984" s="97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</row>
    <row r="985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7"/>
      <c r="K985" s="97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</row>
    <row r="986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7"/>
      <c r="K986" s="97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</row>
    <row r="987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7"/>
      <c r="K987" s="97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</row>
    <row r="98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7"/>
      <c r="K988" s="97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</row>
    <row r="989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7"/>
      <c r="K989" s="97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</row>
    <row r="990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7"/>
      <c r="K990" s="97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</row>
  </sheetData>
  <autoFilter ref="$AB$12:$AB$66"/>
  <customSheetViews>
    <customSheetView guid="{33E97E03-377F-41DD-9B35-C0C4E431E635}" filter="1" showAutoFilter="1">
      <autoFilter ref="$AB$12:$AB$65"/>
      <extLst>
        <ext uri="GoogleSheetsCustomDataVersion1">
          <go:sheetsCustomData xmlns:go="http://customooxmlschemas.google.com/" filterViewId="2067373530"/>
        </ext>
      </extLst>
    </customSheetView>
    <customSheetView guid="{BB92C670-47C8-473E-83F2-14B7DE62924D}" filter="1" showAutoFilter="1">
      <autoFilter ref="$I$12:$I$65"/>
      <extLst>
        <ext uri="GoogleSheetsCustomDataVersion1">
          <go:sheetsCustomData xmlns:go="http://customooxmlschemas.google.com/" filterViewId="691572605"/>
        </ext>
      </extLst>
    </customSheetView>
  </customSheetViews>
  <mergeCells count="70">
    <mergeCell ref="D8:D11"/>
    <mergeCell ref="E10:E11"/>
    <mergeCell ref="C66:E66"/>
    <mergeCell ref="C69:E69"/>
    <mergeCell ref="F10:F11"/>
    <mergeCell ref="G10:G11"/>
    <mergeCell ref="F66:G66"/>
    <mergeCell ref="H10:H11"/>
    <mergeCell ref="I10:I11"/>
    <mergeCell ref="H66:I66"/>
    <mergeCell ref="J10:J11"/>
    <mergeCell ref="K10:K11"/>
    <mergeCell ref="J66:K66"/>
    <mergeCell ref="C7:D7"/>
    <mergeCell ref="C8:C11"/>
    <mergeCell ref="F8:G8"/>
    <mergeCell ref="H8:I8"/>
    <mergeCell ref="J8:K8"/>
    <mergeCell ref="L8:M8"/>
    <mergeCell ref="J9:K9"/>
    <mergeCell ref="V66:W66"/>
    <mergeCell ref="X66:Y66"/>
    <mergeCell ref="Z66:AA66"/>
    <mergeCell ref="J69:P69"/>
    <mergeCell ref="W69:AB70"/>
    <mergeCell ref="L10:L11"/>
    <mergeCell ref="M10:M11"/>
    <mergeCell ref="L66:M66"/>
    <mergeCell ref="N66:O66"/>
    <mergeCell ref="P66:Q66"/>
    <mergeCell ref="R66:S66"/>
    <mergeCell ref="T66:U66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P8:Q8"/>
    <mergeCell ref="R8:S8"/>
    <mergeCell ref="T8:U8"/>
    <mergeCell ref="V8:W8"/>
    <mergeCell ref="X8:Y8"/>
    <mergeCell ref="Z8:AA8"/>
    <mergeCell ref="AB8:AB11"/>
    <mergeCell ref="S2:AB2"/>
    <mergeCell ref="C3:AB3"/>
    <mergeCell ref="C4:AB4"/>
    <mergeCell ref="C5:AB5"/>
    <mergeCell ref="C6:AB6"/>
    <mergeCell ref="E7:X7"/>
    <mergeCell ref="Y7:AB7"/>
    <mergeCell ref="F9:G9"/>
    <mergeCell ref="H9:I9"/>
    <mergeCell ref="N8:O8"/>
    <mergeCell ref="N9:O9"/>
    <mergeCell ref="N10:N11"/>
    <mergeCell ref="O10:O11"/>
    <mergeCell ref="P9:Q9"/>
    <mergeCell ref="R9:S9"/>
    <mergeCell ref="T9:U9"/>
    <mergeCell ref="V9:W9"/>
    <mergeCell ref="X9:Y9"/>
    <mergeCell ref="Z9:AA9"/>
    <mergeCell ref="P10:P11"/>
    <mergeCell ref="Q10:Q11"/>
  </mergeCells>
  <conditionalFormatting sqref="AB1:AB68 AB71:AB990">
    <cfRule type="cellIs" dxfId="0" priority="1" operator="lessThan">
      <formula>80</formula>
    </cfRule>
  </conditionalFormatting>
  <printOptions/>
  <pageMargins bottom="0.75" footer="0.0" header="0.0" left="0.7" right="0.7" top="0.75"/>
  <pageSetup fitToHeight="0" paperSize="9" orientation="landscape"/>
  <drawing r:id="rId1"/>
</worksheet>
</file>